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c034fa0ac2488d" /></Relationships>
</file>

<file path=xl/workbook.xml><?xml version="1.0" encoding="utf-8"?>
<x:workbook xmlns:x="http://schemas.openxmlformats.org/spreadsheetml/2006/main">
  <x:sheets>
    <x:sheet xmlns:r="http://schemas.openxmlformats.org/officeDocument/2006/relationships" name="總覽" sheetId="1" r:id="R9020ef229daf4421"/>
    <x:sheet xmlns:r="http://schemas.openxmlformats.org/officeDocument/2006/relationships" name="文件總表" sheetId="2" r:id="Rbe12865897ce473f"/>
    <x:sheet xmlns:r="http://schemas.openxmlformats.org/officeDocument/2006/relationships" name="預算明細" sheetId="3" r:id="R864160c1ceef46c1"/>
    <x:sheet xmlns:r="http://schemas.openxmlformats.org/officeDocument/2006/relationships" name="廠商與統編" sheetId="4" r:id="Rb2f843c9d32b49eb"/>
    <x:sheet xmlns:r="http://schemas.openxmlformats.org/officeDocument/2006/relationships" name="統編核對" sheetId="5" r:id="R10c4e3f3d0af4de6"/>
    <x:sheet xmlns:r="http://schemas.openxmlformats.org/officeDocument/2006/relationships" name="付款與版本" sheetId="6" r:id="Rcc44a0196def4ee2"/>
    <x:sheet xmlns:r="http://schemas.openxmlformats.org/officeDocument/2006/relationships" name="原文索引" sheetId="7" r:id="R788fdd7711654115"/>
    <x:sheet xmlns:r="http://schemas.openxmlformats.org/officeDocument/2006/relationships" name="資料品質" sheetId="8" r:id="Raebba8a3175042c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NT$-zh-TW]#,##0;[Red]([$NT$-zh-TW]#,##0);-"/>
    <x:numFmt numFmtId="201" formatCode="#,##0.####"/>
  </x:numFmts>
  <x:fonts count="9">
    <x:font>
      <x:sz val="11"/>
      <x:name val="Carlito"/>
    </x:font>
    <x:font>
      <x:b/>
      <x:sz val="18"/>
      <x:color rgb="FFFFFFFF"/>
      <x:name val="Carlito"/>
    </x:font>
    <x:font>
      <x:i/>
      <x:sz val="11"/>
      <x:color rgb="FF7A5600"/>
      <x:name val="Carlito"/>
    </x:font>
    <x:font>
      <x:b/>
      <x:sz val="11"/>
      <x:color rgb="FF17365D"/>
      <x:name val="Carlito"/>
    </x:font>
    <x:font>
      <x:b/>
      <x:sz val="16"/>
      <x:color rgb="FF008000"/>
      <x:name val="Carlito"/>
    </x:font>
    <x:font>
      <x:b/>
      <x:sz val="11"/>
      <x:color rgb="FFFFFFFF"/>
      <x:name val="Carlito"/>
    </x:font>
    <x:font>
      <x:i/>
      <x:sz val="11"/>
      <x:color rgb="FF667085"/>
      <x:name val="Carlito"/>
    </x:font>
    <x:font>
      <x:sz val="10"/>
      <x:color rgb="FF172B4D"/>
      <x:name val="Carlito"/>
    </x:font>
    <x:font>
      <x:sz val="10"/>
      <x:color rgb="FF008000"/>
      <x:name val="Carlito"/>
    </x:font>
  </x:fonts>
  <x:fills count="8">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DDEBF7"/>
      </x:patternFill>
    </x:fill>
    <x:fill>
      <x:patternFill patternType="solid">
        <x:fgColor rgb="FF0F6B78"/>
      </x:patternFill>
    </x:fill>
    <x:fill>
      <x:patternFill patternType="solid">
        <x:fgColor rgb="FFF3F6F9"/>
      </x:patternFill>
    </x:fill>
    <x:fill>
      <x:patternFill patternType="solid">
        <x:fgColor rgb="FF2F75B5"/>
      </x:patternFill>
    </x:fill>
  </x:fills>
  <x:borders count="16">
    <x:border/>
    <x:border>
      <x:left style="thin">
        <x:color rgb="FF2F75B5"/>
      </x:left>
      <x:top style="thin">
        <x:color rgb="FF2F75B5"/>
      </x:top>
      <x:bottom style="thin">
        <x:color rgb="FF2F75B5"/>
      </x:bottom>
    </x:border>
    <x:border>
      <x:right style="thin">
        <x:color rgb="FF2F75B5"/>
      </x:right>
      <x:top style="thin">
        <x:color rgb="FF2F75B5"/>
      </x:top>
      <x:bottom style="thin">
        <x:color rgb="FF2F75B5"/>
      </x:bottom>
    </x:border>
    <x:border>
      <x:left style="thin">
        <x:color rgb="FF2F75B5"/>
      </x:left>
      <x:top style="thin">
        <x:color rgb="FF2F75B5"/>
      </x:top>
    </x:border>
    <x:border>
      <x:right style="thin">
        <x:color rgb="FF2F75B5"/>
      </x:right>
      <x:top style="thin">
        <x:color rgb="FF2F75B5"/>
      </x:top>
    </x:border>
    <x:border>
      <x:left style="thin">
        <x:color rgb="FF2F75B5"/>
      </x:left>
      <x:bottom style="thin">
        <x:color rgb="FF2F75B5"/>
      </x:bottom>
    </x:border>
    <x:border>
      <x:right style="thin">
        <x:color rgb="FF2F75B5"/>
      </x:right>
      <x:bottom style="thin">
        <x:color rgb="FF2F75B5"/>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3" xfId="0" applyNumberFormat="1" applyFont="1" applyFill="1" applyBorder="1" applyAlignment="1">
      <x:alignment horizontal="center"/>
    </x:xf>
    <x:xf numFmtId="0" fontId="4" fillId="0" borderId="4" xfId="0" applyNumberFormat="1" applyFont="1" applyFill="1" applyBorder="1" applyAlignment="1">
      <x:alignment horizontal="center"/>
    </x:xf>
    <x:xf numFmtId="0" fontId="4" fillId="0" borderId="5" xfId="0" applyNumberFormat="1" applyFont="1" applyFill="1" applyBorder="1" applyAlignment="1">
      <x:alignment horizontal="center"/>
    </x:xf>
    <x:xf numFmtId="0" fontId="4" fillId="0" borderId="6" xfId="0" applyNumberFormat="1" applyFont="1" applyFill="1" applyBorder="1" applyAlignment="1">
      <x:alignment horizont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200" fontId="4" fillId="0" borderId="3" xfId="0" applyNumberFormat="1" applyFont="1" applyFill="1" applyBorder="1" applyAlignment="1">
      <x:alignment horizontal="center" vertical="center"/>
    </x:xf>
    <x:xf numFmtId="200" fontId="4" fillId="0" borderId="4" xfId="0" applyNumberFormat="1" applyFont="1" applyFill="1" applyBorder="1" applyAlignment="1">
      <x:alignment horizontal="center" vertical="center"/>
    </x:xf>
    <x:xf numFmtId="200" fontId="4" fillId="0" borderId="5" xfId="0" applyNumberFormat="1" applyFont="1" applyFill="1" applyBorder="1" applyAlignment="1">
      <x:alignment horizontal="center" vertical="center"/>
    </x:xf>
    <x:xf numFmtId="200" fontId="4" fillId="0" borderId="6"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0" fillId="6" borderId="0"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7"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6" fillId="6" borderId="0" xfId="0" applyNumberFormat="1" applyFont="1" applyFill="1" applyBorder="1"/>
    <x:xf numFmtId="0" fontId="6"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15" xfId="0" applyNumberFormat="1" applyFont="1" applyFill="1" applyBorder="1"/>
    <x:xf numFmtId="0" fontId="5" fillId="7" borderId="15" xfId="0" applyNumberFormat="1" applyFont="1" applyFill="1" applyBorder="1" applyAlignment="1">
      <x:alignment wrapText="1"/>
    </x:xf>
    <x:xf numFmtId="0" fontId="5" fillId="7" borderId="15" xfId="0" applyNumberFormat="1" applyFont="1" applyFill="1" applyBorder="1" applyAlignment="1">
      <x:alignment horizontal="center" wrapText="1"/>
    </x:xf>
    <x:xf numFmtId="0" fontId="5" fillId="7" borderId="15" xfId="0" applyNumberFormat="1" applyFont="1" applyFill="1" applyBorder="1" applyAlignment="1">
      <x:alignment horizontal="center" vertical="center" wrapText="1"/>
    </x:xf>
    <x:xf numFmtId="0" fontId="7" fillId="0" borderId="0" xfId="0" applyNumberFormat="1" applyFont="1" applyFill="1" applyBorder="1"/>
    <x:xf numFmtId="0" fontId="7" fillId="0" borderId="15" xfId="0" applyNumberFormat="1" applyFont="1" applyFill="1" applyBorder="1"/>
    <x:xf numFmtId="0" fontId="7" fillId="0" borderId="15" xfId="0" applyNumberFormat="1" applyFont="1" applyFill="1" applyBorder="1" applyAlignment="1">
      <x:alignment vertical="center"/>
    </x:xf>
    <x:xf numFmtId="200" fontId="7" fillId="0" borderId="15" xfId="0" applyNumberFormat="1" applyFont="1" applyFill="1" applyBorder="1" applyAlignment="1">
      <x:alignment vertical="center"/>
    </x:xf>
    <x:xf numFmtId="0" fontId="7" fillId="0" borderId="15" xfId="0" applyNumberFormat="1" applyFont="1" applyFill="1" applyBorder="1" applyAlignment="1">
      <x:alignment vertical="center" wrapText="1"/>
    </x:xf>
    <x:xf numFmtId="201" fontId="7" fillId="0" borderId="15" xfId="0" applyNumberFormat="1" applyFont="1" applyFill="1" applyBorder="1" applyAlignment="1">
      <x:alignment vertical="center"/>
    </x:xf>
    <x:xf numFmtId="0" fontId="8" fillId="0" borderId="15" xfId="0" applyNumberFormat="1" applyFont="1" applyFill="1" applyBorder="1" applyAlignment="1">
      <x:alignment vertical="center"/>
    </x:xf>
  </x:cellXfs>
  <x:cellStyles count="1">
    <x:cellStyle name="Normal" xfId="0"/>
  </x:cellStyles>
  <x:dxfs count="10">
    <x:dxf>
      <x:font>
        <x:color rgb="FF9C6500"/>
      </x:font>
      <x:fill>
        <x:patternFill patternType="solid">
          <x:bgColor rgb="FFFFF2CC"/>
        </x:patternFill>
      </x:fill>
    </x:dxf>
    <x:dxf>
      <x:font>
        <x:b/>
        <x:color rgb="FF006100"/>
      </x:font>
      <x:fill>
        <x:patternFill patternType="solid">
          <x:bgColor rgb="FFE2F0D9"/>
        </x:patternFill>
      </x:fill>
    </x:dxf>
    <x:dxf>
      <x:font>
        <x:b/>
        <x:color rgb="FF9C0006"/>
      </x:font>
      <x:fill>
        <x:patternFill patternType="solid">
          <x:bgColor rgb="FFFCE4D6"/>
        </x:patternFill>
      </x:fill>
    </x:dxf>
    <x:dxf>
      <x:font>
        <x:color rgb="FF9C6500"/>
      </x:font>
      <x:fill>
        <x:patternFill patternType="solid">
          <x:bgColor rgb="FFFFF2CC"/>
        </x:patternFill>
      </x:fill>
    </x:dxf>
    <x:dxf>
      <x:font>
        <x:b/>
        <x:color rgb="FF9C0006"/>
      </x:font>
      <x:fill>
        <x:patternFill patternType="solid">
          <x:bgColor rgb="FFFCE4D6"/>
        </x:patternFill>
      </x:fill>
    </x:dxf>
    <x:dxf>
      <x:font>
        <x:b/>
        <x:color rgb="FF006100"/>
      </x:font>
      <x:fill>
        <x:patternFill patternType="solid">
          <x:bgColor rgb="FFE2F0D9"/>
        </x:patternFill>
      </x:fill>
    </x:dxf>
    <x:dxf>
      <x:font>
        <x:color rgb="FF9C6500"/>
      </x:font>
      <x:fill>
        <x:patternFill patternType="solid">
          <x:bgColor rgb="FFFFF2CC"/>
        </x:patternFill>
      </x:fill>
    </x:dxf>
    <x:dxf>
      <x:font>
        <x:b/>
        <x:color rgb="FF006100"/>
      </x:font>
      <x:fill>
        <x:patternFill patternType="solid">
          <x:bgColor rgb="FFE2F0D9"/>
        </x:patternFill>
      </x:fill>
    </x:dxf>
    <x:dxf>
      <x:font>
        <x:b/>
        <x:color rgb="FF9C0006"/>
      </x:font>
      <x:fill>
        <x:patternFill patternType="solid">
          <x:bgColor rgb="FFFCE4D6"/>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c8022200c54c4c" /><Relationship Type="http://schemas.openxmlformats.org/officeDocument/2006/relationships/theme" Target="/xl/theme/theme1.xml" Id="R3c0eb1a1994c4d37" /><Relationship Type="http://schemas.openxmlformats.org/officeDocument/2006/relationships/sharedStrings" Target="/xl/sharedStrings.xml" Id="R38ac19d1f7aa45db" /><Relationship Type="http://schemas.openxmlformats.org/officeDocument/2006/relationships/worksheet" Target="/xl/worksheets/sheet1.xml" Id="R9020ef229daf4421" /><Relationship Type="http://schemas.openxmlformats.org/officeDocument/2006/relationships/worksheet" Target="/xl/worksheets/sheet2.xml" Id="Rbe12865897ce473f" /><Relationship Type="http://schemas.openxmlformats.org/officeDocument/2006/relationships/worksheet" Target="/xl/worksheets/sheet3.xml" Id="R864160c1ceef46c1" /><Relationship Type="http://schemas.openxmlformats.org/officeDocument/2006/relationships/worksheet" Target="/xl/worksheets/sheet4.xml" Id="Rb2f843c9d32b49eb" /><Relationship Type="http://schemas.openxmlformats.org/officeDocument/2006/relationships/worksheet" Target="/xl/worksheets/sheet5.xml" Id="R10c4e3f3d0af4de6" /><Relationship Type="http://schemas.openxmlformats.org/officeDocument/2006/relationships/worksheet" Target="/xl/worksheets/sheet6.xml" Id="Rcc44a0196def4ee2" /><Relationship Type="http://schemas.openxmlformats.org/officeDocument/2006/relationships/worksheet" Target="/xl/worksheets/sheet7.xml" Id="R788fdd7711654115" /><Relationship Type="http://schemas.openxmlformats.org/officeDocument/2006/relationships/worksheet" Target="/xl/worksheets/sheet8.xml" Id="Raebba8a3175042c1" /></Relationships>
</file>

<file path=xl/tables/table1.xml><?xml version="1.0" encoding="utf-8"?>
<x:table xmlns:x="http://schemas.openxmlformats.org/spreadsheetml/2006/main" id="1" name="MdDocumentTable" displayName="MdDocumentTable" ref="A4:X97" headerRowCount="1" totalsRowCount="0" totalsRowShown="0">
  <x:tableColumns count="24">
    <x:tableColumn id="1" name="來源ID"/>
    <x:tableColumn id="2" name="檔名"/>
    <x:tableColumn id="3" name="副檔"/>
    <x:tableColumn id="4" name="文件日期"/>
    <x:tableColumn id="5" name="文件類型"/>
    <x:tableColumn id="6" name="賣方（文件明載）"/>
    <x:tableColumn id="7" name="文件統編（文件明載）"/>
    <x:tableColumn id="8" name="文件統編狀態"/>
    <x:tableColumn id="9" name="地址（文件明載）"/>
    <x:tableColumn id="10" name="未稅"/>
    <x:tableColumn id="11" name="稅額"/>
    <x:tableColumn id="12" name="含稅／總計"/>
    <x:tableColumn id="13" name="實收／協商價"/>
    <x:tableColumn id="14" name="合約總額"/>
    <x:tableColumn id="15" name="報價總額"/>
    <x:tableColumn id="16" name="文件採列總額"/>
    <x:tableColumn id="17" name="採列依據"/>
    <x:tableColumn id="18" name="付款條件"/>
    <x:tableColumn id="19" name="版本／追加標記"/>
    <x:tableColumn id="20" name="表格／段落列數"/>
    <x:tableColumn id="21" name="全文段數"/>
    <x:tableColumn id="22" name="擷取狀態"/>
    <x:tableColumn id="23" name="註記"/>
    <x:tableColumn id="24" name="來源路徑"/>
  </x:tableColumns>
  <x:tableStyleInfo name="TableStyleMedium2" showFirstColumn="0" showLastColumn="0" showRowStripes="1" showColumnStripes="0"/>
</x:table>
</file>

<file path=xl/tables/table2.xml><?xml version="1.0" encoding="utf-8"?>
<x:table xmlns:x="http://schemas.openxmlformats.org/spreadsheetml/2006/main" id="2" name="MdItemDetailTable" displayName="MdItemDetailTable" ref="A4:R1427" headerRowCount="1" totalsRowCount="0" totalsRowShown="0">
  <x:tableColumns count="18">
    <x:tableColumn id="1" name="明細ID"/>
    <x:tableColumn id="2" name="來源ID"/>
    <x:tableColumn id="3" name="批次"/>
    <x:tableColumn id="4" name="列類型"/>
    <x:tableColumn id="5" name="項次"/>
    <x:tableColumn id="6" name="品項"/>
    <x:tableColumn id="7" name="規格／說明"/>
    <x:tableColumn id="8" name="單位"/>
    <x:tableColumn id="9" name="數量"/>
    <x:tableColumn id="10" name="原始數量文字"/>
    <x:tableColumn id="11" name="單價"/>
    <x:tableColumn id="12" name="原始單價文字"/>
    <x:tableColumn id="13" name="金額"/>
    <x:tableColumn id="14" name="原始金額文字"/>
    <x:tableColumn id="15" name="備註／擷取狀態"/>
    <x:tableColumn id="16" name="表格／段落位置"/>
    <x:tableColumn id="17" name="原始列內容"/>
    <x:tableColumn id="18" name="來源路徑"/>
  </x:tableColumns>
  <x:tableStyleInfo name="TableStyleMedium2" showFirstColumn="0" showLastColumn="0" showRowStripes="1" showColumnStripes="0"/>
</x:table>
</file>

<file path=xl/tables/table3.xml><?xml version="1.0" encoding="utf-8"?>
<x:table xmlns:x="http://schemas.openxmlformats.org/spreadsheetml/2006/main" id="3" name="VendorVerificationTable" displayName="VendorVerificationTable" ref="A4:K108" headerRowCount="1" totalsRowCount="0" totalsRowShown="0">
  <x:tableColumns count="11">
    <x:tableColumn id="1" name="廠商ID"/>
    <x:tableColumn id="2" name="來源ID"/>
    <x:tableColumn id="3" name="賣方名稱（文件明載）"/>
    <x:tableColumn id="4" name="文件統編"/>
    <x:tableColumn id="5" name="文件地址"/>
    <x:tableColumn id="6" name="網站候選統編"/>
    <x:tableColumn id="7" name="網站比對結果"/>
    <x:tableColumn id="8" name="網站比對說明"/>
    <x:tableColumn id="9" name="網站來源"/>
    <x:tableColumn id="10" name="文件位置"/>
    <x:tableColumn id="11" name="文件註記"/>
  </x:tableColumns>
  <x:tableStyleInfo name="TableStyleMedium2" showFirstColumn="0" showLastColumn="0" showRowStripes="1" showColumnStripes="0"/>
</x:table>
</file>

<file path=xl/tables/table4.xml><?xml version="1.0" encoding="utf-8"?>
<x:table xmlns:x="http://schemas.openxmlformats.org/spreadsheetml/2006/main" id="4" name="TaxIdCheckTable" displayName="TaxIdCheckTable" ref="A4:H108" headerRowCount="1" totalsRowCount="0" totalsRowShown="0">
  <x:tableColumns count="8">
    <x:tableColumn id="1" name="來源ID"/>
    <x:tableColumn id="2" name="賣方名稱"/>
    <x:tableColumn id="3" name="文件統編"/>
    <x:tableColumn id="4" name="網站候選統編"/>
    <x:tableColumn id="5" name="比較結果"/>
    <x:tableColumn id="6" name="網站比對說明"/>
    <x:tableColumn id="7" name="來源路徑"/>
    <x:tableColumn id="8" name="處理建議"/>
  </x:tableColumns>
  <x:tableStyleInfo name="TableStyleMedium2" showFirstColumn="0" showLastColumn="0" showRowStripes="1" showColumnStripes="0"/>
</x:table>
</file>

<file path=xl/tables/table5.xml><?xml version="1.0" encoding="utf-8"?>
<x:table xmlns:x="http://schemas.openxmlformats.org/spreadsheetml/2006/main" id="5" name="PaymentVersionTable" displayName="PaymentVersionTable" ref="A4:H97" headerRowCount="1" totalsRowCount="0" totalsRowShown="0">
  <x:tableColumns count="8">
    <x:tableColumn id="1" name="來源ID"/>
    <x:tableColumn id="2" name="檔名"/>
    <x:tableColumn id="3" name="文件日期"/>
    <x:tableColumn id="4" name="文件類型"/>
    <x:tableColumn id="5" name="文件採列總額"/>
    <x:tableColumn id="6" name="付款條件／摘要"/>
    <x:tableColumn id="7" name="版本／追加標記"/>
    <x:tableColumn id="8" name="來源路徑"/>
  </x:tableColumns>
  <x:tableStyleInfo name="TableStyleMedium2" showFirstColumn="0" showLastColumn="0" showRowStripes="1" showColumnStripes="0"/>
</x:table>
</file>

<file path=xl/tables/table6.xml><?xml version="1.0" encoding="utf-8"?>
<x:table xmlns:x="http://schemas.openxmlformats.org/spreadsheetml/2006/main" id="6" name="RawTextIndexTable" displayName="RawTextIndexTable" ref="A4:E113" headerRowCount="1" totalsRowCount="0" totalsRowShown="0">
  <x:tableColumns count="5">
    <x:tableColumn id="1" name="來源ID"/>
    <x:tableColumn id="2" name="分段"/>
    <x:tableColumn id="3" name="來源類型"/>
    <x:tableColumn id="4" name="位置"/>
    <x:tableColumn id="5" name="原文內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706dc3d05964319" /></Relationships>
</file>

<file path=xl/worksheets/_rels/sheet3.xml.rels>&#65279;<?xml version="1.0" encoding="utf-8"?><Relationships xmlns="http://schemas.openxmlformats.org/package/2006/relationships"><Relationship Type="http://schemas.openxmlformats.org/officeDocument/2006/relationships/table" Target="/xl/tables/table2.xml" Id="Rf43dd5e0a0eb428f" /></Relationships>
</file>

<file path=xl/worksheets/_rels/sheet4.xml.rels>&#65279;<?xml version="1.0" encoding="utf-8"?><Relationships xmlns="http://schemas.openxmlformats.org/package/2006/relationships"><Relationship Type="http://schemas.openxmlformats.org/officeDocument/2006/relationships/table" Target="/xl/tables/table3.xml" Id="R3ddd259e3b2d44b7" /></Relationships>
</file>

<file path=xl/worksheets/_rels/sheet5.xml.rels>&#65279;<?xml version="1.0" encoding="utf-8"?><Relationships xmlns="http://schemas.openxmlformats.org/package/2006/relationships"><Relationship Type="http://schemas.openxmlformats.org/officeDocument/2006/relationships/table" Target="/xl/tables/table4.xml" Id="R7ec9494634044404" /></Relationships>
</file>

<file path=xl/worksheets/_rels/sheet6.xml.rels>&#65279;<?xml version="1.0" encoding="utf-8"?><Relationships xmlns="http://schemas.openxmlformats.org/package/2006/relationships"><Relationship Type="http://schemas.openxmlformats.org/officeDocument/2006/relationships/table" Target="/xl/tables/table5.xml" Id="Readfda5e0c0d4a4b" /></Relationships>
</file>

<file path=xl/worksheets/_rels/sheet7.xml.rels>&#65279;<?xml version="1.0" encoding="utf-8"?><Relationships xmlns="http://schemas.openxmlformats.org/package/2006/relationships"><Relationship Type="http://schemas.openxmlformats.org/officeDocument/2006/relationships/table" Target="/xl/tables/table6.xml" Id="R940a4f68fc8c408c" /></Relationships>
</file>

<file path=xl/worksheets/sheet1.xml><?xml version="1.0" encoding="utf-8"?>
<x:worksheet xmlns:x="http://schemas.openxmlformats.org/spreadsheetml/2006/main">
  <x:sheetViews>
    <x:sheetView showGridLines="0" workbookViewId="0"/>
  </x:sheetViews>
  <x:sheetFormatPr defaultRowHeight="15"/>
  <x:cols>
    <x:col min="1" max="1" width="16.25" hidden="0" customWidth="1"/>
    <x:col min="2" max="2" width="11.25" hidden="0" customWidth="1"/>
    <x:col min="3" max="3" width="16.25" hidden="0" customWidth="1"/>
    <x:col min="4" max="4" width="11.25" hidden="0" customWidth="1"/>
    <x:col min="5" max="5" width="20" hidden="0" customWidth="1"/>
    <x:col min="6" max="6" width="12.5" hidden="0" customWidth="1"/>
    <x:col min="7" max="7" width="18.75" hidden="0" customWidth="1"/>
    <x:col min="8" max="8" width="11.25" hidden="0" customWidth="1"/>
  </x:cols>
  <x:sheetData>
    <x:row r="1" ht="28" customHeight="1">
      <x:c r="A1" s="3" t="str">
        <x:v>拾壹間｜合約與預算總表（MD 完整版）</x:v>
      </x:c>
      <x:c r="B1" s="3" t="str">
        <x:v>拾壹間｜合約與預算總表（MD 完整版）</x:v>
      </x:c>
      <x:c r="C1" s="3" t="str">
        <x:v>拾壹間｜合約與預算總表（MD 完整版）</x:v>
      </x:c>
      <x:c r="D1" s="3" t="str">
        <x:v>拾壹間｜合約與預算總表（MD 完整版）</x:v>
      </x:c>
      <x:c r="E1" s="3" t="str">
        <x:v>拾壹間｜合約與預算總表（MD 完整版）</x:v>
      </x:c>
      <x:c r="F1" s="3" t="str">
        <x:v>拾壹間｜合約與預算總表（MD 完整版）</x:v>
      </x:c>
      <x:c r="G1" s="3" t="str">
        <x:v>拾壹間｜合約與預算總表（MD 完整版）</x:v>
      </x:c>
      <x:c r="H1" s="3" t="str">
        <x:v>拾壹間｜合約與預算總表（MD 完整版）</x:v>
      </x:c>
    </x:row>
    <x:row r="2" ht="28" customHeight="1">
      <x:c r="A2" s="3" t="str">
        <x:v>拾壹間｜合約與預算總表（MD 完整版）</x:v>
      </x:c>
      <x:c r="B2" s="3" t="str">
        <x:v>拾壹間｜合約與預算總表（MD 完整版）</x:v>
      </x:c>
      <x:c r="C2" s="3" t="str">
        <x:v>拾壹間｜合約與預算總表（MD 完整版）</x:v>
      </x:c>
      <x:c r="D2" s="3" t="str">
        <x:v>拾壹間｜合約與預算總表（MD 完整版）</x:v>
      </x:c>
      <x:c r="E2" s="3" t="str">
        <x:v>拾壹間｜合約與預算總表（MD 完整版）</x:v>
      </x:c>
      <x:c r="F2" s="3" t="str">
        <x:v>拾壹間｜合約與預算總表（MD 完整版）</x:v>
      </x:c>
      <x:c r="G2" s="3" t="str">
        <x:v>拾壹間｜合約與預算總表（MD 完整版）</x:v>
      </x:c>
      <x:c r="H2" s="3" t="str">
        <x:v>拾壹間｜合約與預算總表（MD 完整版）</x:v>
      </x:c>
    </x:row>
    <x:row r="3">
      <x:c r="A3" s="6" t="str">
        <x:v>內容以 MD檔案為準；「網站候選統編」與文件統編分列，未確認資料不會覆寫原文件。文件金額加總可能包含版本、追加或方案，請依付款與版本頁辨識。</x:v>
      </x:c>
      <x:c r="B3" s="6" t="str">
        <x:v>內容以 MD檔案為準；「網站候選統編」與文件統編分列，未確認資料不會覆寫原文件。文件金額加總可能包含版本、追加或方案，請依付款與版本頁辨識。</x:v>
      </x:c>
      <x:c r="C3" s="6" t="str">
        <x:v>內容以 MD檔案為準；「網站候選統編」與文件統編分列，未確認資料不會覆寫原文件。文件金額加總可能包含版本、追加或方案，請依付款與版本頁辨識。</x:v>
      </x:c>
      <x:c r="D3" s="6" t="str">
        <x:v>內容以 MD檔案為準；「網站候選統編」與文件統編分列，未確認資料不會覆寫原文件。文件金額加總可能包含版本、追加或方案，請依付款與版本頁辨識。</x:v>
      </x:c>
      <x:c r="E3" s="6" t="str">
        <x:v>內容以 MD檔案為準；「網站候選統編」與文件統編分列，未確認資料不會覆寫原文件。文件金額加總可能包含版本、追加或方案，請依付款與版本頁辨識。</x:v>
      </x:c>
      <x:c r="F3" s="6" t="str">
        <x:v>內容以 MD檔案為準；「網站候選統編」與文件統編分列，未確認資料不會覆寫原文件。文件金額加總可能包含版本、追加或方案，請依付款與版本頁辨識。</x:v>
      </x:c>
      <x:c r="G3" s="6" t="str">
        <x:v>內容以 MD檔案為準；「網站候選統編」與文件統編分列，未確認資料不會覆寫原文件。文件金額加總可能包含版本、追加或方案，請依付款與版本頁辨識。</x:v>
      </x:c>
      <x:c r="H3" s="6" t="str">
        <x:v>內容以 MD檔案為準；「網站候選統編」與文件統編分列，未確認資料不會覆寫原文件。文件金額加總可能包含版本、追加或方案，請依付款與版本頁辨識。</x:v>
      </x:c>
    </x:row>
    <x:row r="5">
      <x:c r="A5" s="11" t="str">
        <x:v>來源文件</x:v>
      </x:c>
      <x:c r="B5" s="12" t="str">
        <x:v>來源文件</x:v>
      </x:c>
      <x:c r="C5" s="11" t="str">
        <x:v>完整表格列</x:v>
      </x:c>
      <x:c r="D5" s="12" t="str">
        <x:v>完整表格列</x:v>
      </x:c>
      <x:c r="E5" s="11" t="str">
        <x:v>文件總額加總（未去重）</x:v>
      </x:c>
      <x:c r="F5" s="12" t="str">
        <x:v>文件總額加總（未去重）</x:v>
      </x:c>
      <x:c r="G5" s="11" t="str">
        <x:v>網站候選統編</x:v>
      </x:c>
      <x:c r="H5" s="12" t="str">
        <x:v>網站候選統編</x:v>
      </x:c>
    </x:row>
    <x:row r="6">
      <x:c r="A6" s="22" t="n">
        <x:f>COUNTA('文件總表'!$A$5:$A$97)</x:f>
        <x:v>93</x:v>
      </x:c>
      <x:c r="B6" s="23"/>
      <x:c r="C6" s="22" t="n">
        <x:f>COUNTA('預算明細'!$A$5:$A$1427)</x:f>
        <x:v>1423</x:v>
      </x:c>
      <x:c r="D6" s="23"/>
      <x:c r="E6" s="26" t="n">
        <x:f>SUM('文件總表'!$P$5:$P$97)</x:f>
        <x:v>39178153</x:v>
      </x:c>
      <x:c r="F6" s="27"/>
      <x:c r="G6" s="22" t="n">
        <x:v>32</x:v>
      </x:c>
      <x:c r="H6" s="23" t="n">
        <x:v>32</x:v>
      </x:c>
    </x:row>
    <x:row r="7">
      <x:c r="A7" s="24"/>
      <x:c r="B7" s="25"/>
      <x:c r="C7" s="24"/>
      <x:c r="D7" s="25"/>
      <x:c r="E7" s="28"/>
      <x:c r="F7" s="29"/>
      <x:c r="G7" s="24" t="n">
        <x:v>32</x:v>
      </x:c>
      <x:c r="H7" s="25" t="n">
        <x:v>32</x:v>
      </x:c>
    </x:row>
    <x:row r="9">
      <x:c r="A9" s="31" t="str">
        <x:v>資料覆蓋與使用方式</x:v>
      </x:c>
      <x:c r="B9" s="31" t="str">
        <x:v>資料覆蓋與使用方式</x:v>
      </x:c>
      <x:c r="C9" s="31" t="str">
        <x:v>資料覆蓋與使用方式</x:v>
      </x:c>
      <x:c r="D9" s="31" t="str">
        <x:v>資料覆蓋與使用方式</x:v>
      </x:c>
      <x:c r="E9" s="31" t="str">
        <x:v>資料覆蓋與使用方式</x:v>
      </x:c>
      <x:c r="F9" s="31" t="str">
        <x:v>資料覆蓋與使用方式</x:v>
      </x:c>
      <x:c r="G9" s="31" t="str">
        <x:v>資料覆蓋與使用方式</x:v>
      </x:c>
      <x:c r="H9" s="31" t="str">
        <x:v>資料覆蓋與使用方式</x:v>
      </x:c>
    </x:row>
    <x:row r="10">
      <x:c r="A10" s="50"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B10" s="51"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C10" s="51"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D10" s="51"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E10" s="51"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F10" s="51"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G10" s="51"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H10" s="52"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row>
    <x:row r="11">
      <x:c r="A11" s="53"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B11"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C11"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D11"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E11"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F11"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G11"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H11" s="55"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row>
    <x:row r="12">
      <x:c r="A12" s="53"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B12"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C12"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D12"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E12"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F12"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G12"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H12" s="55"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row>
    <x:row r="13">
      <x:c r="A13" s="53"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B13"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C13"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D13"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E13"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F13"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G13" s="54"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H13" s="55"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row>
    <x:row r="14">
      <x:c r="A14" s="56"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B14" s="57"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C14" s="57"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D14" s="57"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E14" s="57"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F14" s="57"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G14" s="57"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c r="H14" s="58" t="str">
        <x:v>1. 文件總表保留每份 MD／DOCX／XLS／JPG 的原始文件金額欄位；未載明即留白。
2. 預算明細保留所有原始表格列，包括標題、稅額、合計與無法結構化的列，不以推算補值。
3. 廠商與統編頁中，文件統編、網站候選統編、比對結果分欄；網站補得者僅作交叉比對。
4. 原文索引保留全份文字及表格內容，可依來源ID回查。
5. 請先於付款與版本頁確認更新／追加／重複版本後，再將文件總額納入正式發包預算。</x:v>
      </x:c>
    </x:row>
  </x:sheetData>
  <x:mergeCells>
    <x:mergeCell ref="A1:H2"/>
    <x:mergeCell ref="A3:H3"/>
    <x:mergeCell ref="A5:B5"/>
    <x:mergeCell ref="A6:B7"/>
    <x:mergeCell ref="C5:D5"/>
    <x:mergeCell ref="C6:D7"/>
    <x:mergeCell ref="E5:F5"/>
    <x:mergeCell ref="E6:F7"/>
    <x:mergeCell ref="G5:H5"/>
    <x:mergeCell ref="G6:H7"/>
    <x:mergeCell ref="A9:H9"/>
    <x:mergeCell ref="A10: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130000114440918" hidden="0" customWidth="1"/>
    <x:col min="2" max="2" width="28.75" hidden="0" customWidth="1"/>
    <x:col min="3" max="3" width="6.880000114440918" hidden="0" customWidth="1"/>
    <x:col min="4" max="4" width="11.25" hidden="0" customWidth="1"/>
    <x:col min="5" max="5" width="12.5" hidden="0" customWidth="1"/>
    <x:col min="6" max="6" width="23.1299991607666" hidden="0" customWidth="1"/>
    <x:col min="7" max="7" width="15" hidden="0" customWidth="1"/>
    <x:col min="8" max="8" width="13.130000114440918" hidden="0" customWidth="1"/>
    <x:col min="9" max="9" width="26.25" hidden="0" customWidth="1"/>
    <x:col min="10" max="10" width="13.130000114440918" hidden="0" customWidth="1"/>
    <x:col min="11" max="11" width="10.630000114440918" hidden="0" customWidth="1"/>
    <x:col min="12" max="12" width="13.75" hidden="0" customWidth="1"/>
    <x:col min="13" max="13" width="13.75" hidden="0" customWidth="1"/>
    <x:col min="14" max="14" width="13.75" hidden="0" customWidth="1"/>
    <x:col min="15" max="15" width="13.75" hidden="0" customWidth="1"/>
    <x:col min="16" max="16" width="15" hidden="0" customWidth="1"/>
    <x:col min="17" max="17" width="12.5" hidden="0" customWidth="1"/>
    <x:col min="18" max="18" width="35" hidden="0" customWidth="1"/>
    <x:col min="19" max="19" width="16.25" hidden="0" customWidth="1"/>
    <x:col min="20" max="20" width="11.25" hidden="0" customWidth="1"/>
    <x:col min="21" max="21" width="8.75" hidden="0" customWidth="1"/>
    <x:col min="22" max="22" width="11.25" hidden="0" customWidth="1"/>
    <x:col min="23" max="23" width="31.25" hidden="0" customWidth="1"/>
    <x:col min="24" max="24" width="45" hidden="0" customWidth="1"/>
  </x:cols>
  <x:sheetData>
    <x:row r="1" ht="28" customHeight="1">
      <x:c r="A1" s="3" t="str">
        <x:v>文件總表｜每份來源一列</x:v>
      </x:c>
      <x:c r="B1" s="3" t="str">
        <x:v>文件總表｜每份來源一列</x:v>
      </x:c>
      <x:c r="C1" s="3" t="str">
        <x:v>文件總表｜每份來源一列</x:v>
      </x:c>
      <x:c r="D1" s="3" t="str">
        <x:v>文件總表｜每份來源一列</x:v>
      </x:c>
      <x:c r="E1" s="3" t="str">
        <x:v>文件總表｜每份來源一列</x:v>
      </x:c>
      <x:c r="F1" s="3" t="str">
        <x:v>文件總表｜每份來源一列</x:v>
      </x:c>
      <x:c r="G1" s="3" t="str">
        <x:v>文件總表｜每份來源一列</x:v>
      </x:c>
      <x:c r="H1" s="3" t="str">
        <x:v>文件總表｜每份來源一列</x:v>
      </x:c>
      <x:c r="I1" s="3" t="str">
        <x:v>文件總表｜每份來源一列</x:v>
      </x:c>
      <x:c r="J1" s="3" t="str">
        <x:v>文件總表｜每份來源一列</x:v>
      </x:c>
      <x:c r="K1" s="3" t="str">
        <x:v>文件總表｜每份來源一列</x:v>
      </x:c>
      <x:c r="L1" s="3" t="str">
        <x:v>文件總表｜每份來源一列</x:v>
      </x:c>
      <x:c r="M1" s="3" t="str">
        <x:v>文件總表｜每份來源一列</x:v>
      </x:c>
      <x:c r="N1" s="3" t="str">
        <x:v>文件總表｜每份來源一列</x:v>
      </x:c>
      <x:c r="O1" s="3" t="str">
        <x:v>文件總表｜每份來源一列</x:v>
      </x:c>
      <x:c r="P1" s="3" t="str">
        <x:v>文件總表｜每份來源一列</x:v>
      </x:c>
      <x:c r="Q1" s="3" t="str">
        <x:v>文件總表｜每份來源一列</x:v>
      </x:c>
      <x:c r="R1" s="3" t="str">
        <x:v>文件總表｜每份來源一列</x:v>
      </x:c>
      <x:c r="S1" s="3" t="str">
        <x:v>文件總表｜每份來源一列</x:v>
      </x:c>
      <x:c r="T1" s="3" t="str">
        <x:v>文件總表｜每份來源一列</x:v>
      </x:c>
      <x:c r="U1" s="3" t="str">
        <x:v>文件總表｜每份來源一列</x:v>
      </x:c>
      <x:c r="V1" s="3" t="str">
        <x:v>文件總表｜每份來源一列</x:v>
      </x:c>
      <x:c r="W1" s="3" t="str">
        <x:v>文件總表｜每份來源一列</x:v>
      </x:c>
      <x:c r="X1" s="3" t="str">
        <x:v>文件總表｜每份來源一列</x:v>
      </x:c>
    </x:row>
    <x:row r="2" ht="28" customHeight="1">
      <x:c r="A2" s="3" t="str">
        <x:v>文件總表｜每份來源一列</x:v>
      </x:c>
      <x:c r="B2" s="3" t="str">
        <x:v>文件總表｜每份來源一列</x:v>
      </x:c>
      <x:c r="C2" s="3" t="str">
        <x:v>文件總表｜每份來源一列</x:v>
      </x:c>
      <x:c r="D2" s="3" t="str">
        <x:v>文件總表｜每份來源一列</x:v>
      </x:c>
      <x:c r="E2" s="3" t="str">
        <x:v>文件總表｜每份來源一列</x:v>
      </x:c>
      <x:c r="F2" s="3" t="str">
        <x:v>文件總表｜每份來源一列</x:v>
      </x:c>
      <x:c r="G2" s="3" t="str">
        <x:v>文件總表｜每份來源一列</x:v>
      </x:c>
      <x:c r="H2" s="3" t="str">
        <x:v>文件總表｜每份來源一列</x:v>
      </x:c>
      <x:c r="I2" s="3" t="str">
        <x:v>文件總表｜每份來源一列</x:v>
      </x:c>
      <x:c r="J2" s="3" t="str">
        <x:v>文件總表｜每份來源一列</x:v>
      </x:c>
      <x:c r="K2" s="3" t="str">
        <x:v>文件總表｜每份來源一列</x:v>
      </x:c>
      <x:c r="L2" s="3" t="str">
        <x:v>文件總表｜每份來源一列</x:v>
      </x:c>
      <x:c r="M2" s="3" t="str">
        <x:v>文件總表｜每份來源一列</x:v>
      </x:c>
      <x:c r="N2" s="3" t="str">
        <x:v>文件總表｜每份來源一列</x:v>
      </x:c>
      <x:c r="O2" s="3" t="str">
        <x:v>文件總表｜每份來源一列</x:v>
      </x:c>
      <x:c r="P2" s="3" t="str">
        <x:v>文件總表｜每份來源一列</x:v>
      </x:c>
      <x:c r="Q2" s="3" t="str">
        <x:v>文件總表｜每份來源一列</x:v>
      </x:c>
      <x:c r="R2" s="3" t="str">
        <x:v>文件總表｜每份來源一列</x:v>
      </x:c>
      <x:c r="S2" s="3" t="str">
        <x:v>文件總表｜每份來源一列</x:v>
      </x:c>
      <x:c r="T2" s="3" t="str">
        <x:v>文件總表｜每份來源一列</x:v>
      </x:c>
      <x:c r="U2" s="3" t="str">
        <x:v>文件總表｜每份來源一列</x:v>
      </x:c>
      <x:c r="V2" s="3" t="str">
        <x:v>文件總表｜每份來源一列</x:v>
      </x:c>
      <x:c r="W2" s="3" t="str">
        <x:v>文件總表｜每份來源一列</x:v>
      </x:c>
      <x:c r="X2" s="3" t="str">
        <x:v>文件總表｜每份來源一列</x:v>
      </x:c>
    </x:row>
    <x:row r="3">
      <x:c r="A3" s="60" t="str">
        <x:v>金額欄位均依文件明載擷取；文件採列總額僅採優先順序為：實收／協商、含稅／總計、合約總額、報價總額、未稅。該欄未進行版本去重。</x:v>
      </x:c>
      <x:c r="B3" s="60" t="str">
        <x:v>金額欄位均依文件明載擷取；文件採列總額僅採優先順序為：實收／協商、含稅／總計、合約總額、報價總額、未稅。該欄未進行版本去重。</x:v>
      </x:c>
      <x:c r="C3" s="60" t="str">
        <x:v>金額欄位均依文件明載擷取；文件採列總額僅採優先順序為：實收／協商、含稅／總計、合約總額、報價總額、未稅。該欄未進行版本去重。</x:v>
      </x:c>
      <x:c r="D3" s="60" t="str">
        <x:v>金額欄位均依文件明載擷取；文件採列總額僅採優先順序為：實收／協商、含稅／總計、合約總額、報價總額、未稅。該欄未進行版本去重。</x:v>
      </x:c>
      <x:c r="E3" s="60" t="str">
        <x:v>金額欄位均依文件明載擷取；文件採列總額僅採優先順序為：實收／協商、含稅／總計、合約總額、報價總額、未稅。該欄未進行版本去重。</x:v>
      </x:c>
      <x:c r="F3" s="60" t="str">
        <x:v>金額欄位均依文件明載擷取；文件採列總額僅採優先順序為：實收／協商、含稅／總計、合約總額、報價總額、未稅。該欄未進行版本去重。</x:v>
      </x:c>
      <x:c r="G3" s="60" t="str">
        <x:v>金額欄位均依文件明載擷取；文件採列總額僅採優先順序為：實收／協商、含稅／總計、合約總額、報價總額、未稅。該欄未進行版本去重。</x:v>
      </x:c>
      <x:c r="H3" s="60" t="str">
        <x:v>金額欄位均依文件明載擷取；文件採列總額僅採優先順序為：實收／協商、含稅／總計、合約總額、報價總額、未稅。該欄未進行版本去重。</x:v>
      </x:c>
      <x:c r="I3" s="60" t="str">
        <x:v>金額欄位均依文件明載擷取；文件採列總額僅採優先順序為：實收／協商、含稅／總計、合約總額、報價總額、未稅。該欄未進行版本去重。</x:v>
      </x:c>
      <x:c r="J3" s="60" t="str">
        <x:v>金額欄位均依文件明載擷取；文件採列總額僅採優先順序為：實收／協商、含稅／總計、合約總額、報價總額、未稅。該欄未進行版本去重。</x:v>
      </x:c>
      <x:c r="K3" s="60" t="str">
        <x:v>金額欄位均依文件明載擷取；文件採列總額僅採優先順序為：實收／協商、含稅／總計、合約總額、報價總額、未稅。該欄未進行版本去重。</x:v>
      </x:c>
      <x:c r="L3" s="60" t="str">
        <x:v>金額欄位均依文件明載擷取；文件採列總額僅採優先順序為：實收／協商、含稅／總計、合約總額、報價總額、未稅。該欄未進行版本去重。</x:v>
      </x:c>
      <x:c r="M3" s="60" t="str">
        <x:v>金額欄位均依文件明載擷取；文件採列總額僅採優先順序為：實收／協商、含稅／總計、合約總額、報價總額、未稅。該欄未進行版本去重。</x:v>
      </x:c>
      <x:c r="N3" s="60" t="str">
        <x:v>金額欄位均依文件明載擷取；文件採列總額僅採優先順序為：實收／協商、含稅／總計、合約總額、報價總額、未稅。該欄未進行版本去重。</x:v>
      </x:c>
      <x:c r="O3" s="60" t="str">
        <x:v>金額欄位均依文件明載擷取；文件採列總額僅採優先順序為：實收／協商、含稅／總計、合約總額、報價總額、未稅。該欄未進行版本去重。</x:v>
      </x:c>
      <x:c r="P3" s="60" t="str">
        <x:v>金額欄位均依文件明載擷取；文件採列總額僅採優先順序為：實收／協商、含稅／總計、合約總額、報價總額、未稅。該欄未進行版本去重。</x:v>
      </x:c>
      <x:c r="Q3" s="60" t="str">
        <x:v>金額欄位均依文件明載擷取；文件採列總額僅採優先順序為：實收／協商、含稅／總計、合約總額、報價總額、未稅。該欄未進行版本去重。</x:v>
      </x:c>
      <x:c r="R3" s="60" t="str">
        <x:v>金額欄位均依文件明載擷取；文件採列總額僅採優先順序為：實收／協商、含稅／總計、合約總額、報價總額、未稅。該欄未進行版本去重。</x:v>
      </x:c>
      <x:c r="S3" s="60" t="str">
        <x:v>金額欄位均依文件明載擷取；文件採列總額僅採優先順序為：實收／協商、含稅／總計、合約總額、報價總額、未稅。該欄未進行版本去重。</x:v>
      </x:c>
      <x:c r="T3" s="60" t="str">
        <x:v>金額欄位均依文件明載擷取；文件採列總額僅採優先順序為：實收／協商、含稅／總計、合約總額、報價總額、未稅。該欄未進行版本去重。</x:v>
      </x:c>
      <x:c r="U3" s="60" t="str">
        <x:v>金額欄位均依文件明載擷取；文件採列總額僅採優先順序為：實收／協商、含稅／總計、合約總額、報價總額、未稅。該欄未進行版本去重。</x:v>
      </x:c>
      <x:c r="V3" s="60" t="str">
        <x:v>金額欄位均依文件明載擷取；文件採列總額僅採優先順序為：實收／協商、含稅／總計、合約總額、報價總額、未稅。該欄未進行版本去重。</x:v>
      </x:c>
      <x:c r="W3" s="60" t="str">
        <x:v>金額欄位均依文件明載擷取；文件採列總額僅採優先順序為：實收／協商、含稅／總計、合約總額、報價總額、未稅。該欄未進行版本去重。</x:v>
      </x:c>
      <x:c r="X3" s="60" t="str">
        <x:v>金額欄位均依文件明載擷取；文件採列總額僅採優先順序為：實收／協商、含稅／總計、合約總額、報價總額、未稅。該欄未進行版本去重。</x:v>
      </x:c>
    </x:row>
    <x:row r="4">
      <x:c r="A4" s="66" t="str">
        <x:v>來源ID</x:v>
      </x:c>
      <x:c r="B4" s="66" t="str">
        <x:v>檔名</x:v>
      </x:c>
      <x:c r="C4" s="66" t="str">
        <x:v>副檔</x:v>
      </x:c>
      <x:c r="D4" s="66" t="str">
        <x:v>文件日期</x:v>
      </x:c>
      <x:c r="E4" s="66" t="str">
        <x:v>文件類型</x:v>
      </x:c>
      <x:c r="F4" s="66" t="str">
        <x:v>賣方（文件明載）</x:v>
      </x:c>
      <x:c r="G4" s="66" t="str">
        <x:v>文件統編（文件明載）</x:v>
      </x:c>
      <x:c r="H4" s="66" t="str">
        <x:v>文件統編狀態</x:v>
      </x:c>
      <x:c r="I4" s="66" t="str">
        <x:v>地址（文件明載）</x:v>
      </x:c>
      <x:c r="J4" s="66" t="str">
        <x:v>未稅</x:v>
      </x:c>
      <x:c r="K4" s="66" t="str">
        <x:v>稅額</x:v>
      </x:c>
      <x:c r="L4" s="66" t="str">
        <x:v>含稅／總計</x:v>
      </x:c>
      <x:c r="M4" s="66" t="str">
        <x:v>實收／協商價</x:v>
      </x:c>
      <x:c r="N4" s="66" t="str">
        <x:v>合約總額</x:v>
      </x:c>
      <x:c r="O4" s="66" t="str">
        <x:v>報價總額</x:v>
      </x:c>
      <x:c r="P4" s="66" t="str">
        <x:v>文件採列總額</x:v>
      </x:c>
      <x:c r="Q4" s="66" t="str">
        <x:v>採列依據</x:v>
      </x:c>
      <x:c r="R4" s="66" t="str">
        <x:v>付款條件</x:v>
      </x:c>
      <x:c r="S4" s="66" t="str">
        <x:v>版本／追加標記</x:v>
      </x:c>
      <x:c r="T4" s="66" t="str">
        <x:v>表格／段落列數</x:v>
      </x:c>
      <x:c r="U4" s="66" t="str">
        <x:v>全文段數</x:v>
      </x:c>
      <x:c r="V4" s="66" t="str">
        <x:v>擷取狀態</x:v>
      </x:c>
      <x:c r="W4" s="66" t="str">
        <x:v>註記</x:v>
      </x:c>
      <x:c r="X4" s="66" t="str">
        <x:v>來源路徑</x:v>
      </x:c>
    </x:row>
    <x:row r="5">
      <x:c r="A5" s="69" t="str">
        <x:v>SRC001</x:v>
      </x:c>
      <x:c r="B5" s="69" t="str">
        <x:v>0921向上建設機械車位合約.docx</x:v>
      </x:c>
      <x:c r="C5" s="69" t="str">
        <x:v>.docx</x:v>
      </x:c>
      <x:c r="D5" s="69" t="str">
        <x:v>2023-09-21</x:v>
      </x:c>
      <x:c r="E5" s="69" t="str">
        <x:v>圖面／選色表</x:v>
      </x:c>
      <x:c r="F5" s="71" t="str">
        <x:v>俐麒企業有限公司</x:v>
      </x:c>
      <x:c r="G5" s="71" t="str">
        <x:v>16342783</x:v>
      </x:c>
      <x:c r="H5" s="71" t="str">
        <x:v>文件明載</x:v>
      </x:c>
      <x:c r="I5" s="71" t="str">
        <x:v>苗栗縣竹南鎮康德街71號</x:v>
      </x:c>
      <x:c r="J5" s="70" t="n">
        <x:v>1400000</x:v>
      </x:c>
      <x:c r="K5" s="70" t="n">
        <x:v>70000</x:v>
      </x:c>
      <x:c r="L5" s="70" t="n">
        <x:v>1470000</x:v>
      </x:c>
      <x:c r="M5" s="70"/>
      <x:c r="N5" s="70" t="n">
        <x:v>1470000</x:v>
      </x:c>
      <x:c r="O5" s="70"/>
      <x:c r="P5" s="70" t="n">
        <x:v>1470000</x:v>
      </x:c>
      <x:c r="Q5" s="70" t="str">
        <x:v>含稅／總計</x:v>
      </x:c>
      <x:c r="R5" s="71" t="str">
        <x:v>source_section：1；text：【段落 1】俐麒企業有限公司 機械車位安裝報價單 【段落 2】聯絡人：王承隆 【段落 3】電話：0931-693210 22973329 傳真：22960420 【段落 4】向上建設有限公司 洪經理 台照 【段落 5】電話： 傳真： 【段落 6】地點：苗栗後龍 【段落 7】日期：112年9月21日 【表格 1 列 1】項目 | | 單 價 | 數 量 | 合 計 【表格 1 列 2】1 | 油壓式叁層橫移：鋼索 | 175,000. | 8個 | 1,…（詳原文索引）</x:v>
      </x:c>
      <x:c r="S5" s="71" t="str">
        <x:v>未標示</x:v>
      </x:c>
      <x:c r="T5" s="71" t="n">
        <x:v>34</x:v>
      </x:c>
      <x:c r="U5" s="71" t="n">
        <x:v>0</x:v>
      </x:c>
      <x:c r="V5" s="71" t="str">
        <x:v>已擷取文字與表格</x:v>
      </x:c>
      <x:c r="W5" s="71" t="str"/>
      <x:c r="X5" s="71" t="str">
        <x:v>各廠商合約&amp; 報價\MD檔案\0921向上建設機械車位合約.docx</x:v>
      </x:c>
    </x:row>
    <x:row r="6">
      <x:c r="A6" s="69" t="str">
        <x:v>SRC002</x:v>
      </x:c>
      <x:c r="B6" s="69" t="str">
        <x:v>20230424 TOTO衛浴.md</x:v>
      </x:c>
      <x:c r="C6" s="69" t="str">
        <x:v>.md</x:v>
      </x:c>
      <x:c r="D6" s="69" t="str">
        <x:v>文件未載明</x:v>
      </x:c>
      <x:c r="E6" s="69" t="str">
        <x:v>報價單</x:v>
      </x:c>
      <x:c r="F6" s="71" t="str">
        <x:v>文件未載明</x:v>
      </x:c>
      <x:c r="G6" s="71" t="str">
        <x:v>文件未載明</x:v>
      </x:c>
      <x:c r="H6" s="71" t="str">
        <x:v>文件未載明</x:v>
      </x:c>
      <x:c r="I6" s="71" t="str">
        <x:v>文件未載明</x:v>
      </x:c>
      <x:c r="J6" s="70"/>
      <x:c r="K6" s="70" t="n">
        <x:v>76676</x:v>
      </x:c>
      <x:c r="L6" s="70"/>
      <x:c r="M6" s="70" t="n">
        <x:v>1577000</x:v>
      </x:c>
      <x:c r="N6" s="70" t="n">
        <x:v>1610186</x:v>
      </x:c>
      <x:c r="O6" s="70"/>
      <x:c r="P6" s="70" t="n">
        <x:v>1577000</x:v>
      </x:c>
      <x:c r="Q6" s="70" t="str">
        <x:v>實收／協商價</x:v>
      </x:c>
      <x:c r="R6" s="71" t="str">
        <x:v>text：&lt;table&gt;&lt;tr&gt;&lt;td colspan="3"&gt;公司名稱:向上建設股份有限公司&lt;/td&gt;&lt;td colspan="4"&gt;地址:苗栗縣竹南鎮中正路423號&lt;/td&gt;&lt;td&gt;&lt;/td&gt;&lt;td&gt;&lt;/td&gt;&lt;td&gt;&lt;/td&gt;&lt;td&gt;&lt;/td&gt;&lt;td&gt;&lt;/td&gt;&lt;/tr&gt;&lt;tr&gt;&lt;td colspan="3"&gt;案件名稱:&lt;/td&gt;&lt;td colspan="4"&gt;電話:0932-695878&lt;/td&gt;&lt;td&gt;&lt;/td&gt;&lt;td&gt;&lt;/td&gt;&lt;td&gt;&lt;/td&gt;&lt;td&gt;&lt;/td&gt;&lt;td&gt;&lt;/td&gt;&lt;…（詳原文索引）</x:v>
      </x:c>
      <x:c r="S6" s="71" t="str">
        <x:v>marker：文件未載明；source_locator：文件未載明</x:v>
      </x:c>
      <x:c r="T6" s="71" t="n">
        <x:v>33</x:v>
      </x:c>
      <x:c r="U6" s="71" t="n">
        <x:v>1</x:v>
      </x:c>
      <x:c r="V6" s="71" t="str">
        <x:v>全文及所有 HTML 表列已保留；結構化欄位以來源明載為限</x:v>
      </x:c>
      <x:c r="W6" s="71" t="str">
        <x:v>來源明載或文件未載明</x:v>
      </x:c>
      <x:c r="X6" s="71" t="str">
        <x:v>各廠商合約&amp; 報價\MD檔案\20230424 TOTO衛浴.md</x:v>
      </x:c>
    </x:row>
    <x:row r="7">
      <x:c r="A7" s="69" t="str">
        <x:v>SRC003</x:v>
      </x:c>
      <x:c r="B7" s="69" t="str">
        <x:v>20230613 地質鑽探.md</x:v>
      </x:c>
      <x:c r="C7" s="69" t="str">
        <x:v>.md</x:v>
      </x:c>
      <x:c r="D7" s="69" t="str">
        <x:v>2023-06-13</x:v>
      </x:c>
      <x:c r="E7" s="69" t="str">
        <x:v>報價單</x:v>
      </x:c>
      <x:c r="F7" s="71" t="str">
        <x:v>文件未載明</x:v>
      </x:c>
      <x:c r="G7" s="71" t="str">
        <x:v>文件未載明</x:v>
      </x:c>
      <x:c r="H7" s="71" t="str">
        <x:v>文件未載明</x:v>
      </x:c>
      <x:c r="I7" s="71" t="str">
        <x:v>文件未載明</x:v>
      </x:c>
      <x:c r="J7" s="70"/>
      <x:c r="K7" s="70"/>
      <x:c r="L7" s="70"/>
      <x:c r="M7" s="70"/>
      <x:c r="N7" s="70" t="n">
        <x:v>36750</x:v>
      </x:c>
      <x:c r="O7" s="70"/>
      <x:c r="P7" s="70" t="n">
        <x:v>36750</x:v>
      </x:c>
      <x:c r="Q7" s="70" t="str">
        <x:v>合約總額</x:v>
      </x:c>
      <x:c r="R7" s="71" t="str">
        <x:v>text：文件未載明；source_locator：文件未載明</x:v>
      </x:c>
      <x:c r="S7" s="71" t="str">
        <x:v>marker：文件未載明；source_locator：文件未載明</x:v>
      </x:c>
      <x:c r="T7" s="71" t="n">
        <x:v>19</x:v>
      </x:c>
      <x:c r="U7" s="71" t="n">
        <x:v>1</x:v>
      </x:c>
      <x:c r="V7" s="71" t="str">
        <x:v>全文及所有 HTML 表列已保留；結構化欄位以來源明載為限</x:v>
      </x:c>
      <x:c r="W7" s="71" t="str">
        <x:v>來源明載或文件未載明</x:v>
      </x:c>
      <x:c r="X7" s="71" t="str">
        <x:v>各廠商合約&amp; 報價\MD檔案\20230613 地質鑽探.md</x:v>
      </x:c>
    </x:row>
    <x:row r="8">
      <x:c r="A8" s="69" t="str">
        <x:v>SRC004</x:v>
      </x:c>
      <x:c r="B8" s="69" t="str">
        <x:v>20231212 YKK 鋁門窗.md</x:v>
      </x:c>
      <x:c r="C8" s="69" t="str">
        <x:v>.md</x:v>
      </x:c>
      <x:c r="D8" s="69" t="str">
        <x:v>2023-12-12</x:v>
      </x:c>
      <x:c r="E8" s="69" t="str">
        <x:v>報價單</x:v>
      </x:c>
      <x:c r="F8" s="71" t="str">
        <x:v>文件未載明</x:v>
      </x:c>
      <x:c r="G8" s="71" t="str">
        <x:v>文件未載明</x:v>
      </x:c>
      <x:c r="H8" s="71" t="str">
        <x:v>文件未載明</x:v>
      </x:c>
      <x:c r="I8" s="71" t="str">
        <x:v>文件未載明</x:v>
      </x:c>
      <x:c r="J8" s="70"/>
      <x:c r="K8" s="70" t="n">
        <x:v>118939</x:v>
      </x:c>
      <x:c r="L8" s="70"/>
      <x:c r="M8" s="70"/>
      <x:c r="N8" s="70"/>
      <x:c r="O8" s="70"/>
      <x:c r="P8" s="70"/>
      <x:c r="Q8" s="70" t="str">
        <x:v>文件未載明</x:v>
      </x:c>
      <x:c r="R8" s="71" t="str">
        <x:v>text：文件未載明；source_locator：文件未載明</x:v>
      </x:c>
      <x:c r="S8" s="71" t="str">
        <x:v>marker：文件未載明；source_locator：文件未載明</x:v>
      </x:c>
      <x:c r="T8" s="71" t="n">
        <x:v>33</x:v>
      </x:c>
      <x:c r="U8" s="71" t="n">
        <x:v>1</x:v>
      </x:c>
      <x:c r="V8" s="71" t="str">
        <x:v>全文及所有 HTML 表列已保留；結構化欄位以來源明載為限</x:v>
      </x:c>
      <x:c r="W8" s="71" t="str">
        <x:v>來源中有多個不同總額，請依 amount_candidates 稽核</x:v>
      </x:c>
      <x:c r="X8" s="71" t="str">
        <x:v>各廠商合約&amp; 報價\MD檔案\20231212 YKK 鋁門窗.md</x:v>
      </x:c>
    </x:row>
    <x:row r="9">
      <x:c r="A9" s="69" t="str">
        <x:v>SRC005</x:v>
      </x:c>
      <x:c r="B9" s="69" t="str">
        <x:v>20231226 TOTO衛浴.md</x:v>
      </x:c>
      <x:c r="C9" s="69" t="str">
        <x:v>.md</x:v>
      </x:c>
      <x:c r="D9" s="69" t="str">
        <x:v>2023-12-26</x:v>
      </x:c>
      <x:c r="E9" s="69" t="str">
        <x:v>報價單</x:v>
      </x:c>
      <x:c r="F9" s="71" t="str">
        <x:v>文件未載明</x:v>
      </x:c>
      <x:c r="G9" s="71" t="str">
        <x:v>文件未載明</x:v>
      </x:c>
      <x:c r="H9" s="71" t="str">
        <x:v>文件未載明</x:v>
      </x:c>
      <x:c r="I9" s="71" t="str">
        <x:v>文件未載明</x:v>
      </x:c>
      <x:c r="J9" s="70"/>
      <x:c r="K9" s="70" t="n">
        <x:v>92406</x:v>
      </x:c>
      <x:c r="L9" s="70" t="n">
        <x:v>16</x:v>
      </x:c>
      <x:c r="M9" s="70" t="n">
        <x:v>1907330</x:v>
      </x:c>
      <x:c r="N9" s="70" t="n">
        <x:v>1940516</x:v>
      </x:c>
      <x:c r="O9" s="70"/>
      <x:c r="P9" s="70" t="n">
        <x:v>1907330</x:v>
      </x:c>
      <x:c r="Q9" s="70" t="str">
        <x:v>實收／協商價</x:v>
      </x:c>
      <x:c r="R9" s="71" t="str">
        <x:v>text：&lt;table&gt;&lt;tr&gt;&lt;td colspan="3"&gt;公司名稱:向上建設股份有限公司&lt;/td&gt;&lt;td colspan="4"&gt;地址:苗栗縣竹南鎮中正路423號&lt;/td&gt;&lt;/tr&gt;&lt;tr&gt;&lt;td colspan="3"&gt;案件名稱:&lt;/td&gt;&lt;td colspan="4"&gt;電話:0932-695878&lt;/td&gt;&lt;/tr&gt;&lt;tr&gt;&lt;td colspan="3"&gt;聯絡人:洪建豪先生&lt;/td&gt;&lt;td colspan="4"&gt;傳真:&lt;/td&gt;&lt;/tr&gt;&lt;tr&gt;&lt;td&gt;項次&lt;/td&gt;&lt;td&gt;品名&lt;/…（詳原文索引）</x:v>
      </x:c>
      <x:c r="S9" s="71" t="str">
        <x:v>marker：文件未載明；source_locator：文件未載明</x:v>
      </x:c>
      <x:c r="T9" s="71" t="n">
        <x:v>21</x:v>
      </x:c>
      <x:c r="U9" s="71" t="n">
        <x:v>1</x:v>
      </x:c>
      <x:c r="V9" s="71" t="str">
        <x:v>全文及所有 HTML 表列已保留；結構化欄位以來源明載為限</x:v>
      </x:c>
      <x:c r="W9" s="71" t="str">
        <x:v>來源明載或文件未載明</x:v>
      </x:c>
      <x:c r="X9" s="71" t="str">
        <x:v>各廠商合約&amp; 報價\MD檔案\20231226 TOTO衛浴.md</x:v>
      </x:c>
    </x:row>
    <x:row r="10">
      <x:c r="A10" s="69" t="str">
        <x:v>SRC006</x:v>
      </x:c>
      <x:c r="B10" s="69" t="str">
        <x:v>20240326 國璽寶 磁磚.md</x:v>
      </x:c>
      <x:c r="C10" s="69" t="str">
        <x:v>.md</x:v>
      </x:c>
      <x:c r="D10" s="69" t="str">
        <x:v>2024-03-26</x:v>
      </x:c>
      <x:c r="E10" s="69" t="str">
        <x:v>報價明細表</x:v>
      </x:c>
      <x:c r="F10" s="71" t="str">
        <x:v>文件未載明</x:v>
      </x:c>
      <x:c r="G10" s="71" t="str">
        <x:v>文件未載明</x:v>
      </x:c>
      <x:c r="H10" s="71" t="str">
        <x:v>文件未載明</x:v>
      </x:c>
      <x:c r="I10" s="71" t="str">
        <x:v>文件未載明</x:v>
      </x:c>
      <x:c r="J10" s="70"/>
      <x:c r="K10" s="70" t="n">
        <x:v>2</x:v>
      </x:c>
      <x:c r="L10" s="70"/>
      <x:c r="M10" s="70"/>
      <x:c r="N10" s="70"/>
      <x:c r="O10" s="70"/>
      <x:c r="P10" s="70"/>
      <x:c r="Q10" s="70" t="str">
        <x:v>文件未載明</x:v>
      </x:c>
      <x:c r="R10" s="71" t="str">
        <x:v>text：文件未載明；source_locator：文件未載明</x:v>
      </x:c>
      <x:c r="S10" s="71" t="str">
        <x:v>marker：文件未載明；source_locator：文件未載明</x:v>
      </x:c>
      <x:c r="T10" s="71" t="n">
        <x:v>13</x:v>
      </x:c>
      <x:c r="U10" s="71" t="n">
        <x:v>1</x:v>
      </x:c>
      <x:c r="V10" s="71" t="str">
        <x:v>全文及所有 HTML 表列已保留；結構化欄位以來源明載為限</x:v>
      </x:c>
      <x:c r="W10" s="71" t="str">
        <x:v>來源明載或文件未載明</x:v>
      </x:c>
      <x:c r="X10" s="71" t="str">
        <x:v>各廠商合約&amp; 報價\MD檔案\20240326 國璽寶 磁磚.md</x:v>
      </x:c>
    </x:row>
    <x:row r="11">
      <x:c r="A11" s="69" t="str">
        <x:v>SRC007</x:v>
      </x:c>
      <x:c r="B11" s="69" t="str">
        <x:v>20240506 鎖庫 智能衣架.md</x:v>
      </x:c>
      <x:c r="C11" s="69" t="str">
        <x:v>.md</x:v>
      </x:c>
      <x:c r="D11" s="69" t="str">
        <x:v>2024-05-06</x:v>
      </x:c>
      <x:c r="E11" s="69" t="str">
        <x:v>報價單</x:v>
      </x:c>
      <x:c r="F11" s="71" t="str">
        <x:v>文件未載明</x:v>
      </x:c>
      <x:c r="G11" s="71" t="str">
        <x:v>文件未載明</x:v>
      </x:c>
      <x:c r="H11" s="71" t="str">
        <x:v>文件未載明</x:v>
      </x:c>
      <x:c r="I11" s="71" t="str">
        <x:v>文件未載明</x:v>
      </x:c>
      <x:c r="J11" s="70" t="n">
        <x:v>10620</x:v>
      </x:c>
      <x:c r="K11" s="70"/>
      <x:c r="L11" s="70"/>
      <x:c r="M11" s="70"/>
      <x:c r="N11" s="70" t="n">
        <x:v>10620</x:v>
      </x:c>
      <x:c r="O11" s="70"/>
      <x:c r="P11" s="70" t="n">
        <x:v>10620</x:v>
      </x:c>
      <x:c r="Q11" s="70" t="str">
        <x:v>合約總額</x:v>
      </x:c>
      <x:c r="R11" s="71" t="str">
        <x:v>text：4.付款方式:現金.匯款；source_locator：本文第27行</x:v>
      </x:c>
      <x:c r="S11" s="71" t="str">
        <x:v>marker：文件未載明；source_locator：文件未載明</x:v>
      </x:c>
      <x:c r="T11" s="71" t="n">
        <x:v>6</x:v>
      </x:c>
      <x:c r="U11" s="71" t="n">
        <x:v>1</x:v>
      </x:c>
      <x:c r="V11" s="71" t="str">
        <x:v>全文及所有 HTML 表列已保留；結構化欄位以來源明載為限</x:v>
      </x:c>
      <x:c r="W11" s="71" t="str">
        <x:v>來源明載或文件未載明</x:v>
      </x:c>
      <x:c r="X11" s="71" t="str">
        <x:v>各廠商合約&amp; 報價\MD檔案\20240506 鎖庫 智能衣架.md</x:v>
      </x:c>
    </x:row>
    <x:row r="12">
      <x:c r="A12" s="69" t="str">
        <x:v>SRC008</x:v>
      </x:c>
      <x:c r="B12" s="69" t="str">
        <x:v>20240506 鎖庫 電子門鎖.md</x:v>
      </x:c>
      <x:c r="C12" s="69" t="str">
        <x:v>.md</x:v>
      </x:c>
      <x:c r="D12" s="69" t="str">
        <x:v>2024-03-20</x:v>
      </x:c>
      <x:c r="E12" s="69" t="str">
        <x:v>報價單</x:v>
      </x:c>
      <x:c r="F12" s="71" t="str">
        <x:v>文件未載明</x:v>
      </x:c>
      <x:c r="G12" s="71" t="str">
        <x:v>文件未載明</x:v>
      </x:c>
      <x:c r="H12" s="71" t="str">
        <x:v>文件未載明</x:v>
      </x:c>
      <x:c r="I12" s="71" t="str">
        <x:v>文件未載明</x:v>
      </x:c>
      <x:c r="J12" s="70"/>
      <x:c r="K12" s="70"/>
      <x:c r="L12" s="70"/>
      <x:c r="M12" s="70"/>
      <x:c r="N12" s="70"/>
      <x:c r="O12" s="70"/>
      <x:c r="P12" s="70"/>
      <x:c r="Q12" s="70" t="str">
        <x:v>文件未載明</x:v>
      </x:c>
      <x:c r="R12" s="71" t="str">
        <x:v>text：4.付款方式:現金.匯款；source_locator：本文第27行</x:v>
      </x:c>
      <x:c r="S12" s="71" t="str">
        <x:v>marker：文件未載明；source_locator：文件未載明</x:v>
      </x:c>
      <x:c r="T12" s="71" t="n">
        <x:v>6</x:v>
      </x:c>
      <x:c r="U12" s="71" t="n">
        <x:v>1</x:v>
      </x:c>
      <x:c r="V12" s="71" t="str">
        <x:v>全文及所有 HTML 表列已保留；結構化欄位以來源明載為限</x:v>
      </x:c>
      <x:c r="W12" s="71" t="str">
        <x:v>來源明載或文件未載明</x:v>
      </x:c>
      <x:c r="X12" s="71" t="str">
        <x:v>各廠商合約&amp; 報價\MD檔案\20240506 鎖庫 電子門鎖.md</x:v>
      </x:c>
    </x:row>
    <x:row r="13">
      <x:c r="A13" s="69" t="str">
        <x:v>SRC009</x:v>
      </x:c>
      <x:c r="B13" s="69" t="str">
        <x:v>20240507 固多多.md</x:v>
      </x:c>
      <x:c r="C13" s="69" t="str">
        <x:v>.md</x:v>
      </x:c>
      <x:c r="D13" s="69" t="str">
        <x:v>2024-05-20</x:v>
      </x:c>
      <x:c r="E13" s="69" t="str">
        <x:v>合約書／報價單</x:v>
      </x:c>
      <x:c r="F13" s="71" t="str">
        <x:v>文件未載明</x:v>
      </x:c>
      <x:c r="G13" s="71" t="str">
        <x:v>文件未載明</x:v>
      </x:c>
      <x:c r="H13" s="71" t="str">
        <x:v>文件未載明</x:v>
      </x:c>
      <x:c r="I13" s="71" t="str">
        <x:v>文件未載明</x:v>
      </x:c>
      <x:c r="J13" s="70"/>
      <x:c r="K13" s="70"/>
      <x:c r="L13" s="70"/>
      <x:c r="M13" s="70"/>
      <x:c r="N13" s="70"/>
      <x:c r="O13" s="70"/>
      <x:c r="P13" s="70"/>
      <x:c r="Q13" s="70" t="str">
        <x:v>文件未載明</x:v>
      </x:c>
      <x:c r="R13" s="71" t="str">
        <x:v>text：\*付款约定：月結現金(例如：5月26日至6月25日交貨結算後，於7月25日前以現金或即期支票一次付清。)；source_locator：本文第47行</x:v>
      </x:c>
      <x:c r="S13" s="71" t="str">
        <x:v>marker：文件未載明；source_locator：文件未載明</x:v>
      </x:c>
      <x:c r="T13" s="71" t="n">
        <x:v>1</x:v>
      </x:c>
      <x:c r="U13" s="71" t="n">
        <x:v>1</x:v>
      </x:c>
      <x:c r="V13" s="71" t="str">
        <x:v>全文及所有 HTML 表列已保留；結構化欄位以來源明載為限</x:v>
      </x:c>
      <x:c r="W13" s="71" t="str">
        <x:v>來源中有多個不同總額，請依 amount_candidates 稽核</x:v>
      </x:c>
      <x:c r="X13" s="71" t="str">
        <x:v>各廠商合約&amp; 報價\MD檔案\20240507 固多多.md</x:v>
      </x:c>
    </x:row>
    <x:row r="14">
      <x:c r="A14" s="69" t="str">
        <x:v>SRC010</x:v>
      </x:c>
      <x:c r="B14" s="69" t="str">
        <x:v>20240515 Derek 白框淋浴拉門.md</x:v>
      </x:c>
      <x:c r="C14" s="69" t="str">
        <x:v>.md</x:v>
      </x:c>
      <x:c r="D14" s="69" t="str">
        <x:v>2024-05-15</x:v>
      </x:c>
      <x:c r="E14" s="69" t="str">
        <x:v>文件未載明</x:v>
      </x:c>
      <x:c r="F14" s="71" t="str">
        <x:v>文件未載明</x:v>
      </x:c>
      <x:c r="G14" s="71" t="str">
        <x:v>文件未載明</x:v>
      </x:c>
      <x:c r="H14" s="71" t="str">
        <x:v>文件未載明</x:v>
      </x:c>
      <x:c r="I14" s="71" t="str">
        <x:v>文件未載明</x:v>
      </x:c>
      <x:c r="J14" s="70" t="n">
        <x:v>340200</x:v>
      </x:c>
      <x:c r="K14" s="70" t="n">
        <x:v>17010</x:v>
      </x:c>
      <x:c r="L14" s="70" t="n">
        <x:v>357210</x:v>
      </x:c>
      <x:c r="M14" s="70"/>
      <x:c r="N14" s="70"/>
      <x:c r="O14" s="70"/>
      <x:c r="P14" s="70" t="n">
        <x:v>357210</x:v>
      </x:c>
      <x:c r="Q14" s="70" t="str">
        <x:v>含稅／總計</x:v>
      </x:c>
      <x:c r="R14" s="71" t="str">
        <x:v>text：1. 如蒙惠顧，請預付訂金三成。；source_locator：本文第19行；text：6. 付款方式：訂金於交貨前兌現 / 請開立現金票支付貨款 / 訂金於尾款扣除。；source_locator：本文第24行</x:v>
      </x:c>
      <x:c r="S14" s="71" t="str">
        <x:v>marker：文件未載明；source_locator：文件未載明</x:v>
      </x:c>
      <x:c r="T14" s="71" t="n">
        <x:v>6</x:v>
      </x:c>
      <x:c r="U14" s="71" t="n">
        <x:v>1</x:v>
      </x:c>
      <x:c r="V14" s="71" t="str">
        <x:v>全文及所有 HTML 表列已保留；結構化欄位以來源明載為限</x:v>
      </x:c>
      <x:c r="W14" s="71" t="str">
        <x:v>來源中有多個不同總額，請依 amount_candidates 稽核</x:v>
      </x:c>
      <x:c r="X14" s="71" t="str">
        <x:v>各廠商合約&amp; 報價\MD檔案\20240515 Derek 白框淋浴拉門.md</x:v>
      </x:c>
    </x:row>
    <x:row r="15">
      <x:c r="A15" s="69" t="str">
        <x:v>SRC011</x:v>
      </x:c>
      <x:c r="B15" s="69" t="str">
        <x:v>20240515 Derek黑框淋浴拉門.md</x:v>
      </x:c>
      <x:c r="C15" s="69" t="str">
        <x:v>.md</x:v>
      </x:c>
      <x:c r="D15" s="69" t="str">
        <x:v>2024-06-07</x:v>
      </x:c>
      <x:c r="E15" s="69" t="str">
        <x:v>文件未載明</x:v>
      </x:c>
      <x:c r="F15" s="71" t="str">
        <x:v>文件未載明</x:v>
      </x:c>
      <x:c r="G15" s="71" t="str">
        <x:v>文件未載明</x:v>
      </x:c>
      <x:c r="H15" s="71" t="str">
        <x:v>文件未載明</x:v>
      </x:c>
      <x:c r="I15" s="71" t="str">
        <x:v>文件未載明</x:v>
      </x:c>
      <x:c r="J15" s="70" t="n">
        <x:v>252000</x:v>
      </x:c>
      <x:c r="K15" s="70" t="n">
        <x:v>12600</x:v>
      </x:c>
      <x:c r="L15" s="70" t="n">
        <x:v>264600</x:v>
      </x:c>
      <x:c r="M15" s="70"/>
      <x:c r="N15" s="70"/>
      <x:c r="O15" s="70"/>
      <x:c r="P15" s="70" t="n">
        <x:v>264600</x:v>
      </x:c>
      <x:c r="Q15" s="70" t="str">
        <x:v>含稅／總計</x:v>
      </x:c>
      <x:c r="R15" s="71" t="str">
        <x:v>text：1. 如蒙惠顧，請預付訂金三成。；source_locator：本文第19行；text：6. 付款方式：訂金於交貨前兌現 / 請開立現金票支付貨款 / 訂金於尾款扣除。；source_locator：本文第24行</x:v>
      </x:c>
      <x:c r="S15" s="71" t="str">
        <x:v>marker：文件未載明；source_locator：文件未載明</x:v>
      </x:c>
      <x:c r="T15" s="71" t="n">
        <x:v>5</x:v>
      </x:c>
      <x:c r="U15" s="71" t="n">
        <x:v>1</x:v>
      </x:c>
      <x:c r="V15" s="71" t="str">
        <x:v>全文及所有 HTML 表列已保留；結構化欄位以來源明載為限</x:v>
      </x:c>
      <x:c r="W15" s="71" t="str">
        <x:v>來源中有多個不同總額，請依 amount_candidates 稽核</x:v>
      </x:c>
      <x:c r="X15" s="71" t="str">
        <x:v>各廠商合約&amp; 報價\MD檔案\20240515 Derek黑框淋浴拉門.md</x:v>
      </x:c>
    </x:row>
    <x:row r="16">
      <x:c r="A16" s="69" t="str">
        <x:v>SRC012</x:v>
      </x:c>
      <x:c r="B16" s="69" t="str">
        <x:v>20240620 協力建材行.md</x:v>
      </x:c>
      <x:c r="C16" s="69" t="str">
        <x:v>.md</x:v>
      </x:c>
      <x:c r="D16" s="69" t="str">
        <x:v>2024-06-20</x:v>
      </x:c>
      <x:c r="E16" s="69" t="str">
        <x:v>報價單</x:v>
      </x:c>
      <x:c r="F16" s="71" t="str">
        <x:v>文件未載明</x:v>
      </x:c>
      <x:c r="G16" s="71" t="str">
        <x:v>文件未載明</x:v>
      </x:c>
      <x:c r="H16" s="71" t="str">
        <x:v>文件未載明</x:v>
      </x:c>
      <x:c r="I16" s="71" t="str">
        <x:v>文件未載明</x:v>
      </x:c>
      <x:c r="J16" s="70"/>
      <x:c r="K16" s="70"/>
      <x:c r="L16" s="70"/>
      <x:c r="M16" s="70"/>
      <x:c r="N16" s="70"/>
      <x:c r="O16" s="70"/>
      <x:c r="P16" s="70"/>
      <x:c r="Q16" s="70" t="str">
        <x:v>文件未載明</x:v>
      </x:c>
      <x:c r="R16" s="71" t="str">
        <x:v>text：三、依實際進貨數量請款100% 30天期票。；source_locator：本文第27行</x:v>
      </x:c>
      <x:c r="S16" s="71" t="str">
        <x:v>marker：文件未載明；source_locator：文件未載明</x:v>
      </x:c>
      <x:c r="T16" s="71" t="n">
        <x:v>32</x:v>
      </x:c>
      <x:c r="U16" s="71" t="n">
        <x:v>1</x:v>
      </x:c>
      <x:c r="V16" s="71" t="str">
        <x:v>全文及所有 HTML 表列已保留；結構化欄位以來源明載為限</x:v>
      </x:c>
      <x:c r="W16" s="71" t="str">
        <x:v>來源明載或文件未載明</x:v>
      </x:c>
      <x:c r="X16" s="71" t="str">
        <x:v>各廠商合約&amp; 報價\MD檔案\20240620 協力建材行.md</x:v>
      </x:c>
    </x:row>
    <x:row r="17">
      <x:c r="A17" s="69" t="str">
        <x:v>SRC013</x:v>
      </x:c>
      <x:c r="B17" s="69" t="str">
        <x:v>20240620 塑豐 玄關門、房間門、浴室門、消防門.md</x:v>
      </x:c>
      <x:c r="C17" s="69" t="str">
        <x:v>.md</x:v>
      </x:c>
      <x:c r="D17" s="69" t="str">
        <x:v>2024-06-20</x:v>
      </x:c>
      <x:c r="E17" s="69" t="str">
        <x:v>報價單</x:v>
      </x:c>
      <x:c r="F17" s="71" t="str">
        <x:v>文件未載明</x:v>
      </x:c>
      <x:c r="G17" s="71" t="str">
        <x:v>文件未載明</x:v>
      </x:c>
      <x:c r="H17" s="71" t="str">
        <x:v>文件未載明</x:v>
      </x:c>
      <x:c r="I17" s="71" t="str">
        <x:v>文件未載明</x:v>
      </x:c>
      <x:c r="J17" s="70"/>
      <x:c r="K17" s="70" t="n">
        <x:v>25330</x:v>
      </x:c>
      <x:c r="L17" s="70"/>
      <x:c r="M17" s="70"/>
      <x:c r="N17" s="70"/>
      <x:c r="O17" s="70"/>
      <x:c r="P17" s="70"/>
      <x:c r="Q17" s="70" t="str">
        <x:v>文件未載明</x:v>
      </x:c>
      <x:c r="R17" s="71" t="str">
        <x:v>text：文件未載明；source_locator：文件未載明</x:v>
      </x:c>
      <x:c r="S17" s="71" t="str">
        <x:v>marker：第二次議價；source_locator：本文第15行；marker：議價；source_locator：本文第15行</x:v>
      </x:c>
      <x:c r="T17" s="71" t="n">
        <x:v>11</x:v>
      </x:c>
      <x:c r="U17" s="71" t="n">
        <x:v>1</x:v>
      </x:c>
      <x:c r="V17" s="71" t="str">
        <x:v>全文及所有 HTML 表列已保留；結構化欄位以來源明載為限</x:v>
      </x:c>
      <x:c r="W17" s="71" t="str">
        <x:v>來源中有多個不同總額，請依 amount_candidates 稽核</x:v>
      </x:c>
      <x:c r="X17" s="71" t="str">
        <x:v>各廠商合約&amp; 報價\MD檔案\20240620 塑豐 玄關門、房間門、浴室門、消防門.md</x:v>
      </x:c>
    </x:row>
    <x:row r="18">
      <x:c r="A18" s="69" t="str">
        <x:v>SRC014</x:v>
      </x:c>
      <x:c r="B18" s="69" t="str">
        <x:v>20240620 塑豐玄關門、房間門、浴室門、消防門.md</x:v>
      </x:c>
      <x:c r="C18" s="69" t="str">
        <x:v>.md</x:v>
      </x:c>
      <x:c r="D18" s="69" t="str">
        <x:v>2024-06-20</x:v>
      </x:c>
      <x:c r="E18" s="69" t="str">
        <x:v>報價單</x:v>
      </x:c>
      <x:c r="F18" s="71" t="str">
        <x:v>文件未載明</x:v>
      </x:c>
      <x:c r="G18" s="71" t="str">
        <x:v>文件未載明</x:v>
      </x:c>
      <x:c r="H18" s="71" t="str">
        <x:v>文件未載明</x:v>
      </x:c>
      <x:c r="I18" s="71" t="str">
        <x:v>文件未載明</x:v>
      </x:c>
      <x:c r="J18" s="70"/>
      <x:c r="K18" s="70"/>
      <x:c r="L18" s="70"/>
      <x:c r="M18" s="70"/>
      <x:c r="N18" s="70"/>
      <x:c r="O18" s="70"/>
      <x:c r="P18" s="70"/>
      <x:c r="Q18" s="70" t="str">
        <x:v>文件未載明</x:v>
      </x:c>
      <x:c r="R18" s="71" t="str">
        <x:v>text：文件未載明；source_locator：文件未載明</x:v>
      </x:c>
      <x:c r="S18" s="71" t="str">
        <x:v>marker：第二次議價；source_locator：本文第3行；marker：議價；source_locator：本文第3行</x:v>
      </x:c>
      <x:c r="T18" s="71" t="n">
        <x:v>14</x:v>
      </x:c>
      <x:c r="U18" s="71" t="n">
        <x:v>1</x:v>
      </x:c>
      <x:c r="V18" s="71" t="str">
        <x:v>全文及所有 HTML 表列已保留；結構化欄位以來源明載為限</x:v>
      </x:c>
      <x:c r="W18" s="71" t="str">
        <x:v>來源中有多個不同總額，請依 amount_candidates 稽核</x:v>
      </x:c>
      <x:c r="X18" s="71" t="str">
        <x:v>各廠商合約&amp; 報價\MD檔案\20240620 塑豐玄關門、房間門、浴室門、消防門.md</x:v>
      </x:c>
    </x:row>
    <x:row r="19">
      <x:c r="A19" s="69" t="str">
        <x:v>SRC015</x:v>
      </x:c>
      <x:c r="B19" s="69" t="str">
        <x:v>20240703 太子種苗 _更新_.md</x:v>
      </x:c>
      <x:c r="C19" s="69" t="str">
        <x:v>.md</x:v>
      </x:c>
      <x:c r="D19" s="69" t="str">
        <x:v>2025-07-03</x:v>
      </x:c>
      <x:c r="E19" s="69" t="str">
        <x:v>報價單</x:v>
      </x:c>
      <x:c r="F19" s="71" t="str">
        <x:v>文件未載明</x:v>
      </x:c>
      <x:c r="G19" s="71" t="str">
        <x:v>文件未載明</x:v>
      </x:c>
      <x:c r="H19" s="71" t="str">
        <x:v>文件未載明</x:v>
      </x:c>
      <x:c r="I19" s="71" t="str">
        <x:v>文件未載明</x:v>
      </x:c>
      <x:c r="J19" s="70"/>
      <x:c r="K19" s="70"/>
      <x:c r="L19" s="70"/>
      <x:c r="M19" s="70"/>
      <x:c r="N19" s="70" t="n">
        <x:v>8</x:v>
      </x:c>
      <x:c r="O19" s="70"/>
      <x:c r="P19" s="70" t="n">
        <x:v>8</x:v>
      </x:c>
      <x:c r="Q19" s="70" t="str">
        <x:v>合約總額</x:v>
      </x:c>
      <x:c r="R19" s="71" t="str">
        <x:v>text：文件未載明；source_locator：文件未載明</x:v>
      </x:c>
      <x:c r="S19" s="71" t="str">
        <x:v>marker：追加；source_locator：本文第23行；marker：更新；source_locator：檔名標記（非文件內文）</x:v>
      </x:c>
      <x:c r="T19" s="71" t="n">
        <x:v>13</x:v>
      </x:c>
      <x:c r="U19" s="71" t="n">
        <x:v>1</x:v>
      </x:c>
      <x:c r="V19" s="71" t="str">
        <x:v>全文及所有 HTML 表列已保留；結構化欄位以來源明載為限</x:v>
      </x:c>
      <x:c r="W19" s="71" t="str">
        <x:v>來源明載或文件未載明</x:v>
      </x:c>
      <x:c r="X19" s="71" t="str">
        <x:v>各廠商合約&amp; 報價\MD檔案\20240703 太子種苗 _更新_.md</x:v>
      </x:c>
    </x:row>
    <x:row r="20">
      <x:c r="A20" s="69" t="str">
        <x:v>SRC016</x:v>
      </x:c>
      <x:c r="B20" s="69" t="str">
        <x:v>20240719 立瑄 淋浴拉門.md</x:v>
      </x:c>
      <x:c r="C20" s="69" t="str">
        <x:v>.md</x:v>
      </x:c>
      <x:c r="D20" s="69" t="str">
        <x:v>2024-07-19</x:v>
      </x:c>
      <x:c r="E20" s="69" t="str">
        <x:v>報價單</x:v>
      </x:c>
      <x:c r="F20" s="71" t="str">
        <x:v>文件未載明</x:v>
      </x:c>
      <x:c r="G20" s="71" t="str">
        <x:v>文件未載明</x:v>
      </x:c>
      <x:c r="H20" s="71" t="str">
        <x:v>文件未載明</x:v>
      </x:c>
      <x:c r="I20" s="71" t="str">
        <x:v>文件未載明</x:v>
      </x:c>
      <x:c r="J20" s="70"/>
      <x:c r="K20" s="70" t="n">
        <x:v>9900</x:v>
      </x:c>
      <x:c r="L20" s="70"/>
      <x:c r="M20" s="70"/>
      <x:c r="N20" s="70" t="n">
        <x:v>207900</x:v>
      </x:c>
      <x:c r="O20" s="70"/>
      <x:c r="P20" s="70" t="n">
        <x:v>207900</x:v>
      </x:c>
      <x:c r="Q20" s="70" t="str">
        <x:v>合約總額</x:v>
      </x:c>
      <x:c r="R20" s="71" t="str">
        <x:v>text：文件未載明；source_locator：文件未載明</x:v>
      </x:c>
      <x:c r="S20" s="71" t="str">
        <x:v>marker：文件未載明；source_locator：文件未載明</x:v>
      </x:c>
      <x:c r="T20" s="71" t="n">
        <x:v>4</x:v>
      </x:c>
      <x:c r="U20" s="71" t="n">
        <x:v>1</x:v>
      </x:c>
      <x:c r="V20" s="71" t="str">
        <x:v>全文及所有 HTML 表列已保留；結構化欄位以來源明載為限</x:v>
      </x:c>
      <x:c r="W20" s="71" t="str">
        <x:v>來源明載或文件未載明</x:v>
      </x:c>
      <x:c r="X20" s="71" t="str">
        <x:v>各廠商合約&amp; 報價\MD檔案\20240719 立瑄 淋浴拉門.md</x:v>
      </x:c>
    </x:row>
    <x:row r="21">
      <x:c r="A21" s="69" t="str">
        <x:v>SRC017</x:v>
      </x:c>
      <x:c r="B21" s="69" t="str">
        <x:v>20240726 塑豐 金屬格柵.md</x:v>
      </x:c>
      <x:c r="C21" s="69" t="str">
        <x:v>.md</x:v>
      </x:c>
      <x:c r="D21" s="69" t="str">
        <x:v>2024-07-26</x:v>
      </x:c>
      <x:c r="E21" s="69" t="str">
        <x:v>報價單</x:v>
      </x:c>
      <x:c r="F21" s="71" t="str">
        <x:v>文件未載明</x:v>
      </x:c>
      <x:c r="G21" s="71" t="str">
        <x:v>文件未載明</x:v>
      </x:c>
      <x:c r="H21" s="71" t="str">
        <x:v>文件未載明</x:v>
      </x:c>
      <x:c r="I21" s="71" t="str">
        <x:v>文件未載明</x:v>
      </x:c>
      <x:c r="J21" s="70"/>
      <x:c r="K21" s="70"/>
      <x:c r="L21" s="70"/>
      <x:c r="M21" s="70"/>
      <x:c r="N21" s="70"/>
      <x:c r="O21" s="70"/>
      <x:c r="P21" s="70"/>
      <x:c r="Q21" s="70" t="str">
        <x:v>文件未載明</x:v>
      </x:c>
      <x:c r="R21" s="71" t="str">
        <x:v>text：文件未載明；source_locator：文件未載明</x:v>
      </x:c>
      <x:c r="S21" s="71" t="str">
        <x:v>marker：方案A；source_locator：本文第7行；marker：方案B；source_locator：本文第41行</x:v>
      </x:c>
      <x:c r="T21" s="71" t="n">
        <x:v>9</x:v>
      </x:c>
      <x:c r="U21" s="71" t="n">
        <x:v>1</x:v>
      </x:c>
      <x:c r="V21" s="71" t="str">
        <x:v>全文及所有 HTML 表列已保留；結構化欄位以來源明載為限</x:v>
      </x:c>
      <x:c r="W21" s="71" t="str">
        <x:v>來源中有多個不同總額，請依 amount_candidates 稽核</x:v>
      </x:c>
      <x:c r="X21" s="71" t="str">
        <x:v>各廠商合約&amp; 報價\MD檔案\20240726 塑豐 金屬格柵.md</x:v>
      </x:c>
    </x:row>
    <x:row r="22">
      <x:c r="A22" s="69" t="str">
        <x:v>SRC018</x:v>
      </x:c>
      <x:c r="B22" s="69" t="str">
        <x:v>20240730 國璽寶 車道磚.md</x:v>
      </x:c>
      <x:c r="C22" s="69" t="str">
        <x:v>.md</x:v>
      </x:c>
      <x:c r="D22" s="69" t="str">
        <x:v>2024-07-30</x:v>
      </x:c>
      <x:c r="E22" s="69" t="str">
        <x:v>報價單</x:v>
      </x:c>
      <x:c r="F22" s="71" t="str">
        <x:v>文件未載明</x:v>
      </x:c>
      <x:c r="G22" s="71" t="str">
        <x:v>文件未載明</x:v>
      </x:c>
      <x:c r="H22" s="71" t="str">
        <x:v>文件未載明</x:v>
      </x:c>
      <x:c r="I22" s="71" t="str">
        <x:v>文件未載明</x:v>
      </x:c>
      <x:c r="J22" s="70"/>
      <x:c r="K22" s="70" t="n">
        <x:v>2</x:v>
      </x:c>
      <x:c r="L22" s="70"/>
      <x:c r="M22" s="70"/>
      <x:c r="N22" s="70"/>
      <x:c r="O22" s="70"/>
      <x:c r="P22" s="70"/>
      <x:c r="Q22" s="70" t="str">
        <x:v>文件未載明</x:v>
      </x:c>
      <x:c r="R22" s="71" t="str">
        <x:v>text：文件未載明；source_locator：文件未載明</x:v>
      </x:c>
      <x:c r="S22" s="71" t="str">
        <x:v>marker：文件未載明；source_locator：文件未載明</x:v>
      </x:c>
      <x:c r="T22" s="71" t="n">
        <x:v>12</x:v>
      </x:c>
      <x:c r="U22" s="71" t="n">
        <x:v>1</x:v>
      </x:c>
      <x:c r="V22" s="71" t="str">
        <x:v>全文及所有 HTML 表列已保留；結構化欄位以來源明載為限</x:v>
      </x:c>
      <x:c r="W22" s="71" t="str">
        <x:v>來源明載或文件未載明</x:v>
      </x:c>
      <x:c r="X22" s="71" t="str">
        <x:v>各廠商合約&amp; 報價\MD檔案\20240730 國璽寶 車道磚.md</x:v>
      </x:c>
    </x:row>
    <x:row r="23">
      <x:c r="A23" s="69" t="str">
        <x:v>SRC019</x:v>
      </x:c>
      <x:c r="B23" s="69" t="str">
        <x:v>20240730 錦祥工程行 _浴室天花板_.md</x:v>
      </x:c>
      <x:c r="C23" s="69" t="str">
        <x:v>.md</x:v>
      </x:c>
      <x:c r="D23" s="69" t="str">
        <x:v>2024-07-30</x:v>
      </x:c>
      <x:c r="E23" s="69" t="str">
        <x:v>估價單</x:v>
      </x:c>
      <x:c r="F23" s="71" t="str">
        <x:v>文件未載明</x:v>
      </x:c>
      <x:c r="G23" s="71" t="str">
        <x:v>文件未載明</x:v>
      </x:c>
      <x:c r="H23" s="71" t="str">
        <x:v>文件未載明</x:v>
      </x:c>
      <x:c r="I23" s="71" t="str">
        <x:v>文件未載明</x:v>
      </x:c>
      <x:c r="J23" s="70"/>
      <x:c r="K23" s="70"/>
      <x:c r="L23" s="70"/>
      <x:c r="M23" s="70"/>
      <x:c r="N23" s="70"/>
      <x:c r="O23" s="70"/>
      <x:c r="P23" s="70"/>
      <x:c r="Q23" s="70" t="str">
        <x:v>文件未載明</x:v>
      </x:c>
      <x:c r="R23" s="71" t="str">
        <x:v>text：電話: 0972--164929&lt;/td&gt;&lt;td rowspan="3" colspan="3"&gt;付款方式:&lt;/td&gt;&lt;/tr&gt;&lt;tr&gt;&lt;td colspan="5"&gt;工程地址: 苗栗一後龍&lt;/td&gt;&lt;/tr&gt;&lt;tr&gt;&lt;td colspan="2"&gt;傳真:&lt;/td&gt;&lt;td colspan="3"&gt;統一編號:&lt;/td&gt;&lt;/tr&gt;&lt;tr&gt;&lt;td&gt;項次&lt;/td&gt;&lt;td colspan="2"&gt;品名&lt;/td&gt;&lt;td&gt;數量&lt;/td&gt;&lt;td&gt;單位&lt;/td&gt;&lt;td&gt;單價&lt;/td&gt;&lt;td&gt;總價&lt;/td…（詳原文索引）</x:v>
      </x:c>
      <x:c r="S23" s="71" t="str">
        <x:v>marker：文件未載明；source_locator：文件未載明</x:v>
      </x:c>
      <x:c r="T23" s="71" t="n">
        <x:v>10</x:v>
      </x:c>
      <x:c r="U23" s="71" t="n">
        <x:v>1</x:v>
      </x:c>
      <x:c r="V23" s="71" t="str">
        <x:v>全文及所有 HTML 表列已保留；結構化欄位以來源明載為限</x:v>
      </x:c>
      <x:c r="W23" s="71" t="str">
        <x:v>來源中有多個不同總額，請依 amount_candidates 稽核</x:v>
      </x:c>
      <x:c r="X23" s="71" t="str">
        <x:v>各廠商合約&amp; 報價\MD檔案\20240730 錦祥工程行 _浴室天花板_.md</x:v>
      </x:c>
    </x:row>
    <x:row r="24">
      <x:c r="A24" s="69" t="str">
        <x:v>SRC020</x:v>
      </x:c>
      <x:c r="B24" s="69" t="str">
        <x:v>20240802 宏交 弱電系統.md</x:v>
      </x:c>
      <x:c r="C24" s="69" t="str">
        <x:v>.md</x:v>
      </x:c>
      <x:c r="D24" s="69" t="str">
        <x:v>2024-08-02</x:v>
      </x:c>
      <x:c r="E24" s="69" t="str">
        <x:v>合約書／報價單</x:v>
      </x:c>
      <x:c r="F24" s="71" t="str">
        <x:v>文件未載明</x:v>
      </x:c>
      <x:c r="G24" s="71" t="str">
        <x:v>文件未載明</x:v>
      </x:c>
      <x:c r="H24" s="71" t="str">
        <x:v>文件未載明</x:v>
      </x:c>
      <x:c r="I24" s="71" t="str">
        <x:v>文件未載明</x:v>
      </x:c>
      <x:c r="J24" s="70"/>
      <x:c r="K24" s="70" t="n">
        <x:v>15238</x:v>
      </x:c>
      <x:c r="L24" s="70" t="n">
        <x:v>320000</x:v>
      </x:c>
      <x:c r="M24" s="70"/>
      <x:c r="N24" s="70"/>
      <x:c r="O24" s="70"/>
      <x:c r="P24" s="70" t="n">
        <x:v>320000</x:v>
      </x:c>
      <x:c r="Q24" s="70" t="str">
        <x:v>含稅／總計</x:v>
      </x:c>
      <x:c r="R24" s="71" t="str">
        <x:v>text：四、本合約報價含系統安裝測試，乙方負責系統安裝及測試，合約全部器材、甲方付清兌現貨款後、器材方屬甲方所有。若產品於七日內有瑕疵時，乙方須同意立即以新品更換，以維持系統之正常運作。；source_locator：本文第27行；text：五、付款方式：訂金20%(30日內票期)，安裝完成75%(票期30日內票期)，業主驗收5%(30日內票期)。；source_locator：本文第29行；text：一、乙方於安裝完工後須提供單據，由甲方清點簽認驗收，甲方如有異議得於安裝完工後三日內覆函告知…（詳原文索引）</x:v>
      </x:c>
      <x:c r="S24" s="71" t="str">
        <x:v>marker：議價；source_locator：本文第231行</x:v>
      </x:c>
      <x:c r="T24" s="71" t="n">
        <x:v>56</x:v>
      </x:c>
      <x:c r="U24" s="71" t="n">
        <x:v>1</x:v>
      </x:c>
      <x:c r="V24" s="71" t="str">
        <x:v>全文及所有 HTML 表列已保留；結構化欄位以來源明載為限</x:v>
      </x:c>
      <x:c r="W24" s="71" t="str">
        <x:v>來源中有多個不同總額，請依 amount_candidates 稽核</x:v>
      </x:c>
      <x:c r="X24" s="71" t="str">
        <x:v>各廠商合約&amp; 報價\MD檔案\20240802 宏交 弱電系統.md</x:v>
      </x:c>
    </x:row>
    <x:row r="25">
      <x:c r="A25" s="69" t="str">
        <x:v>SRC021</x:v>
      </x:c>
      <x:c r="B25" s="69" t="str">
        <x:v>20240809 塑豐 玻璃欄桿.md</x:v>
      </x:c>
      <x:c r="C25" s="69" t="str">
        <x:v>.md</x:v>
      </x:c>
      <x:c r="D25" s="69" t="str">
        <x:v>文件未載明</x:v>
      </x:c>
      <x:c r="E25" s="69" t="str">
        <x:v>文件未載明</x:v>
      </x:c>
      <x:c r="F25" s="71" t="str">
        <x:v>文件未載明</x:v>
      </x:c>
      <x:c r="G25" s="71" t="str">
        <x:v>文件未載明</x:v>
      </x:c>
      <x:c r="H25" s="71" t="str">
        <x:v>文件未載明</x:v>
      </x:c>
      <x:c r="I25" s="71" t="str">
        <x:v>文件未載明</x:v>
      </x:c>
      <x:c r="J25" s="70"/>
      <x:c r="K25" s="70" t="n">
        <x:v>28544</x:v>
      </x:c>
      <x:c r="L25" s="70"/>
      <x:c r="M25" s="70"/>
      <x:c r="N25" s="70"/>
      <x:c r="O25" s="70"/>
      <x:c r="P25" s="70"/>
      <x:c r="Q25" s="70" t="str">
        <x:v>文件未載明</x:v>
      </x:c>
      <x:c r="R25" s="71" t="str">
        <x:v>text：文件未載明；source_locator：文件未載明</x:v>
      </x:c>
      <x:c r="S25" s="71" t="str">
        <x:v>marker：文件未載明；source_locator：文件未載明</x:v>
      </x:c>
      <x:c r="T25" s="71" t="n">
        <x:v>12</x:v>
      </x:c>
      <x:c r="U25" s="71" t="n">
        <x:v>1</x:v>
      </x:c>
      <x:c r="V25" s="71" t="str">
        <x:v>全文及所有 HTML 表列已保留；結構化欄位以來源明載為限</x:v>
      </x:c>
      <x:c r="W25" s="71" t="str">
        <x:v>來源中有多個不同總額，請依 amount_candidates 稽核</x:v>
      </x:c>
      <x:c r="X25" s="71" t="str">
        <x:v>各廠商合約&amp; 報價\MD檔案\20240809 塑豐 玻璃欄桿.md</x:v>
      </x:c>
    </x:row>
    <x:row r="26">
      <x:c r="A26" s="69" t="str">
        <x:v>SRC022</x:v>
      </x:c>
      <x:c r="B26" s="69" t="str">
        <x:v>20240812 協力建材行.md</x:v>
      </x:c>
      <x:c r="C26" s="69" t="str">
        <x:v>.md</x:v>
      </x:c>
      <x:c r="D26" s="69" t="str">
        <x:v>2024-08-12</x:v>
      </x:c>
      <x:c r="E26" s="69" t="str">
        <x:v>報價單</x:v>
      </x:c>
      <x:c r="F26" s="71" t="str">
        <x:v>文件未載明</x:v>
      </x:c>
      <x:c r="G26" s="71" t="str">
        <x:v>文件未載明</x:v>
      </x:c>
      <x:c r="H26" s="71" t="str">
        <x:v>文件未載明</x:v>
      </x:c>
      <x:c r="I26" s="71" t="str">
        <x:v>文件未載明</x:v>
      </x:c>
      <x:c r="J26" s="70"/>
      <x:c r="K26" s="70"/>
      <x:c r="L26" s="70"/>
      <x:c r="M26" s="70"/>
      <x:c r="N26" s="70"/>
      <x:c r="O26" s="70"/>
      <x:c r="P26" s="70"/>
      <x:c r="Q26" s="70" t="str">
        <x:v>文件未載明</x:v>
      </x:c>
      <x:c r="R26" s="71" t="str">
        <x:v>text：三、依實際進貨數量請款100% 30天期票。；source_locator：本文第27行</x:v>
      </x:c>
      <x:c r="S26" s="71" t="str">
        <x:v>marker：文件未載明；source_locator：文件未載明</x:v>
      </x:c>
      <x:c r="T26" s="71" t="n">
        <x:v>32</x:v>
      </x:c>
      <x:c r="U26" s="71" t="n">
        <x:v>1</x:v>
      </x:c>
      <x:c r="V26" s="71" t="str">
        <x:v>全文及所有 HTML 表列已保留；結構化欄位以來源明載為限</x:v>
      </x:c>
      <x:c r="W26" s="71" t="str">
        <x:v>來源明載或文件未載明</x:v>
      </x:c>
      <x:c r="X26" s="71" t="str">
        <x:v>各廠商合約&amp; 報價\MD檔案\20240812 協力建材行.md</x:v>
      </x:c>
    </x:row>
    <x:row r="27">
      <x:c r="A27" s="69" t="str">
        <x:v>SRC023</x:v>
      </x:c>
      <x:c r="B27" s="69" t="str">
        <x:v>20240819 順靖 樓梯扶手.md</x:v>
      </x:c>
      <x:c r="C27" s="69" t="str">
        <x:v>.md</x:v>
      </x:c>
      <x:c r="D27" s="69" t="str">
        <x:v>2024-08-19</x:v>
      </x:c>
      <x:c r="E27" s="69" t="str">
        <x:v>報價單</x:v>
      </x:c>
      <x:c r="F27" s="71" t="str">
        <x:v>文件未載明</x:v>
      </x:c>
      <x:c r="G27" s="71" t="str">
        <x:v>文件未載明</x:v>
      </x:c>
      <x:c r="H27" s="71" t="str">
        <x:v>文件未載明</x:v>
      </x:c>
      <x:c r="I27" s="71" t="str">
        <x:v>文件未載明</x:v>
      </x:c>
      <x:c r="J27" s="70"/>
      <x:c r="K27" s="70"/>
      <x:c r="L27" s="70" t="n">
        <x:v>30</x:v>
      </x:c>
      <x:c r="M27" s="70"/>
      <x:c r="N27" s="70" t="n">
        <x:v>2</x:v>
      </x:c>
      <x:c r="O27" s="70"/>
      <x:c r="P27" s="70" t="n">
        <x:v>30</x:v>
      </x:c>
      <x:c r="Q27" s="70" t="str">
        <x:v>含稅／總計</x:v>
      </x:c>
      <x:c r="R27" s="71" t="str">
        <x:v>text：2) 付款方式：本報價單可視同正式訂單。訂單確認後，一週內預付訂單總金額 30%，訂單始成立。；source_locator：本文第33行；text：尾款 70%現金票於進場施工日起逐月請款當月實作進度款項，並於本扶手工程完工當月即配合驗收完成尾款支付。；source_locator：本文第35行</x:v>
      </x:c>
      <x:c r="S27" s="71" t="str">
        <x:v>marker：版次：1；source_locator：本文第7行</x:v>
      </x:c>
      <x:c r="T27" s="71" t="n">
        <x:v>4</x:v>
      </x:c>
      <x:c r="U27" s="71" t="n">
        <x:v>1</x:v>
      </x:c>
      <x:c r="V27" s="71" t="str">
        <x:v>全文及所有 HTML 表列已保留；結構化欄位以來源明載為限</x:v>
      </x:c>
      <x:c r="W27" s="71" t="str">
        <x:v>來源明載或文件未載明</x:v>
      </x:c>
      <x:c r="X27" s="71" t="str">
        <x:v>各廠商合約&amp; 報價\MD檔案\20240819 順靖 樓梯扶手.md</x:v>
      </x:c>
    </x:row>
    <x:row r="28">
      <x:c r="A28" s="69" t="str">
        <x:v>SRC024</x:v>
      </x:c>
      <x:c r="B28" s="69" t="str">
        <x:v>20240820 富日東 塗料.md</x:v>
      </x:c>
      <x:c r="C28" s="69" t="str">
        <x:v>.md</x:v>
      </x:c>
      <x:c r="D28" s="69" t="str">
        <x:v>文件未載明</x:v>
      </x:c>
      <x:c r="E28" s="69" t="str">
        <x:v>報價單</x:v>
      </x:c>
      <x:c r="F28" s="71" t="str">
        <x:v>文件未載明</x:v>
      </x:c>
      <x:c r="G28" s="71" t="str">
        <x:v>文件未載明</x:v>
      </x:c>
      <x:c r="H28" s="71" t="str">
        <x:v>文件未載明</x:v>
      </x:c>
      <x:c r="I28" s="71" t="str">
        <x:v>文件未載明</x:v>
      </x:c>
      <x:c r="J28" s="70"/>
      <x:c r="K28" s="70"/>
      <x:c r="L28" s="70"/>
      <x:c r="M28" s="70"/>
      <x:c r="N28" s="70"/>
      <x:c r="O28" s="70"/>
      <x:c r="P28" s="70"/>
      <x:c r="Q28" s="70" t="str">
        <x:v>文件未載明</x:v>
      </x:c>
      <x:c r="R28" s="71" t="str">
        <x:v>text：8. 付款方式：；source_locator：本文第37行；text：簽約訂金：總價 30%，以現金匯款或即期支票給付。；source_locator：本文第39行；text：進度款：總價 65%，每月依進度請款，以現金匯款或即期支票給付。；source_locator：本文第41行；text：驗收款：預計為總價 5%，確切金額為最後追加減結算差額。驗收完成後，以現金匯款或即期支票給付。；source_locator：本文第43行</x:v>
      </x:c>
      <x:c r="S28" s="71" t="str">
        <x:v>marker：追加；source_locator：本文第43行</x:v>
      </x:c>
      <x:c r="T28" s="71" t="n">
        <x:v>4</x:v>
      </x:c>
      <x:c r="U28" s="71" t="n">
        <x:v>1</x:v>
      </x:c>
      <x:c r="V28" s="71" t="str">
        <x:v>全文及所有 HTML 表列已保留；結構化欄位以來源明載為限</x:v>
      </x:c>
      <x:c r="W28" s="71" t="str">
        <x:v>來源中有多個不同總額，請依 amount_candidates 稽核</x:v>
      </x:c>
      <x:c r="X28" s="71" t="str">
        <x:v>各廠商合約&amp; 報價\MD檔案\20240820 富日東 塗料.md</x:v>
      </x:c>
    </x:row>
    <x:row r="29">
      <x:c r="A29" s="69" t="str">
        <x:v>SRC025</x:v>
      </x:c>
      <x:c r="B29" s="69" t="str">
        <x:v>20240910 順靖 玻璃欄杆(透明).md</x:v>
      </x:c>
      <x:c r="C29" s="69" t="str">
        <x:v>.md</x:v>
      </x:c>
      <x:c r="D29" s="69" t="str">
        <x:v>2024-09-10</x:v>
      </x:c>
      <x:c r="E29" s="69" t="str">
        <x:v>報價單</x:v>
      </x:c>
      <x:c r="F29" s="71" t="str">
        <x:v>文件未載明</x:v>
      </x:c>
      <x:c r="G29" s="71" t="str">
        <x:v>文件未載明</x:v>
      </x:c>
      <x:c r="H29" s="71" t="str">
        <x:v>文件未載明</x:v>
      </x:c>
      <x:c r="I29" s="71" t="str">
        <x:v>文件未載明</x:v>
      </x:c>
      <x:c r="J29" s="70"/>
      <x:c r="K29" s="70"/>
      <x:c r="L29" s="70" t="n">
        <x:v>30</x:v>
      </x:c>
      <x:c r="M29" s="70"/>
      <x:c r="N29" s="70"/>
      <x:c r="O29" s="70"/>
      <x:c r="P29" s="70" t="n">
        <x:v>30</x:v>
      </x:c>
      <x:c r="Q29" s="70" t="str">
        <x:v>含稅／總計</x:v>
      </x:c>
      <x:c r="R29" s="71" t="str">
        <x:v>text：尾款 70% 現金票於進場施工日起逐月請款當月實作進度款項，並於本欄杆工程完工當月即配合驗收完成尾款支付 4) 報價單有效期限：2024/9/19；source_locator：本文第1行；text：3)付款方式：本報價單可視同正式訂單。訂單確認後，一週內預付訂單總金額 $30\%$ ，訂單始成立。；source_locator：本文第32行</x:v>
      </x:c>
      <x:c r="S29" s="71" t="str">
        <x:v>marker：版次：2；source_locator：本文第7行</x:v>
      </x:c>
      <x:c r="T29" s="71" t="n">
        <x:v>14</x:v>
      </x:c>
      <x:c r="U29" s="71" t="n">
        <x:v>1</x:v>
      </x:c>
      <x:c r="V29" s="71" t="str">
        <x:v>全文及所有 HTML 表列已保留；結構化欄位以來源明載為限</x:v>
      </x:c>
      <x:c r="W29" s="71" t="str">
        <x:v>來源明載或文件未載明</x:v>
      </x:c>
      <x:c r="X29" s="71" t="str">
        <x:v>各廠商合約&amp; 報價\MD檔案\20240910 順靖 玻璃欄杆(透明).md</x:v>
      </x:c>
    </x:row>
    <x:row r="30">
      <x:c r="A30" s="69" t="str">
        <x:v>SRC026</x:v>
      </x:c>
      <x:c r="B30" s="69" t="str">
        <x:v>20241004 順靖 玻璃欄杆_透明_木紋握桿_ 議價.md</x:v>
      </x:c>
      <x:c r="C30" s="69" t="str">
        <x:v>.md</x:v>
      </x:c>
      <x:c r="D30" s="69" t="str">
        <x:v>2024-10-04</x:v>
      </x:c>
      <x:c r="E30" s="69" t="str">
        <x:v>文件未載明</x:v>
      </x:c>
      <x:c r="F30" s="71" t="str">
        <x:v>文件未載明</x:v>
      </x:c>
      <x:c r="G30" s="71" t="str">
        <x:v>文件未載明</x:v>
      </x:c>
      <x:c r="H30" s="71" t="str">
        <x:v>文件未載明</x:v>
      </x:c>
      <x:c r="I30" s="71" t="str">
        <x:v>文件未載明</x:v>
      </x:c>
      <x:c r="J30" s="70" t="n">
        <x:v>1</x:v>
      </x:c>
      <x:c r="K30" s="70"/>
      <x:c r="L30" s="70" t="n">
        <x:v>30</x:v>
      </x:c>
      <x:c r="M30" s="70"/>
      <x:c r="N30" s="70"/>
      <x:c r="O30" s="70"/>
      <x:c r="P30" s="70" t="n">
        <x:v>30</x:v>
      </x:c>
      <x:c r="Q30" s="70" t="str">
        <x:v>含稅／總計</x:v>
      </x:c>
      <x:c r="R30" s="71" t="str">
        <x:v>text：3)付款方式：本報價單可視同正式訂單。訂單確認後，一週內預付訂單總金額 $30\%$ ，訂單始成立。；source_locator：本文第46行；text：尾款 70% 現金票於進場施工日起逐月請款當月實作進度款項，並於本欄杆工程完工當月即配合驗收完成尾款支付。；source_locator：本文第48行</x:v>
      </x:c>
      <x:c r="S30" s="71" t="str">
        <x:v>marker：版次：3；source_locator：本文第5行；marker：版次：3；source_locator：本文第5行；marker：議價；source_locator：本文第26行</x:v>
      </x:c>
      <x:c r="T30" s="71" t="n">
        <x:v>13</x:v>
      </x:c>
      <x:c r="U30" s="71" t="n">
        <x:v>1</x:v>
      </x:c>
      <x:c r="V30" s="71" t="str">
        <x:v>全文及所有 HTML 表列已保留；結構化欄位以來源明載為限</x:v>
      </x:c>
      <x:c r="W30" s="71" t="str">
        <x:v>來源明載或文件未載明</x:v>
      </x:c>
      <x:c r="X30" s="71" t="str">
        <x:v>各廠商合約&amp; 報價\MD檔案\20241004 順靖 玻璃欄杆_透明_木紋握桿_ 議價.md</x:v>
      </x:c>
    </x:row>
    <x:row r="31">
      <x:c r="A31" s="69" t="str">
        <x:v>SRC027</x:v>
      </x:c>
      <x:c r="B31" s="69" t="str">
        <x:v>20241009 安翊 滴水條.md</x:v>
      </x:c>
      <x:c r="C31" s="69" t="str">
        <x:v>.md</x:v>
      </x:c>
      <x:c r="D31" s="69" t="str">
        <x:v>2024-10-09</x:v>
      </x:c>
      <x:c r="E31" s="69" t="str">
        <x:v>報價單</x:v>
      </x:c>
      <x:c r="F31" s="71" t="str">
        <x:v>文件未載明</x:v>
      </x:c>
      <x:c r="G31" s="71" t="str">
        <x:v>文件未載明</x:v>
      </x:c>
      <x:c r="H31" s="71" t="str">
        <x:v>文件未載明</x:v>
      </x:c>
      <x:c r="I31" s="71" t="str">
        <x:v>文件未載明</x:v>
      </x:c>
      <x:c r="J31" s="70" t="n">
        <x:v>197500</x:v>
      </x:c>
      <x:c r="K31" s="70" t="n">
        <x:v>9875</x:v>
      </x:c>
      <x:c r="L31" s="70" t="n">
        <x:v>207375</x:v>
      </x:c>
      <x:c r="M31" s="70"/>
      <x:c r="N31" s="70"/>
      <x:c r="O31" s="70"/>
      <x:c r="P31" s="70" t="n">
        <x:v>207375</x:v>
      </x:c>
      <x:c r="Q31" s="70" t="str">
        <x:v>含稅／總計</x:v>
      </x:c>
      <x:c r="R31" s="71" t="str">
        <x:v>text：&lt;table&gt;&lt;tr&gt;&lt;td colspan="6"&gt;客戶名稱:向上建設統一編號90057101報價單號:20241009001聯絡地址:苗栗縣竹南鎮康德街71號報價日期:113/10/9連絡人:許志豪0928652985負責業務:何義軒0921-114945電話:03 7775355*985傳真:幣別:NT$有效期限:至圖檔:稅別:外加&lt;/td&gt;&lt;/tr&gt;&lt;tr&gt;&lt;td&gt;產品編號&lt;/td&gt;&lt;td&gt;產品名稱/規格描述&lt;/td&gt;&lt;td&gt;&lt;/td&gt;&lt;td&gt;單位&lt;/td&gt;&lt;td&gt;單價&lt;/td…（詳原文索引）</x:v>
      </x:c>
      <x:c r="S31" s="71" t="str">
        <x:v>marker：文件未載明；source_locator：文件未載明</x:v>
      </x:c>
      <x:c r="T31" s="71" t="n">
        <x:v>7</x:v>
      </x:c>
      <x:c r="U31" s="71" t="n">
        <x:v>1</x:v>
      </x:c>
      <x:c r="V31" s="71" t="str">
        <x:v>全文及所有 HTML 表列已保留；結構化欄位以來源明載為限</x:v>
      </x:c>
      <x:c r="W31" s="71" t="str">
        <x:v>來源明載或文件未載明</x:v>
      </x:c>
      <x:c r="X31" s="71" t="str">
        <x:v>各廠商合約&amp; 報價\MD檔案\20241009 安翊 滴水條.md</x:v>
      </x:c>
    </x:row>
    <x:row r="32">
      <x:c r="A32" s="69" t="str">
        <x:v>SRC028</x:v>
      </x:c>
      <x:c r="B32" s="69" t="str">
        <x:v>20241016 塑豐 房間門改先立.md</x:v>
      </x:c>
      <x:c r="C32" s="69" t="str">
        <x:v>.md</x:v>
      </x:c>
      <x:c r="D32" s="69" t="str">
        <x:v>文件未載明</x:v>
      </x:c>
      <x:c r="E32" s="69" t="str">
        <x:v>報價單</x:v>
      </x:c>
      <x:c r="F32" s="71" t="str">
        <x:v>文件未載明</x:v>
      </x:c>
      <x:c r="G32" s="71" t="str">
        <x:v>文件未載明</x:v>
      </x:c>
      <x:c r="H32" s="71" t="str">
        <x:v>文件未載明</x:v>
      </x:c>
      <x:c r="I32" s="71" t="str">
        <x:v>文件未載明</x:v>
      </x:c>
      <x:c r="J32" s="70"/>
      <x:c r="K32" s="70" t="n">
        <x:v>14076</x:v>
      </x:c>
      <x:c r="L32" s="70"/>
      <x:c r="M32" s="70"/>
      <x:c r="N32" s="70" t="n">
        <x:v>295588</x:v>
      </x:c>
      <x:c r="O32" s="70"/>
      <x:c r="P32" s="70" t="n">
        <x:v>295588</x:v>
      </x:c>
      <x:c r="Q32" s="70" t="str">
        <x:v>合約總額</x:v>
      </x:c>
      <x:c r="R32" s="71" t="str">
        <x:v>text：文件未載明；source_locator：文件未載明</x:v>
      </x:c>
      <x:c r="S32" s="71" t="str">
        <x:v>marker：文件未載明；source_locator：文件未載明</x:v>
      </x:c>
      <x:c r="T32" s="71" t="n">
        <x:v>3</x:v>
      </x:c>
      <x:c r="U32" s="71" t="n">
        <x:v>1</x:v>
      </x:c>
      <x:c r="V32" s="71" t="str">
        <x:v>全文及所有 HTML 表列已保留；結構化欄位以來源明載為限</x:v>
      </x:c>
      <x:c r="W32" s="71" t="str">
        <x:v>來源明載或文件未載明</x:v>
      </x:c>
      <x:c r="X32" s="71" t="str">
        <x:v>各廠商合約&amp; 報價\MD檔案\20241016 塑豐 房間門改先立.md</x:v>
      </x:c>
    </x:row>
    <x:row r="33">
      <x:c r="A33" s="69" t="str">
        <x:v>SRC029</x:v>
      </x:c>
      <x:c r="B33" s="69" t="str">
        <x:v>20241017 塑豐 防颱百葉窗.md</x:v>
      </x:c>
      <x:c r="C33" s="69" t="str">
        <x:v>.md</x:v>
      </x:c>
      <x:c r="D33" s="69" t="str">
        <x:v>2024-10-17</x:v>
      </x:c>
      <x:c r="E33" s="69" t="str">
        <x:v>報價單</x:v>
      </x:c>
      <x:c r="F33" s="71" t="str">
        <x:v>文件未載明</x:v>
      </x:c>
      <x:c r="G33" s="71" t="str">
        <x:v>文件未載明</x:v>
      </x:c>
      <x:c r="H33" s="71" t="str">
        <x:v>文件未載明</x:v>
      </x:c>
      <x:c r="I33" s="71" t="str">
        <x:v>文件未載明</x:v>
      </x:c>
      <x:c r="J33" s="70"/>
      <x:c r="K33" s="70" t="n">
        <x:v>1161</x:v>
      </x:c>
      <x:c r="L33" s="70"/>
      <x:c r="M33" s="70"/>
      <x:c r="N33" s="70"/>
      <x:c r="O33" s="70"/>
      <x:c r="P33" s="70"/>
      <x:c r="Q33" s="70" t="str">
        <x:v>文件未載明</x:v>
      </x:c>
      <x:c r="R33" s="71" t="str">
        <x:v>text：文件未載明；source_locator：文件未載明</x:v>
      </x:c>
      <x:c r="S33" s="71" t="str">
        <x:v>marker：追加；source_locator：本文第1行</x:v>
      </x:c>
      <x:c r="T33" s="71" t="n">
        <x:v>3</x:v>
      </x:c>
      <x:c r="U33" s="71" t="n">
        <x:v>1</x:v>
      </x:c>
      <x:c r="V33" s="71" t="str">
        <x:v>全文及所有 HTML 表列已保留；結構化欄位以來源明載為限</x:v>
      </x:c>
      <x:c r="W33" s="71" t="str">
        <x:v>來源中有多個不同總額，請依 amount_candidates 稽核</x:v>
      </x:c>
      <x:c r="X33" s="71" t="str">
        <x:v>各廠商合約&amp; 報價\MD檔案\20241017 塑豐 防颱百葉窗.md</x:v>
      </x:c>
    </x:row>
    <x:row r="34">
      <x:c r="A34" s="69" t="str">
        <x:v>SRC030</x:v>
      </x:c>
      <x:c r="B34" s="69" t="str">
        <x:v>20241126 塑豐 格柵.md</x:v>
      </x:c>
      <x:c r="C34" s="69" t="str">
        <x:v>.md</x:v>
      </x:c>
      <x:c r="D34" s="69" t="str">
        <x:v>2024-11-26</x:v>
      </x:c>
      <x:c r="E34" s="69" t="str">
        <x:v>報價單</x:v>
      </x:c>
      <x:c r="F34" s="71" t="str">
        <x:v>文件未載明</x:v>
      </x:c>
      <x:c r="G34" s="71" t="str">
        <x:v>文件未載明</x:v>
      </x:c>
      <x:c r="H34" s="71" t="str">
        <x:v>文件未載明</x:v>
      </x:c>
      <x:c r="I34" s="71" t="str">
        <x:v>文件未載明</x:v>
      </x:c>
      <x:c r="J34" s="70"/>
      <x:c r="K34" s="70"/>
      <x:c r="L34" s="70"/>
      <x:c r="M34" s="70"/>
      <x:c r="N34" s="70"/>
      <x:c r="O34" s="70"/>
      <x:c r="P34" s="70"/>
      <x:c r="Q34" s="70" t="str">
        <x:v>文件未載明</x:v>
      </x:c>
      <x:c r="R34" s="71" t="str">
        <x:v>text：文件未載明；source_locator：文件未載明</x:v>
      </x:c>
      <x:c r="S34" s="71" t="str">
        <x:v>marker：文件未載明；source_locator：文件未載明</x:v>
      </x:c>
      <x:c r="T34" s="71" t="n">
        <x:v>10</x:v>
      </x:c>
      <x:c r="U34" s="71" t="n">
        <x:v>1</x:v>
      </x:c>
      <x:c r="V34" s="71" t="str">
        <x:v>全文及所有 HTML 表列已保留；結構化欄位以來源明載為限</x:v>
      </x:c>
      <x:c r="W34" s="71" t="str">
        <x:v>來源明載或文件未載明</x:v>
      </x:c>
      <x:c r="X34" s="71" t="str">
        <x:v>各廠商合約&amp; 報價\MD檔案\20241126 塑豐 格柵.md</x:v>
      </x:c>
    </x:row>
    <x:row r="35">
      <x:c r="A35" s="69" t="str">
        <x:v>SRC031</x:v>
      </x:c>
      <x:c r="B35" s="69" t="str">
        <x:v>20241211 塑豐 鍍鋅烤漆門 換手把.md</x:v>
      </x:c>
      <x:c r="C35" s="69" t="str">
        <x:v>.md</x:v>
      </x:c>
      <x:c r="D35" s="69" t="str">
        <x:v>2024-12-11</x:v>
      </x:c>
      <x:c r="E35" s="69" t="str">
        <x:v>報價單</x:v>
      </x:c>
      <x:c r="F35" s="71" t="str">
        <x:v>文件未載明</x:v>
      </x:c>
      <x:c r="G35" s="71" t="str">
        <x:v>文件未載明</x:v>
      </x:c>
      <x:c r="H35" s="71" t="str">
        <x:v>文件未載明</x:v>
      </x:c>
      <x:c r="I35" s="71" t="str">
        <x:v>文件未載明</x:v>
      </x:c>
      <x:c r="J35" s="70"/>
      <x:c r="K35" s="70"/>
      <x:c r="L35" s="70"/>
      <x:c r="M35" s="70"/>
      <x:c r="N35" s="70"/>
      <x:c r="O35" s="70"/>
      <x:c r="P35" s="70"/>
      <x:c r="Q35" s="70" t="str">
        <x:v>文件未載明</x:v>
      </x:c>
      <x:c r="R35" s="71" t="str">
        <x:v>text：文件未載明；source_locator：文件未載明</x:v>
      </x:c>
      <x:c r="S35" s="71" t="str">
        <x:v>marker：文件未載明；source_locator：文件未載明</x:v>
      </x:c>
      <x:c r="T35" s="71" t="n">
        <x:v>3</x:v>
      </x:c>
      <x:c r="U35" s="71" t="n">
        <x:v>1</x:v>
      </x:c>
      <x:c r="V35" s="71" t="str">
        <x:v>全文及所有 HTML 表列已保留；結構化欄位以來源明載為限</x:v>
      </x:c>
      <x:c r="W35" s="71" t="str">
        <x:v>來源明載或文件未載明</x:v>
      </x:c>
      <x:c r="X35" s="71" t="str">
        <x:v>各廠商合約&amp; 報價\MD檔案\20241211 塑豐 鍍鋅烤漆門 換手把.md</x:v>
      </x:c>
    </x:row>
    <x:row r="36">
      <x:c r="A36" s="69" t="str">
        <x:v>SRC032</x:v>
      </x:c>
      <x:c r="B36" s="69" t="str">
        <x:v>20250212 智慧城植草磚、透水磚.md</x:v>
      </x:c>
      <x:c r="C36" s="69" t="str">
        <x:v>.md</x:v>
      </x:c>
      <x:c r="D36" s="69" t="str">
        <x:v>文件未載明</x:v>
      </x:c>
      <x:c r="E36" s="69" t="str">
        <x:v>合約；報價／估價</x:v>
      </x:c>
      <x:c r="F36" s="71" t="str">
        <x:v>智慧城企業有限公司</x:v>
      </x:c>
      <x:c r="G36" s="71" t="str">
        <x:v>文件未載明</x:v>
      </x:c>
      <x:c r="H36" s="71" t="str">
        <x:v>文件未載明</x:v>
      </x:c>
      <x:c r="I36" s="71" t="str">
        <x:v>文件未載明</x:v>
      </x:c>
      <x:c r="J36" s="70"/>
      <x:c r="K36" s="70" t="n">
        <x:v>6</x:v>
      </x:c>
      <x:c r="L36" s="70"/>
      <x:c r="M36" s="70"/>
      <x:c r="N36" s="70"/>
      <x:c r="O36" s="70" t="n">
        <x:v>59568</x:v>
      </x:c>
      <x:c r="P36" s="70" t="n">
        <x:v>59568</x:v>
      </x:c>
      <x:c r="Q36" s="70" t="str">
        <x:v>報價總額</x:v>
      </x:c>
      <x:c r="R36" s="71" t="str">
        <x:v>source：Markdown line 15；text：手機:蘇小姐0975-210366 V 地點:後龍鎮新東路116號旁 規格名稱 數量 單位 單價 金額 備註 雙八植草磚 62.63 m2 550 34,447 此為業主提共數量尺寸:24*24*8CM 336透水磚(本色) 8.44 m2 560 4,726 此為業主提共數量尺寸:30*30*6CM 15噸運費 1.00 越 2500 2,500 以越計價 雙八植草磚工資(不含覆土植草) 62.63 m2 200 12,526 此為軟鋪…（詳原文索引）</x:v>
      </x:c>
      <x:c r="S36" s="71" t="str">
        <x:v>marker：回傳；evidence：50%.尾款50%施作完畢後尾款3日內現金貨匯款結帳完成.謝謝!(現金不折扣)請全額支付,零保留。&lt;/td&gt;&lt;/tr&gt;&lt;tr&gt;&lt;td colspan="6"&gt;備註:請確認無誤後簽章回傳.方可盡快為貴公司安排出貨事宜.謝謝。&lt;/td&gt;&lt;/tr&gt;&lt;tr&gt;&lt;td&gt;智慧城企業有限公司負責人…（詳原文索引）</x:v>
      </x:c>
      <x:c r="T36" s="71" t="n">
        <x:v>24</x:v>
      </x:c>
      <x:c r="U36" s="71" t="n">
        <x:v>1</x:v>
      </x:c>
      <x:c r="V36" s="71" t="str">
        <x:v>已擷取</x:v>
      </x:c>
      <x:c r="W36" s="71" t="str"/>
      <x:c r="X36" s="71" t="str">
        <x:v>各廠商合約&amp; 報價\MD檔案\20250212 智慧城植草磚、透水磚.md</x:v>
      </x:c>
    </x:row>
    <x:row r="37">
      <x:c r="A37" s="69" t="str">
        <x:v>SRC033</x:v>
      </x:c>
      <x:c r="B37" s="69" t="str">
        <x:v>20250220 塑豐 格柵 追加.md</x:v>
      </x:c>
      <x:c r="C37" s="69" t="str">
        <x:v>.md</x:v>
      </x:c>
      <x:c r="D37" s="69" t="str">
        <x:v>文件未載明</x:v>
      </x:c>
      <x:c r="E37" s="69" t="str">
        <x:v>報價／估價</x:v>
      </x:c>
      <x:c r="F37" s="71" t="str">
        <x:v>文件未載明</x:v>
      </x:c>
      <x:c r="G37" s="71" t="str">
        <x:v>文件未載明</x:v>
      </x:c>
      <x:c r="H37" s="71" t="str">
        <x:v>文件未載明</x:v>
      </x:c>
      <x:c r="I37" s="71" t="str">
        <x:v>文件未載明</x:v>
      </x:c>
      <x:c r="J37" s="70"/>
      <x:c r="K37" s="70"/>
      <x:c r="L37" s="70"/>
      <x:c r="M37" s="70"/>
      <x:c r="N37" s="70"/>
      <x:c r="O37" s="70" t="n">
        <x:v>2</x:v>
      </x:c>
      <x:c r="P37" s="70" t="n">
        <x:v>2</x:v>
      </x:c>
      <x:c r="Q37" s="70" t="str">
        <x:v>報價總額</x:v>
      </x:c>
      <x:c r="R37" s="71" t="str">
        <x:v>source：文件未載明；text：文件未載明</x:v>
      </x:c>
      <x:c r="S37" s="71" t="str">
        <x:v>marker：追加；evidence：20250220 塑豐 格柵 追加.md；marker：追加；evidence：d&gt;&lt;/tr&gt;&lt;/table&gt; 報價說明 電話：037-775355\*985傳真： 日期：114.02.20 工程名稱：向上建設集合住宅等11戶新建工程 ## 鋁格柵一追加報價單 客戶名稱：向上建設股…（詳原文索引）</x:v>
      </x:c>
      <x:c r="T37" s="71" t="n">
        <x:v>6</x:v>
      </x:c>
      <x:c r="U37" s="71" t="n">
        <x:v>1</x:v>
      </x:c>
      <x:c r="V37" s="71" t="str">
        <x:v>已擷取</x:v>
      </x:c>
      <x:c r="W37" s="71" t="str"/>
      <x:c r="X37" s="71" t="str">
        <x:v>各廠商合約&amp; 報價\MD檔案\20250220 塑豐 格柵 追加.md</x:v>
      </x:c>
    </x:row>
    <x:row r="38">
      <x:c r="A38" s="69" t="str">
        <x:v>SRC034</x:v>
      </x:c>
      <x:c r="B38" s="69" t="str">
        <x:v>20250220 裕苗表內管報價.md</x:v>
      </x:c>
      <x:c r="C38" s="69" t="str">
        <x:v>.md</x:v>
      </x:c>
      <x:c r="D38" s="69" t="str">
        <x:v>文件未載明</x:v>
      </x:c>
      <x:c r="E38" s="69" t="str">
        <x:v>報價／估價</x:v>
      </x:c>
      <x:c r="F38" s="71" t="str">
        <x:v>裕苗天然氣股份有限公司</x:v>
      </x:c>
      <x:c r="G38" s="71" t="str">
        <x:v>文件未載明</x:v>
      </x:c>
      <x:c r="H38" s="71" t="str">
        <x:v>文件未載明</x:v>
      </x:c>
      <x:c r="I38" s="71" t="str">
        <x:v>文件未載明</x:v>
      </x:c>
      <x:c r="J38" s="70"/>
      <x:c r="K38" s="70" t="n">
        <x:v>18855</x:v>
      </x:c>
      <x:c r="L38" s="70"/>
      <x:c r="M38" s="70"/>
      <x:c r="N38" s="70"/>
      <x:c r="O38" s="70" t="n">
        <x:v>2</x:v>
      </x:c>
      <x:c r="P38" s="70" t="n">
        <x:v>2</x:v>
      </x:c>
      <x:c r="Q38" s="70" t="str">
        <x:v>報價總額</x:v>
      </x:c>
      <x:c r="R38" s="71" t="str">
        <x:v>source：文件未載明；text：文件未載明</x:v>
      </x:c>
      <x:c r="S38" s="71" t="str">
        <x:v>marker：文件未載明；evidence：文件未載明</x:v>
      </x:c>
      <x:c r="T38" s="71" t="n">
        <x:v>21</x:v>
      </x:c>
      <x:c r="U38" s="71" t="n">
        <x:v>1</x:v>
      </x:c>
      <x:c r="V38" s="71" t="str">
        <x:v>已擷取</x:v>
      </x:c>
      <x:c r="W38" s="71" t="str"/>
      <x:c r="X38" s="71" t="str">
        <x:v>各廠商合約&amp; 報價\MD檔案\20250220 裕苗表內管報價.md</x:v>
      </x:c>
    </x:row>
    <x:row r="39">
      <x:c r="A39" s="69" t="str">
        <x:v>SRC035</x:v>
      </x:c>
      <x:c r="B39" s="69" t="str">
        <x:v>20250506 楠弘柏加 _廚房Grohe伸縮龍頭_.md</x:v>
      </x:c>
      <x:c r="C39" s="69" t="str">
        <x:v>.md</x:v>
      </x:c>
      <x:c r="D39" s="69" t="str">
        <x:v>文件未載明</x:v>
      </x:c>
      <x:c r="E39" s="69" t="str">
        <x:v>報價／估價</x:v>
      </x:c>
      <x:c r="F39" s="71" t="str">
        <x:v>柏加企業股份有限公司</x:v>
      </x:c>
      <x:c r="G39" s="71" t="str">
        <x:v>文件未載明</x:v>
      </x:c>
      <x:c r="H39" s="71" t="str">
        <x:v>文件未載明</x:v>
      </x:c>
      <x:c r="I39" s="71" t="str">
        <x:v>新竹縣竹北市文興路二段33號</x:v>
      </x:c>
      <x:c r="J39" s="70"/>
      <x:c r="K39" s="70" t="n">
        <x:v>96800</x:v>
      </x:c>
      <x:c r="L39" s="70" t="n">
        <x:v>96800</x:v>
      </x:c>
      <x:c r="M39" s="70"/>
      <x:c r="N39" s="70"/>
      <x:c r="O39" s="70" t="n">
        <x:v>96800</x:v>
      </x:c>
      <x:c r="P39" s="70" t="n">
        <x:v>96800</x:v>
      </x:c>
      <x:c r="Q39" s="70" t="str">
        <x:v>含稅／總計</x:v>
      </x:c>
      <x:c r="R39" s="71" t="str">
        <x:v>source：文件未載明；text：文件未載明</x:v>
      </x:c>
      <x:c r="S39" s="71" t="str">
        <x:v>marker：文件未載明；evidence：文件未載明</x:v>
      </x:c>
      <x:c r="T39" s="71" t="n">
        <x:v>12</x:v>
      </x:c>
      <x:c r="U39" s="71" t="n">
        <x:v>1</x:v>
      </x:c>
      <x:c r="V39" s="71" t="str">
        <x:v>已擷取</x:v>
      </x:c>
      <x:c r="W39" s="71" t="str"/>
      <x:c r="X39" s="71" t="str">
        <x:v>各廠商合約&amp; 報價\MD檔案\20250506 楠弘柏加 _廚房Grohe伸縮龍頭_.md</x:v>
      </x:c>
    </x:row>
    <x:row r="40">
      <x:c r="A40" s="69" t="str">
        <x:v>SRC036</x:v>
      </x:c>
      <x:c r="B40" s="69" t="str">
        <x:v>20250508 楠弘柏加 合約.md</x:v>
      </x:c>
      <x:c r="C40" s="69" t="str">
        <x:v>.md</x:v>
      </x:c>
      <x:c r="D40" s="69" t="str">
        <x:v>文件未載明</x:v>
      </x:c>
      <x:c r="E40" s="69" t="str">
        <x:v>合約；報價／估價</x:v>
      </x:c>
      <x:c r="F40" s="71" t="str">
        <x:v>柏加企業股份有限公司</x:v>
      </x:c>
      <x:c r="G40" s="71" t="str">
        <x:v>16651751</x:v>
      </x:c>
      <x:c r="H40" s="71" t="str">
        <x:v>文件明載</x:v>
      </x:c>
      <x:c r="I40" s="71" t="str">
        <x:v>文件未載明</x:v>
      </x:c>
      <x:c r="J40" s="70"/>
      <x:c r="K40" s="70"/>
      <x:c r="L40" s="70" t="n">
        <x:v>113019</x:v>
      </x:c>
      <x:c r="M40" s="70"/>
      <x:c r="N40" s="70"/>
      <x:c r="O40" s="70"/>
      <x:c r="P40" s="70" t="n">
        <x:v>113019</x:v>
      </x:c>
      <x:c r="Q40" s="70" t="str">
        <x:v>含稅／總計</x:v>
      </x:c>
      <x:c r="R40" s="71" t="str">
        <x:v>source：Markdown line 37；text：四、付款方式：；source：Markdown line 39；text：第一期：本合約書簽訂之同時，甲方應以現金匯款支付乙方總貨款20%為訂金；source：Markdown line 41；text：第二期：甲方需於乙方交貨工地驗收合格，檢附相關銷貨單及請款以現金匯款支付乙方交貨總貨款75%。；source：Markdown line 43；text：第三期：第一戶交屋後，檢附相關銷貨單及請款單，以現金匯款支付乙方交貨總貨款之5%尾款…（詳原文索引）</x:v>
      </x:c>
      <x:c r="S40" s="71" t="str">
        <x:v>marker：文件未載明；evidence：文件未載明</x:v>
      </x:c>
      <x:c r="T40" s="71" t="n">
        <x:v>7</x:v>
      </x:c>
      <x:c r="U40" s="71" t="n">
        <x:v>1</x:v>
      </x:c>
      <x:c r="V40" s="71" t="str">
        <x:v>已擷取</x:v>
      </x:c>
      <x:c r="W40" s="71" t="str"/>
      <x:c r="X40" s="71" t="str">
        <x:v>各廠商合約&amp; 報價\MD檔案\20250508 楠弘柏加 合約.md</x:v>
      </x:c>
    </x:row>
    <x:row r="41">
      <x:c r="A41" s="69" t="str">
        <x:v>SRC037</x:v>
      </x:c>
      <x:c r="B41" s="69" t="str">
        <x:v>20250514 TOTO 衛浴更新.md</x:v>
      </x:c>
      <x:c r="C41" s="69" t="str">
        <x:v>.md</x:v>
      </x:c>
      <x:c r="D41" s="69" t="str">
        <x:v>文件未載明</x:v>
      </x:c>
      <x:c r="E41" s="69" t="str">
        <x:v>合約；報價／估價</x:v>
      </x:c>
      <x:c r="F41" s="71" t="str">
        <x:v>建信自動化有限公司；護展股份有限公司；晉展股份有限公司</x:v>
      </x:c>
      <x:c r="G41" s="71" t="str">
        <x:v>23968262</x:v>
      </x:c>
      <x:c r="H41" s="71" t="str">
        <x:v>文件明載</x:v>
      </x:c>
      <x:c r="I41" s="71" t="str">
        <x:v>新竹市公道五路三段538號；苗栗縣竹南鎮中正路423號</x:v>
      </x:c>
      <x:c r="J41" s="70"/>
      <x:c r="K41" s="70"/>
      <x:c r="L41" s="70"/>
      <x:c r="M41" s="70"/>
      <x:c r="N41" s="70"/>
      <x:c r="O41" s="70" t="n">
        <x:v>4</x:v>
      </x:c>
      <x:c r="P41" s="70" t="n">
        <x:v>4</x:v>
      </x:c>
      <x:c r="Q41" s="70" t="str">
        <x:v>報價總額</x:v>
      </x:c>
      <x:c r="R41" s="71" t="str">
        <x:v>source：Markdown line 11；text：公司名稱:向上建設股份有限公司 地址:苗栗縣竹南鎮中正路423號 案件名稱: 電話:0932-695878 聯絡人:洪建豪先生 傳真: 項次 品名 規格 數量 單價 金額 備 註 1 單體馬桶 CW288SGUR 11 13,620 149,820 2 單體馬桶 CW889CDRTW 11 12,300 135,300 3 溫水洗淨便座 TCF4911ETR 11 31,410 345,510 特惠價 4 溫水洗淨便座 TCF23360A…（詳原文索引）</x:v>
      </x:c>
      <x:c r="S41" s="71" t="str">
        <x:v>marker：更新；evidence：20250514 TOTO 衛浴更新.md</x:v>
      </x:c>
      <x:c r="T41" s="71" t="n">
        <x:v>23</x:v>
      </x:c>
      <x:c r="U41" s="71" t="n">
        <x:v>1</x:v>
      </x:c>
      <x:c r="V41" s="71" t="str">
        <x:v>已擷取</x:v>
      </x:c>
      <x:c r="W41" s="71" t="str"/>
      <x:c r="X41" s="71" t="str">
        <x:v>各廠商合約&amp; 報價\MD檔案\20250514 TOTO 衛浴更新.md</x:v>
      </x:c>
    </x:row>
    <x:row r="42">
      <x:c r="A42" s="69" t="str">
        <x:v>SRC038</x:v>
      </x:c>
      <x:c r="B42" s="69" t="str">
        <x:v>20250807 順靖 玻璃修復.md</x:v>
      </x:c>
      <x:c r="C42" s="69" t="str">
        <x:v>.md</x:v>
      </x:c>
      <x:c r="D42" s="69" t="str">
        <x:v>2025-08-07</x:v>
      </x:c>
      <x:c r="E42" s="69" t="str">
        <x:v>報價／估價</x:v>
      </x:c>
      <x:c r="F42" s="71" t="str">
        <x:v>順靖企業有限公司</x:v>
      </x:c>
      <x:c r="G42" s="71" t="str">
        <x:v>文件未載明</x:v>
      </x:c>
      <x:c r="H42" s="71" t="str">
        <x:v>文件未載明</x:v>
      </x:c>
      <x:c r="I42" s="71" t="str">
        <x:v>文件未載明</x:v>
      </x:c>
      <x:c r="J42" s="70"/>
      <x:c r="K42" s="70"/>
      <x:c r="L42" s="70"/>
      <x:c r="M42" s="70"/>
      <x:c r="N42" s="70"/>
      <x:c r="O42" s="70"/>
      <x:c r="P42" s="70"/>
      <x:c r="Q42" s="70" t="str">
        <x:v>文件未載明</x:v>
      </x:c>
      <x:c r="R42" s="71" t="str">
        <x:v>source：Markdown line 37；text：3) 付款方式：本報價單可視同正式訂單。訂單確認後，於本欄杆工程完工當月即配合驗收完成100%支付。</x:v>
      </x:c>
      <x:c r="S42" s="71" t="str">
        <x:v>marker：更新；evidence：&gt;&lt;tr&gt;&lt;td&gt;戶名&lt;/td&gt;&lt;td&gt;樓層&lt;/td&gt;&lt;/tr&gt;&lt;tr&gt;&lt;td&gt;1&lt;/td&gt;&lt;td&gt;/&lt;/td&gt;&lt;td&gt;R1F&lt;/td&gt;&lt;td&gt;更換5+5mm單強化透明膠合玻璃上蓋更新、人工費&lt;/td&gt;&lt;td&gt;式&lt;/td&gt;&lt;td&gt;1&lt;/td&gt;&lt;td&gt;$8,000&lt;/td&gt;&lt;td&gt;$…（詳原文索引）</x:v>
      </x:c>
      <x:c r="T42" s="71" t="n">
        <x:v>4</x:v>
      </x:c>
      <x:c r="U42" s="71" t="n">
        <x:v>1</x:v>
      </x:c>
      <x:c r="V42" s="71" t="str">
        <x:v>已擷取</x:v>
      </x:c>
      <x:c r="W42" s="71" t="str"/>
      <x:c r="X42" s="71" t="str">
        <x:v>各廠商合約&amp; 報價\MD檔案\20250807 順靖 玻璃修復.md</x:v>
      </x:c>
    </x:row>
    <x:row r="43">
      <x:c r="A43" s="69" t="str">
        <x:v>SRC039</x:v>
      </x:c>
      <x:c r="B43" s="69" t="str">
        <x:v>20250922宇勝工程行-水電報價單.md</x:v>
      </x:c>
      <x:c r="C43" s="69" t="str">
        <x:v>.md</x:v>
      </x:c>
      <x:c r="D43" s="69" t="str">
        <x:v>文件未載明</x:v>
      </x:c>
      <x:c r="E43" s="69" t="str">
        <x:v>報價／估價</x:v>
      </x:c>
      <x:c r="F43" s="71" t="str">
        <x:v>宇勝工程行</x:v>
      </x:c>
      <x:c r="G43" s="71" t="str">
        <x:v>文件未載明</x:v>
      </x:c>
      <x:c r="H43" s="71" t="str">
        <x:v>文件未載明</x:v>
      </x:c>
      <x:c r="I43" s="71" t="str">
        <x:v>文件未載明</x:v>
      </x:c>
      <x:c r="J43" s="70"/>
      <x:c r="K43" s="70" t="n">
        <x:v>3</x:v>
      </x:c>
      <x:c r="L43" s="70" t="n">
        <x:v>2600000</x:v>
      </x:c>
      <x:c r="M43" s="70"/>
      <x:c r="N43" s="70"/>
      <x:c r="O43" s="70" t="n">
        <x:v>3</x:v>
      </x:c>
      <x:c r="P43" s="70" t="n">
        <x:v>2600000</x:v>
      </x:c>
      <x:c r="Q43" s="70" t="str">
        <x:v>含稅／總計</x:v>
      </x:c>
      <x:c r="R43" s="71" t="str">
        <x:v>source：Markdown line 13；text：3. 本估價單付款條件：□期票；source：Markdown line 17；text：4. 如蒙惠故先付訂金</x:v>
      </x:c>
      <x:c r="S43" s="71" t="str">
        <x:v>marker：文件未載明；evidence：文件未載明</x:v>
      </x:c>
      <x:c r="T43" s="71" t="n">
        <x:v>29</x:v>
      </x:c>
      <x:c r="U43" s="71" t="n">
        <x:v>1</x:v>
      </x:c>
      <x:c r="V43" s="71" t="str">
        <x:v>已擷取</x:v>
      </x:c>
      <x:c r="W43" s="71" t="str"/>
      <x:c r="X43" s="71" t="str">
        <x:v>各廠商合約&amp; 報價\MD檔案\20250922宇勝工程行-水電報價單.md</x:v>
      </x:c>
    </x:row>
    <x:row r="44">
      <x:c r="A44" s="69" t="str">
        <x:v>SRC040</x:v>
      </x:c>
      <x:c r="B44" s="69" t="str">
        <x:v>20250922晶鼎鐳射-電梯門框包版報價單.md</x:v>
      </x:c>
      <x:c r="C44" s="69" t="str">
        <x:v>.md</x:v>
      </x:c>
      <x:c r="D44" s="69" t="str">
        <x:v>文件未載明</x:v>
      </x:c>
      <x:c r="E44" s="69" t="str">
        <x:v>報價／估價</x:v>
      </x:c>
      <x:c r="F44" s="71" t="str">
        <x:v>晶鼎鐳射工業股份有限公司</x:v>
      </x:c>
      <x:c r="G44" s="71" t="str">
        <x:v>文件未載明</x:v>
      </x:c>
      <x:c r="H44" s="71" t="str">
        <x:v>文件未載明</x:v>
      </x:c>
      <x:c r="I44" s="71" t="str">
        <x:v>台中市豐原區三豐路二段549巷331弄102號</x:v>
      </x:c>
      <x:c r="J44" s="70"/>
      <x:c r="K44" s="70"/>
      <x:c r="L44" s="70"/>
      <x:c r="M44" s="70"/>
      <x:c r="N44" s="70"/>
      <x:c r="O44" s="70"/>
      <x:c r="P44" s="70"/>
      <x:c r="Q44" s="70" t="str">
        <x:v>文件未載明</x:v>
      </x:c>
      <x:c r="R44" s="71" t="str">
        <x:v>source：Markdown line 11；text：地址: 台中市豐原區三豐路二段549巷331弄102號附註：1.付款條件：□票期：固定月結\_60天。</x:v>
      </x:c>
      <x:c r="S44" s="71" t="str">
        <x:v>marker：文件未載明；evidence：文件未載明</x:v>
      </x:c>
      <x:c r="T44" s="71" t="n">
        <x:v>9</x:v>
      </x:c>
      <x:c r="U44" s="71" t="n">
        <x:v>1</x:v>
      </x:c>
      <x:c r="V44" s="71" t="str">
        <x:v>已擷取</x:v>
      </x:c>
      <x:c r="W44" s="71" t="str"/>
      <x:c r="X44" s="71" t="str">
        <x:v>各廠商合約&amp; 報價\MD檔案\20250922晶鼎鐳射-電梯門框包版報價單.md</x:v>
      </x:c>
    </x:row>
    <x:row r="45">
      <x:c r="A45" s="69" t="str">
        <x:v>SRC041</x:v>
      </x:c>
      <x:c r="B45" s="69" t="str">
        <x:v>20250923山源工程行-2樓陽台地坪防水工程報價單.md</x:v>
      </x:c>
      <x:c r="C45" s="69" t="str">
        <x:v>.md</x:v>
      </x:c>
      <x:c r="D45" s="69" t="str">
        <x:v>文件未載明</x:v>
      </x:c>
      <x:c r="E45" s="69" t="str">
        <x:v>報價／估價</x:v>
      </x:c>
      <x:c r="F45" s="71" t="str">
        <x:v>山源工程行</x:v>
      </x:c>
      <x:c r="G45" s="71" t="str">
        <x:v>文件未載明</x:v>
      </x:c>
      <x:c r="H45" s="71" t="str">
        <x:v>文件未載明</x:v>
      </x:c>
      <x:c r="I45" s="71" t="str">
        <x:v>文件未載明</x:v>
      </x:c>
      <x:c r="J45" s="70"/>
      <x:c r="K45" s="70" t="n">
        <x:v>3</x:v>
      </x:c>
      <x:c r="L45" s="70"/>
      <x:c r="M45" s="70"/>
      <x:c r="N45" s="70"/>
      <x:c r="O45" s="70"/>
      <x:c r="P45" s="70"/>
      <x:c r="Q45" s="70" t="str">
        <x:v>文件未載明</x:v>
      </x:c>
      <x:c r="R45" s="71" t="str">
        <x:v>source：文件未載明；text：文件未載明</x:v>
      </x:c>
      <x:c r="S45" s="71" t="str">
        <x:v>marker：文件未載明；evidence：文件未載明</x:v>
      </x:c>
      <x:c r="T45" s="71" t="n">
        <x:v>13</x:v>
      </x:c>
      <x:c r="U45" s="71" t="n">
        <x:v>1</x:v>
      </x:c>
      <x:c r="V45" s="71" t="str">
        <x:v>已擷取</x:v>
      </x:c>
      <x:c r="W45" s="71" t="str"/>
      <x:c r="X45" s="71" t="str">
        <x:v>各廠商合約&amp; 報價\MD檔案\20250923山源工程行-2樓陽台地坪防水工程報價單.md</x:v>
      </x:c>
    </x:row>
    <x:row r="46">
      <x:c r="A46" s="69" t="str">
        <x:v>SRC042</x:v>
      </x:c>
      <x:c r="B46" s="69" t="str">
        <x:v>20251016電箱報價單回傳.md</x:v>
      </x:c>
      <x:c r="C46" s="69" t="str">
        <x:v>.md</x:v>
      </x:c>
      <x:c r="D46" s="69" t="str">
        <x:v>文件未載明</x:v>
      </x:c>
      <x:c r="E46" s="69" t="str">
        <x:v>報價／估價</x:v>
      </x:c>
      <x:c r="F46" s="71" t="str">
        <x:v>偉茗盛有限公司</x:v>
      </x:c>
      <x:c r="G46" s="71" t="str">
        <x:v>文件未載明</x:v>
      </x:c>
      <x:c r="H46" s="71" t="str">
        <x:v>文件未載明</x:v>
      </x:c>
      <x:c r="I46" s="71" t="str">
        <x:v>新竹縣竹北市泰和里中和街191巷11號；新竹縣竹北市泰和里中和街191巷11號；新竹縣竹北市泰和里中和街191巷11號；新竹縣竹北市泰和里中和街191巷11號</x:v>
      </x:c>
      <x:c r="J46" s="70" t="n">
        <x:v>295000</x:v>
      </x:c>
      <x:c r="K46" s="70"/>
      <x:c r="L46" s="70"/>
      <x:c r="M46" s="70"/>
      <x:c r="N46" s="70"/>
      <x:c r="O46" s="70"/>
      <x:c r="P46" s="70" t="n">
        <x:v>295000</x:v>
      </x:c>
      <x:c r="Q46" s="70" t="str">
        <x:v>未稅金額</x:v>
      </x:c>
      <x:c r="R46" s="71" t="str">
        <x:v>source：Markdown line 115；text：項目 品名規格 單位 數量 單價 金額 備註 10 運費(貨車可到達地)至後龍 式 1 3,500 3,500 新台幣:貳拾捌萬捌仟陸佰零肆元整(未稅) 總計 備註:1、交貨期限:報價單回簽後,10個工作日。2、交貨地點:貨車可達之地面。3、付款條件:貨到60天期票。(首次交易,請付現金)4、有效期限:報價日起7天以內。 客戶簽章 議價後$295,000未稅 壹公股向用司份上章約限設；source：HTML table 4 row 27…（詳原文索引）</x:v>
      </x:c>
      <x:c r="S46" s="71" t="str">
        <x:v>marker：回傳；evidence：20251016電箱報價單回傳.md；marker：回傳；evidence：r&gt;&lt;td colspan="4"&gt;議價後$295,000未稅&lt;/td&gt;&lt;td&gt;壹公股向用司份上章約限設&lt;/td&gt;&lt;/tr&gt;&lt;/table&gt; \*如確認無誤，請簽名或蓋公司章後，回傳至03-5519179或…（詳原文索引）</x:v>
      </x:c>
      <x:c r="T46" s="71" t="n">
        <x:v>102</x:v>
      </x:c>
      <x:c r="U46" s="71" t="n">
        <x:v>2</x:v>
      </x:c>
      <x:c r="V46" s="71" t="str">
        <x:v>已擷取</x:v>
      </x:c>
      <x:c r="W46" s="71" t="str"/>
      <x:c r="X46" s="71" t="str">
        <x:v>各廠商合約&amp; 報價\MD檔案\20251016電箱報價單回傳.md</x:v>
      </x:c>
    </x:row>
    <x:row r="47">
      <x:c r="A47" s="69" t="str">
        <x:v>SRC043</x:v>
      </x:c>
      <x:c r="B47" s="69" t="str">
        <x:v>20251022達成鑫-竹節鋼筋報價單回傳.md</x:v>
      </x:c>
      <x:c r="C47" s="69" t="str">
        <x:v>.md</x:v>
      </x:c>
      <x:c r="D47" s="69" t="str">
        <x:v>文件未載明</x:v>
      </x:c>
      <x:c r="E47" s="69" t="str">
        <x:v>合約；報價／估價</x:v>
      </x:c>
      <x:c r="F47" s="71" t="str">
        <x:v>達成鑫鋼鐵股份有限公司</x:v>
      </x:c>
      <x:c r="G47" s="71" t="str">
        <x:v>文件未載明</x:v>
      </x:c>
      <x:c r="H47" s="71" t="str">
        <x:v>文件未載明</x:v>
      </x:c>
      <x:c r="I47" s="71" t="str">
        <x:v>苗栗縣後龍鎮中華路712號</x:v>
      </x:c>
      <x:c r="J47" s="70"/>
      <x:c r="K47" s="70"/>
      <x:c r="L47" s="70"/>
      <x:c r="M47" s="70"/>
      <x:c r="N47" s="70"/>
      <x:c r="O47" s="70"/>
      <x:c r="P47" s="70"/>
      <x:c r="Q47" s="70" t="str">
        <x:v>文件未載明</x:v>
      </x:c>
      <x:c r="R47" s="71" t="str">
        <x:v>source：Markdown line 23；text：(3) 付款方式：訂約時全額預付匯款，依實送數量計價100%，多退少補。；source：Markdown line 24；text：匯款至:第一銀行(東門分行)302-10-021600 達成鑫鋼鐵股份有限公司</x:v>
      </x:c>
      <x:c r="S47" s="71" t="str">
        <x:v>marker：回傳；evidence：20251022達成鑫-竹節鋼筋報價單回傳.md</x:v>
      </x:c>
      <x:c r="T47" s="71" t="n">
        <x:v>7</x:v>
      </x:c>
      <x:c r="U47" s="71" t="n">
        <x:v>1</x:v>
      </x:c>
      <x:c r="V47" s="71" t="str">
        <x:v>已擷取</x:v>
      </x:c>
      <x:c r="W47" s="71" t="str"/>
      <x:c r="X47" s="71" t="str">
        <x:v>各廠商合約&amp; 報價\MD檔案\20251022達成鑫-竹節鋼筋報價單回傳.md</x:v>
      </x:c>
    </x:row>
    <x:row r="48">
      <x:c r="A48" s="69" t="str">
        <x:v>SRC044</x:v>
      </x:c>
      <x:c r="B48" s="69" t="str">
        <x:v>20251030台灣吉田智能科技衛浴報價單回傳.md</x:v>
      </x:c>
      <x:c r="C48" s="69" t="str">
        <x:v>.md</x:v>
      </x:c>
      <x:c r="D48" s="69" t="str">
        <x:v>2025-08-27</x:v>
      </x:c>
      <x:c r="E48" s="69" t="str">
        <x:v>合約；報價／估價</x:v>
      </x:c>
      <x:c r="F48" s="71" t="str">
        <x:v>台灣吉田智能科技衛浴有限公司</x:v>
      </x:c>
      <x:c r="G48" s="71" t="str">
        <x:v>文件未載明</x:v>
      </x:c>
      <x:c r="H48" s="71" t="str">
        <x:v>文件未載明</x:v>
      </x:c>
      <x:c r="I48" s="71" t="str">
        <x:v>文件未載明</x:v>
      </x:c>
      <x:c r="J48" s="70"/>
      <x:c r="K48" s="70" t="n">
        <x:v>6600</x:v>
      </x:c>
      <x:c r="L48" s="70"/>
      <x:c r="M48" s="70"/>
      <x:c r="N48" s="70"/>
      <x:c r="O48" s="70" t="n">
        <x:v>132000</x:v>
      </x:c>
      <x:c r="P48" s="70" t="n">
        <x:v>132000</x:v>
      </x:c>
      <x:c r="Q48" s="70" t="str">
        <x:v>報價總額</x:v>
      </x:c>
      <x:c r="R48" s="71" t="str">
        <x:v>source：Markdown line 7；text：客戶編號 B994建設公司向上建設股份有限公司 報價日期 2025/08/27 連絡人 採購-謝婉琳 報價單號 202508.022 連絡電話 專案名稱 送貨地址 苗栗 報價有效期 2025.10.31 付款條件: 現金匯款預計交貨日期: 生產天約15工作天左右 提早好會再通知備註內容: 90057101向上建設股份有限公司 產品編號 產品名稱 數量 單價 金額小計 圖片 商品附註 M-999 四方圓清鏡50*70三色燈觸控切換+觸控除霧 …（詳原文索引）</x:v>
      </x:c>
      <x:c r="S48" s="71" t="str">
        <x:v>marker：回傳；evidence：20251030台灣吉田智能科技衛浴報價單回傳.md</x:v>
      </x:c>
      <x:c r="T48" s="71" t="n">
        <x:v>10</x:v>
      </x:c>
      <x:c r="U48" s="71" t="n">
        <x:v>1</x:v>
      </x:c>
      <x:c r="V48" s="71" t="str">
        <x:v>已擷取</x:v>
      </x:c>
      <x:c r="W48" s="71" t="str"/>
      <x:c r="X48" s="71" t="str">
        <x:v>各廠商合約&amp; 報價\MD檔案\20251030台灣吉田智能科技衛浴報價單回傳.md</x:v>
      </x:c>
    </x:row>
    <x:row r="49">
      <x:c r="A49" s="69" t="str">
        <x:v>SRC045</x:v>
      </x:c>
      <x:c r="B49" s="69" t="str">
        <x:v>20251030永富工程-圍牆報價單回傳.md</x:v>
      </x:c>
      <x:c r="C49" s="69" t="str">
        <x:v>.md</x:v>
      </x:c>
      <x:c r="D49" s="69" t="str">
        <x:v>2025-10-29</x:v>
      </x:c>
      <x:c r="E49" s="69" t="str">
        <x:v>文件類型待確認</x:v>
      </x:c>
      <x:c r="F49" s="71" t="str">
        <x:v>文件未載明</x:v>
      </x:c>
      <x:c r="G49" s="71" t="str">
        <x:v>文件未載明</x:v>
      </x:c>
      <x:c r="H49" s="71" t="str">
        <x:v>文件未載明</x:v>
      </x:c>
      <x:c r="I49" s="71" t="str">
        <x:v>文件未載明</x:v>
      </x:c>
      <x:c r="J49" s="70"/>
      <x:c r="K49" s="70" t="n">
        <x:v>1</x:v>
      </x:c>
      <x:c r="L49" s="70"/>
      <x:c r="M49" s="70"/>
      <x:c r="N49" s="70"/>
      <x:c r="O49" s="70" t="n">
        <x:v>174421</x:v>
      </x:c>
      <x:c r="P49" s="70" t="n">
        <x:v>174421</x:v>
      </x:c>
      <x:c r="Q49" s="70" t="str">
        <x:v>報價總額</x:v>
      </x:c>
      <x:c r="R49" s="71" t="str">
        <x:v>source：文件未載明；text：文件未載明</x:v>
      </x:c>
      <x:c r="S49" s="71" t="str">
        <x:v>marker：回傳；evidence：20251030永富工程-圍牆報價單回傳.md</x:v>
      </x:c>
      <x:c r="T49" s="71" t="n">
        <x:v>19</x:v>
      </x:c>
      <x:c r="U49" s="71" t="n">
        <x:v>1</x:v>
      </x:c>
      <x:c r="V49" s="71" t="str">
        <x:v>已擷取</x:v>
      </x:c>
      <x:c r="W49" s="71" t="str"/>
      <x:c r="X49" s="71" t="str">
        <x:v>各廠商合約&amp; 報價\MD檔案\20251030永富工程-圍牆報價單回傳.md</x:v>
      </x:c>
    </x:row>
    <x:row r="50">
      <x:c r="A50" s="69" t="str">
        <x:v>SRC046</x:v>
      </x:c>
      <x:c r="B50" s="69" t="str">
        <x:v>20251030向上拾壹間新建工程菊水利諾合約回傳.md</x:v>
      </x:c>
      <x:c r="C50" s="69" t="str">
        <x:v>.md</x:v>
      </x:c>
      <x:c r="D50" s="69" t="str">
        <x:v>2025-10-01</x:v>
      </x:c>
      <x:c r="E50" s="69" t="str">
        <x:v>合約；報價／估價</x:v>
      </x:c>
      <x:c r="F50" s="71" t="str">
        <x:v>菊水利諾工程股份有限公司</x:v>
      </x:c>
      <x:c r="G50" s="71" t="str">
        <x:v>60680548</x:v>
      </x:c>
      <x:c r="H50" s="71" t="str">
        <x:v>文件明載</x:v>
      </x:c>
      <x:c r="I50" s="71" t="str">
        <x:v>文件未載明</x:v>
      </x:c>
      <x:c r="J50" s="70"/>
      <x:c r="K50" s="70" t="n">
        <x:v>5</x:v>
      </x:c>
      <x:c r="L50" s="70"/>
      <x:c r="M50" s="70"/>
      <x:c r="N50" s="70" t="n">
        <x:v>10</x:v>
      </x:c>
      <x:c r="O50" s="70" t="n">
        <x:v>4</x:v>
      </x:c>
      <x:c r="P50" s="70" t="n">
        <x:v>10</x:v>
      </x:c>
      <x:c r="Q50" s="70" t="str">
        <x:v>合約總額</x:v>
      </x:c>
      <x:c r="R50" s="71" t="str">
        <x:v>source：Markdown line 39；text：## 第五條 付款方式：；source：Markdown line 41；text：1. 本工程預付款為工程契約總價的30%，乙方應於簽約日後起算七個工作日內送達發票，甲方即於收到發票日後起算七個工作日內付款。；source：Markdown line 43；text：2. 本工程款的完工款為工程契約總價的 60%，乙方應於完工日後起算七個工作日內送達發票，甲方即於收到發票日後七個工作日內付款。；source：Markdown line …（詳原文索引）</x:v>
      </x:c>
      <x:c r="S50" s="71" t="str">
        <x:v>marker：回傳；evidence：20251030向上拾壹間新建工程菊水利諾合約回傳.md；marker：回傳；evidence：按實做數量計價。※此報價內容為2025年~2026年共2年於貴公司案使用菊水商品累積共2,000m以上為前提所設定之特別價格。&lt;/td&gt;&lt;/tr&gt;&lt;/table&gt; ※請確認後簽名回傳，萬…（詳原文索引）</x:v>
      </x:c>
      <x:c r="T50" s="71" t="n">
        <x:v>19</x:v>
      </x:c>
      <x:c r="U50" s="71" t="n">
        <x:v>1</x:v>
      </x:c>
      <x:c r="V50" s="71" t="str">
        <x:v>已擷取</x:v>
      </x:c>
      <x:c r="W50" s="71" t="str"/>
      <x:c r="X50" s="71" t="str">
        <x:v>各廠商合約&amp; 報價\MD檔案\20251030向上拾壹間新建工程菊水利諾合約回傳.md</x:v>
      </x:c>
    </x:row>
    <x:row r="51">
      <x:c r="A51" s="69" t="str">
        <x:v>SRC047</x:v>
      </x:c>
      <x:c r="B51" s="69" t="str">
        <x:v>20251104升駿工程報價單回傳.md</x:v>
      </x:c>
      <x:c r="C51" s="69" t="str">
        <x:v>.md</x:v>
      </x:c>
      <x:c r="D51" s="69" t="str">
        <x:v>文件未載明</x:v>
      </x:c>
      <x:c r="E51" s="69" t="str">
        <x:v>合約；報價／估價</x:v>
      </x:c>
      <x:c r="F51" s="71" t="str">
        <x:v>升駿工程行</x:v>
      </x:c>
      <x:c r="G51" s="71" t="str">
        <x:v>88487267</x:v>
      </x:c>
      <x:c r="H51" s="71" t="str">
        <x:v>文件明載</x:v>
      </x:c>
      <x:c r="I51" s="71" t="str">
        <x:v>文件未載明</x:v>
      </x:c>
      <x:c r="J51" s="70"/>
      <x:c r="K51" s="70"/>
      <x:c r="L51" s="70"/>
      <x:c r="M51" s="70"/>
      <x:c r="N51" s="70"/>
      <x:c r="O51" s="70" t="n">
        <x:v>800</x:v>
      </x:c>
      <x:c r="P51" s="70" t="n">
        <x:v>800</x:v>
      </x:c>
      <x:c r="Q51" s="70" t="str">
        <x:v>報價總額</x:v>
      </x:c>
      <x:c r="R51" s="71" t="str">
        <x:v>source：Markdown line 9；text：付款人；source：Markdown line 33；text：付款方式:清運結束收現金或匯款。</x:v>
      </x:c>
      <x:c r="S51" s="71" t="str">
        <x:v>marker：回傳；evidence：20251104升駿工程報價單回傳.md；marker：回傳；evidence：&lt;/td&gt;&lt;td&gt;&lt;/td&gt;&lt;/tr&gt;&lt;tr&gt;&lt;td colspan="4"&gt;條款及細則&lt;/td&gt;&lt;/tr&gt;&lt;/table&gt; \- 本報價單等同契約書(一式兩份)，煩請確認後簽章回傳本單或郵寄。 付款方…（詳原文索引）</x:v>
      </x:c>
      <x:c r="T51" s="71" t="n">
        <x:v>18</x:v>
      </x:c>
      <x:c r="U51" s="71" t="n">
        <x:v>1</x:v>
      </x:c>
      <x:c r="V51" s="71" t="str">
        <x:v>已擷取</x:v>
      </x:c>
      <x:c r="W51" s="71" t="str"/>
      <x:c r="X51" s="71" t="str">
        <x:v>各廠商合約&amp; 報價\MD檔案\20251104升駿工程報價單回傳.md</x:v>
      </x:c>
    </x:row>
    <x:row r="52">
      <x:c r="A52" s="69" t="str">
        <x:v>SRC048</x:v>
      </x:c>
      <x:c r="B52" s="69" t="str">
        <x:v>20251106山源工程-清水模潑水劑報價單回傳.md</x:v>
      </x:c>
      <x:c r="C52" s="69" t="str">
        <x:v>.md</x:v>
      </x:c>
      <x:c r="D52" s="69" t="str">
        <x:v>文件未載明</x:v>
      </x:c>
      <x:c r="E52" s="69" t="str">
        <x:v>報價／估價</x:v>
      </x:c>
      <x:c r="F52" s="71" t="str">
        <x:v>山源工程行</x:v>
      </x:c>
      <x:c r="G52" s="71" t="str">
        <x:v>文件未載明</x:v>
      </x:c>
      <x:c r="H52" s="71" t="str">
        <x:v>文件未載明</x:v>
      </x:c>
      <x:c r="I52" s="71" t="str">
        <x:v>文件未載明</x:v>
      </x:c>
      <x:c r="J52" s="70" t="n">
        <x:v>1</x:v>
      </x:c>
      <x:c r="K52" s="70" t="n">
        <x:v>4</x:v>
      </x:c>
      <x:c r="L52" s="70" t="n">
        <x:v>1</x:v>
      </x:c>
      <x:c r="M52" s="70"/>
      <x:c r="N52" s="70"/>
      <x:c r="O52" s="70" t="n">
        <x:v>16800</x:v>
      </x:c>
      <x:c r="P52" s="70" t="n">
        <x:v>1</x:v>
      </x:c>
      <x:c r="Q52" s="70" t="str">
        <x:v>含稅／總計</x:v>
      </x:c>
      <x:c r="R52" s="71" t="str">
        <x:v>source：文件未載明；text：文件未載明</x:v>
      </x:c>
      <x:c r="S52" s="71" t="str">
        <x:v>marker：回傳；evidence：20251106山源工程-清水模潑水劑報價單回傳.md</x:v>
      </x:c>
      <x:c r="T52" s="71" t="n">
        <x:v>15</x:v>
      </x:c>
      <x:c r="U52" s="71" t="n">
        <x:v>1</x:v>
      </x:c>
      <x:c r="V52" s="71" t="str">
        <x:v>已擷取</x:v>
      </x:c>
      <x:c r="W52" s="71" t="str"/>
      <x:c r="X52" s="71" t="str">
        <x:v>各廠商合約&amp; 報價\MD檔案\20251106山源工程-清水模潑水劑報價單回傳.md</x:v>
      </x:c>
    </x:row>
    <x:row r="53">
      <x:c r="A53" s="69" t="str">
        <x:v>SRC049</x:v>
      </x:c>
      <x:c r="B53" s="69" t="str">
        <x:v>20251106昶盛製網-鋼線網報價單回傳.md</x:v>
      </x:c>
      <x:c r="C53" s="69" t="str">
        <x:v>.md</x:v>
      </x:c>
      <x:c r="D53" s="69" t="str">
        <x:v>文件未載明</x:v>
      </x:c>
      <x:c r="E53" s="69" t="str">
        <x:v>合約；報價／估價</x:v>
      </x:c>
      <x:c r="F53" s="71" t="str">
        <x:v>昶盛製網有限公司</x:v>
      </x:c>
      <x:c r="G53" s="71" t="str">
        <x:v>文件未載明</x:v>
      </x:c>
      <x:c r="H53" s="71" t="str">
        <x:v>文件未載明</x:v>
      </x:c>
      <x:c r="I53" s="71" t="str">
        <x:v>桃園市新屋區望間里13鄰十五間13-5號</x:v>
      </x:c>
      <x:c r="J53" s="70"/>
      <x:c r="K53" s="70" t="n">
        <x:v>10</x:v>
      </x:c>
      <x:c r="L53" s="70"/>
      <x:c r="M53" s="70"/>
      <x:c r="N53" s="70"/>
      <x:c r="O53" s="70"/>
      <x:c r="P53" s="70"/>
      <x:c r="Q53" s="70" t="str">
        <x:v>文件未載明</x:v>
      </x:c>
      <x:c r="R53" s="71" t="str">
        <x:v>source：Markdown line 37；text：2. 付款方式：當月結30天期票。</x:v>
      </x:c>
      <x:c r="S53" s="71" t="str">
        <x:v>marker：回傳；evidence：20251106昶盛製網-鋼線網報價單回傳.md；marker：回傳；evidence：事项： 1. 以上單價 不含5%營業稅及委外試驗費，且以實送實算計價，出貨數量超過原合約 10%以上需另行報價。 2. 付款方式：當月結30天期票。 3. 交貨日期：數量確認回傳後需通知生產 1…（詳原文索引）</x:v>
      </x:c>
      <x:c r="T53" s="71" t="n">
        <x:v>13</x:v>
      </x:c>
      <x:c r="U53" s="71" t="n">
        <x:v>1</x:v>
      </x:c>
      <x:c r="V53" s="71" t="str">
        <x:v>已擷取</x:v>
      </x:c>
      <x:c r="W53" s="71" t="str"/>
      <x:c r="X53" s="71" t="str">
        <x:v>各廠商合約&amp; 報價\MD檔案\20251106昶盛製網-鋼線網報價單回傳.md</x:v>
      </x:c>
    </x:row>
    <x:row r="54">
      <x:c r="A54" s="69" t="str">
        <x:v>SRC050</x:v>
      </x:c>
      <x:c r="B54" s="69" t="str">
        <x:v>20251110晏成工程-鷹架報價單回傳.md</x:v>
      </x:c>
      <x:c r="C54" s="69" t="str">
        <x:v>.md</x:v>
      </x:c>
      <x:c r="D54" s="69" t="str">
        <x:v>文件未載明</x:v>
      </x:c>
      <x:c r="E54" s="69" t="str">
        <x:v>合約；報價／估價</x:v>
      </x:c>
      <x:c r="F54" s="71" t="str">
        <x:v>晏成工程有限公司</x:v>
      </x:c>
      <x:c r="G54" s="71" t="str">
        <x:v>文件未載明</x:v>
      </x:c>
      <x:c r="H54" s="71" t="str">
        <x:v>文件未載明</x:v>
      </x:c>
      <x:c r="I54" s="71" t="str">
        <x:v>文件未載明</x:v>
      </x:c>
      <x:c r="J54" s="70"/>
      <x:c r="K54" s="70" t="n">
        <x:v>10707</x:v>
      </x:c>
      <x:c r="L54" s="70"/>
      <x:c r="M54" s="70"/>
      <x:c r="N54" s="70"/>
      <x:c r="O54" s="70" t="n">
        <x:v>42</x:v>
      </x:c>
      <x:c r="P54" s="70" t="n">
        <x:v>42</x:v>
      </x:c>
      <x:c r="Q54" s="70" t="str">
        <x:v>報價總額</x:v>
      </x:c>
      <x:c r="R54" s="71" t="str">
        <x:v>source：文件未載明；text：文件未載明</x:v>
      </x:c>
      <x:c r="S54" s="71" t="str">
        <x:v>marker：回傳；evidence：20251110晏成工程-鷹架報價單回傳.md；marker：回傳；evidence：r&gt;&lt;tr&gt;&lt;td&gt;備註&lt;/td&gt;&lt;td colspan="4"&gt;1).本次報價非CNS-4750。2).此次交易實做實算,其他未盡事宜雙方得另行協議之。3).若同意此報價,請簽名回傳。4).依現…（詳原文索引）</x:v>
      </x:c>
      <x:c r="T54" s="71" t="n">
        <x:v>48</x:v>
      </x:c>
      <x:c r="U54" s="71" t="n">
        <x:v>1</x:v>
      </x:c>
      <x:c r="V54" s="71" t="str">
        <x:v>已擷取</x:v>
      </x:c>
      <x:c r="W54" s="71" t="str"/>
      <x:c r="X54" s="71" t="str">
        <x:v>各廠商合約&amp; 報價\MD檔案\20251110晏成工程-鷹架報價單回傳.md</x:v>
      </x:c>
    </x:row>
    <x:row r="55">
      <x:c r="A55" s="69" t="str">
        <x:v>SRC051</x:v>
      </x:c>
      <x:c r="B55" s="69" t="str">
        <x:v>20251118卉鄉景觀-喬木移植報價單回傳.md</x:v>
      </x:c>
      <x:c r="C55" s="69" t="str">
        <x:v>.md</x:v>
      </x:c>
      <x:c r="D55" s="69" t="str">
        <x:v>文件未載明</x:v>
      </x:c>
      <x:c r="E55" s="69" t="str">
        <x:v>報價／估價</x:v>
      </x:c>
      <x:c r="F55" s="71" t="str">
        <x:v>卉鄉景觀工程有限公司</x:v>
      </x:c>
      <x:c r="G55" s="71" t="str">
        <x:v>12981767</x:v>
      </x:c>
      <x:c r="H55" s="71" t="str">
        <x:v>文件明載</x:v>
      </x:c>
      <x:c r="I55" s="71" t="str">
        <x:v>新竹市寶山路452巷12弄25號 展售園址:新竹市寶山路220號景觀工程·灌溉系統·設計·施工·</x:v>
      </x:c>
      <x:c r="J55" s="70"/>
      <x:c r="K55" s="70" t="n">
        <x:v>5</x:v>
      </x:c>
      <x:c r="L55" s="70"/>
      <x:c r="M55" s="70"/>
      <x:c r="N55" s="70"/>
      <x:c r="O55" s="70" t="n">
        <x:v>12285</x:v>
      </x:c>
      <x:c r="P55" s="70" t="n">
        <x:v>12285</x:v>
      </x:c>
      <x:c r="Q55" s="70" t="str">
        <x:v>報價總額</x:v>
      </x:c>
      <x:c r="R55" s="71" t="str">
        <x:v>source：Markdown line 11；text：品名 規格 單位 數量 單價 金額 備註 小葉欖仁移植&amp;樹穴圈起預留 1 怪手 TB215 植栽移植.樹穴開挖 工 1 5,000 5,000 2 園藝工 協助怪手.設置植草板.小搬運 工 1 3,500 3,500 3 植栽擋土板 H:45cm 組 2 600 1,200 4 雜項損耗 工具五金.運費 式 1 2,000 2,000 計 11,700 小計 計 11,700 稅金 5% 11,700 585 合計 12,285 壹萬貳仟…（詳原文索引）</x:v>
      </x:c>
      <x:c r="S55" s="71" t="str">
        <x:v>marker：回傳；evidence：20251118卉鄉景觀-喬木移植報價單回傳.md</x:v>
      </x:c>
      <x:c r="T55" s="71" t="n">
        <x:v>12</x:v>
      </x:c>
      <x:c r="U55" s="71" t="n">
        <x:v>1</x:v>
      </x:c>
      <x:c r="V55" s="71" t="str">
        <x:v>已擷取</x:v>
      </x:c>
      <x:c r="W55" s="71" t="str"/>
      <x:c r="X55" s="71" t="str">
        <x:v>各廠商合約&amp; 報價\MD檔案\20251118卉鄉景觀-喬木移植報價單回傳.md</x:v>
      </x:c>
    </x:row>
    <x:row r="56">
      <x:c r="A56" s="69" t="str">
        <x:v>SRC052</x:v>
      </x:c>
      <x:c r="B56" s="69" t="str">
        <x:v>20251121長陽企業-格來得鐵捲門報價單回傳.md</x:v>
      </x:c>
      <x:c r="C56" s="69" t="str">
        <x:v>.md</x:v>
      </x:c>
      <x:c r="D56" s="69" t="str">
        <x:v>2025-11-20</x:v>
      </x:c>
      <x:c r="E56" s="69" t="str">
        <x:v>報價／估價</x:v>
      </x:c>
      <x:c r="F56" s="71" t="str">
        <x:v>長陽企業社</x:v>
      </x:c>
      <x:c r="G56" s="71" t="str">
        <x:v>文件未載明</x:v>
      </x:c>
      <x:c r="H56" s="71" t="str">
        <x:v>文件未載明</x:v>
      </x:c>
      <x:c r="I56" s="71" t="str">
        <x:v>文件未載明</x:v>
      </x:c>
      <x:c r="J56" s="70"/>
      <x:c r="K56" s="70"/>
      <x:c r="L56" s="70"/>
      <x:c r="M56" s="70"/>
      <x:c r="N56" s="70"/>
      <x:c r="O56" s="70"/>
      <x:c r="P56" s="70"/>
      <x:c r="Q56" s="70" t="str">
        <x:v>文件未載明</x:v>
      </x:c>
      <x:c r="R56" s="71" t="str">
        <x:v>source：Markdown line 27；text：4.上述款項未全部兌現時，本公司仍保有產品所有權。</x:v>
      </x:c>
      <x:c r="S56" s="71" t="str">
        <x:v>marker：追加；evidence：&lt;td&gt;1.00&lt;/td&gt;&lt;td&gt;PCS&lt;/td&gt;&lt;td&gt;5,000&lt;/td&gt;&lt;td&gt;5,000&lt;/td&gt;&lt;td&gt;&lt;/td&gt;&lt;/tr&gt;&lt;tr&gt;&lt;td&gt;3&lt;/td&gt;&lt;td&gt;遙控器另作追加。原附3類,共計有11類。&lt;以下空白&gt;&lt;/td&gt;&lt;td&gt;8.00&lt;/td&gt;&lt;td&gt;類&lt;/td&gt;&lt;t…（詳原文索引）</x:v>
      </x:c>
      <x:c r="T56" s="71" t="n">
        <x:v>10</x:v>
      </x:c>
      <x:c r="U56" s="71" t="n">
        <x:v>1</x:v>
      </x:c>
      <x:c r="V56" s="71" t="str">
        <x:v>已擷取</x:v>
      </x:c>
      <x:c r="W56" s="71" t="str"/>
      <x:c r="X56" s="71" t="str">
        <x:v>各廠商合約&amp; 報價\MD檔案\20251121長陽企業-格來得鐵捲門報價單回傳.md</x:v>
      </x:c>
    </x:row>
    <x:row r="57">
      <x:c r="A57" s="69" t="str">
        <x:v>SRC053</x:v>
      </x:c>
      <x:c r="B57" s="69" t="str">
        <x:v>20251121錦祥工程-隔間報價單回傳.md</x:v>
      </x:c>
      <x:c r="C57" s="69" t="str">
        <x:v>.md</x:v>
      </x:c>
      <x:c r="D57" s="69" t="str">
        <x:v>文件未載明</x:v>
      </x:c>
      <x:c r="E57" s="69" t="str">
        <x:v>合約；報價／估價</x:v>
      </x:c>
      <x:c r="F57" s="71" t="str">
        <x:v>錦祥工程行</x:v>
      </x:c>
      <x:c r="G57" s="71" t="str">
        <x:v>文件未載明</x:v>
      </x:c>
      <x:c r="H57" s="71" t="str">
        <x:v>文件未載明</x:v>
      </x:c>
      <x:c r="I57" s="71" t="str">
        <x:v>文件未載明</x:v>
      </x:c>
      <x:c r="J57" s="70"/>
      <x:c r="K57" s="70" t="n">
        <x:v>3</x:v>
      </x:c>
      <x:c r="L57" s="70"/>
      <x:c r="M57" s="70"/>
      <x:c r="N57" s="70"/>
      <x:c r="O57" s="70" t="n">
        <x:v>3</x:v>
      </x:c>
      <x:c r="P57" s="70" t="n">
        <x:v>3</x:v>
      </x:c>
      <x:c r="Q57" s="70" t="str">
        <x:v>報價總額</x:v>
      </x:c>
      <x:c r="R57" s="71" t="str">
        <x:v>source：Markdown line 15；text：客戶名稱:向上建設電話:03-777-5355 付款方式: 工程地址:苗栗一後龍 傳真: 統一編號:90057101 項次 品名 數量 單位 單價 總價 備註 9mm雙面矽酸鈣板隔間 9 坪 3300 29700 不含油漆 60k隔音棉 9 坪 650 5850 銷售金額合計 35550 營業稅 含稅 未稅 1778 合計總金額 37328 35000 合計新台幣: 叁萬柒仟叁佰貳拾捌 元整 議價後含較 根據動產法第三章附條件買賣、買方購…（詳原文索引）</x:v>
      </x:c>
      <x:c r="S57" s="71" t="str">
        <x:v>marker：回傳；evidence：20251121錦祥工程-隔間報價單回傳.md</x:v>
      </x:c>
      <x:c r="T57" s="71" t="n">
        <x:v>11</x:v>
      </x:c>
      <x:c r="U57" s="71" t="n">
        <x:v>1</x:v>
      </x:c>
      <x:c r="V57" s="71" t="str">
        <x:v>已擷取</x:v>
      </x:c>
      <x:c r="W57" s="71" t="str"/>
      <x:c r="X57" s="71" t="str">
        <x:v>各廠商合約&amp; 報價\MD檔案\20251121錦祥工程-隔間報價單回傳.md</x:v>
      </x:c>
    </x:row>
    <x:row r="58">
      <x:c r="A58" s="69" t="str">
        <x:v>SRC054</x:v>
      </x:c>
      <x:c r="B58" s="69" t="str">
        <x:v>20251124百鴻工程-陽台修補報價單回傳.md</x:v>
      </x:c>
      <x:c r="C58" s="69" t="str">
        <x:v>.md</x:v>
      </x:c>
      <x:c r="D58" s="69" t="str">
        <x:v>文件未載明</x:v>
      </x:c>
      <x:c r="E58" s="69" t="str">
        <x:v>報價／估價</x:v>
      </x:c>
      <x:c r="F58" s="71" t="str">
        <x:v>百鴻工程行</x:v>
      </x:c>
      <x:c r="G58" s="71" t="str">
        <x:v>文件未載明</x:v>
      </x:c>
      <x:c r="H58" s="71" t="str">
        <x:v>文件未載明</x:v>
      </x:c>
      <x:c r="I58" s="71" t="str">
        <x:v>文件未載明</x:v>
      </x:c>
      <x:c r="J58" s="70"/>
      <x:c r="K58" s="70" t="n">
        <x:v>5</x:v>
      </x:c>
      <x:c r="L58" s="70"/>
      <x:c r="M58" s="70"/>
      <x:c r="N58" s="70"/>
      <x:c r="O58" s="70"/>
      <x:c r="P58" s="70"/>
      <x:c r="Q58" s="70" t="str">
        <x:v>文件未載明</x:v>
      </x:c>
      <x:c r="R58" s="71" t="str">
        <x:v>source：文件未載明；text：文件未載明</x:v>
      </x:c>
      <x:c r="S58" s="71" t="str">
        <x:v>marker：回傳；evidence：20251124百鴻工程-陽台修補報價單回傳.md</x:v>
      </x:c>
      <x:c r="T58" s="71" t="n">
        <x:v>4</x:v>
      </x:c>
      <x:c r="U58" s="71" t="n">
        <x:v>1</x:v>
      </x:c>
      <x:c r="V58" s="71" t="str">
        <x:v>已擷取</x:v>
      </x:c>
      <x:c r="W58" s="71" t="str"/>
      <x:c r="X58" s="71" t="str">
        <x:v>各廠商合約&amp; 報價\MD檔案\20251124百鴻工程-陽台修補報價單回傳.md</x:v>
      </x:c>
    </x:row>
    <x:row r="59">
      <x:c r="A59" s="69" t="str">
        <x:v>SRC055</x:v>
      </x:c>
      <x:c r="B59" s="69" t="str">
        <x:v>20251203安翊-滴水條報價單回傳.md</x:v>
      </x:c>
      <x:c r="C59" s="69" t="str">
        <x:v>.md</x:v>
      </x:c>
      <x:c r="D59" s="69" t="str">
        <x:v>文件未載明</x:v>
      </x:c>
      <x:c r="E59" s="69" t="str">
        <x:v>合約；報價／估價</x:v>
      </x:c>
      <x:c r="F59" s="71" t="str">
        <x:v>安翊企業股份有限公司</x:v>
      </x:c>
      <x:c r="G59" s="71" t="str">
        <x:v>文件未載明</x:v>
      </x:c>
      <x:c r="H59" s="71" t="str">
        <x:v>文件未載明</x:v>
      </x:c>
      <x:c r="I59" s="71" t="str">
        <x:v>文件未載明</x:v>
      </x:c>
      <x:c r="J59" s="70"/>
      <x:c r="K59" s="70"/>
      <x:c r="L59" s="70"/>
      <x:c r="M59" s="70"/>
      <x:c r="N59" s="70"/>
      <x:c r="O59" s="70"/>
      <x:c r="P59" s="70"/>
      <x:c r="Q59" s="70" t="str">
        <x:v>文件未載明</x:v>
      </x:c>
      <x:c r="R59" s="71" t="str">
        <x:v>source：Markdown line 29；text：產品編號 產品名稱/規格描述 單位 單價 金額 直線安裝 S-25-烤漆滴水條本體+配件+安裝+791膠一道(下方不 15.00 M $500 $7,500 車資補貼 1.00 式 $2,500 $2,500 *依實作數量計價,報價為一次施工費用, 付款條件:訂金30%現金/依施工進度月結支付70%(無保留款,30天內期票) 報價淨額 $10,000 稅 額 $500 送貨地址: 總金額 $10,500 備註: 1.本交易為附條件買賣,依…（詳原文索引）</x:v>
      </x:c>
      <x:c r="S59" s="71" t="str">
        <x:v>marker：回傳；evidence：20251203安翊-滴水條報價單回傳.md</x:v>
      </x:c>
      <x:c r="T59" s="71" t="n">
        <x:v>9</x:v>
      </x:c>
      <x:c r="U59" s="71" t="n">
        <x:v>1</x:v>
      </x:c>
      <x:c r="V59" s="71" t="str">
        <x:v>已擷取</x:v>
      </x:c>
      <x:c r="W59" s="71" t="str"/>
      <x:c r="X59" s="71" t="str">
        <x:v>各廠商合約&amp; 報價\MD檔案\20251203安翊-滴水條報價單回傳.md</x:v>
      </x:c>
    </x:row>
    <x:row r="60">
      <x:c r="A60" s="69" t="str">
        <x:v>SRC056</x:v>
      </x:c>
      <x:c r="B60" s="69" t="str">
        <x:v>20251203長陽企業-格來得鐵捲門報價單回傳.md</x:v>
      </x:c>
      <x:c r="C60" s="69" t="str">
        <x:v>.md</x:v>
      </x:c>
      <x:c r="D60" s="69" t="str">
        <x:v>2025-11-20</x:v>
      </x:c>
      <x:c r="E60" s="69" t="str">
        <x:v>報價／估價</x:v>
      </x:c>
      <x:c r="F60" s="71" t="str">
        <x:v>長陽企業社</x:v>
      </x:c>
      <x:c r="G60" s="71" t="str">
        <x:v>文件未載明</x:v>
      </x:c>
      <x:c r="H60" s="71" t="str">
        <x:v>文件未載明</x:v>
      </x:c>
      <x:c r="I60" s="71" t="str">
        <x:v>文件未載明</x:v>
      </x:c>
      <x:c r="J60" s="70"/>
      <x:c r="K60" s="70"/>
      <x:c r="L60" s="70"/>
      <x:c r="M60" s="70"/>
      <x:c r="N60" s="70"/>
      <x:c r="O60" s="70"/>
      <x:c r="P60" s="70"/>
      <x:c r="Q60" s="70" t="str">
        <x:v>文件未載明</x:v>
      </x:c>
      <x:c r="R60" s="71" t="str">
        <x:v>source：Markdown line 1；text：公司:長陽企業社/格來得竹苗分廠 客戶確認蓋章 向上建設股份有限公司統一發票專用章統一編號90057101TEL:037-775355負責人:洪建豪苗栗縣竹南鎮中港里中正路423號 收訂金 電話:03-5926-125 傳真:03-5926-617 住址:新竹縣芎林鄉文明路57號 聯絡人:黃品欣 0938-649-292；source：Markdown line 5；text：4. 上述款項未全部兌現時，本公司仍保有產品所有權。；sourc…（詳原文索引）</x:v>
      </x:c>
      <x:c r="S60" s="71" t="str">
        <x:v>marker：追加；evidence：&lt;td&gt;1.00&lt;/td&gt;&lt;td&gt;PCS&lt;/td&gt;&lt;td&gt;5,000&lt;/td&gt;&lt;td&gt;5,000&lt;/td&gt;&lt;td&gt;&lt;/td&gt;&lt;/tr&gt;&lt;tr&gt;&lt;td&gt;3&lt;/td&gt;&lt;td&gt;遙控器另作追加。原附3顆,共計有11顆。&lt;以下空白&gt;&lt;/td&gt;&lt;td&gt;8.00&lt;/td&gt;&lt;td&gt;顆&lt;/td&gt;&lt;t…（詳原文索引）</x:v>
      </x:c>
      <x:c r="T60" s="71" t="n">
        <x:v>10</x:v>
      </x:c>
      <x:c r="U60" s="71" t="n">
        <x:v>1</x:v>
      </x:c>
      <x:c r="V60" s="71" t="str">
        <x:v>已擷取</x:v>
      </x:c>
      <x:c r="W60" s="71" t="str"/>
      <x:c r="X60" s="71" t="str">
        <x:v>各廠商合約&amp; 報價\MD檔案\20251203長陽企業-格來得鐵捲門報價單回傳.md</x:v>
      </x:c>
    </x:row>
    <x:row r="61">
      <x:c r="A61" s="69" t="str">
        <x:v>SRC057</x:v>
      </x:c>
      <x:c r="B61" s="69" t="str">
        <x:v>20251203TOTO-衛浴報價單回傳.md</x:v>
      </x:c>
      <x:c r="C61" s="69" t="str">
        <x:v>.md</x:v>
      </x:c>
      <x:c r="D61" s="69" t="str">
        <x:v>文件未載明</x:v>
      </x:c>
      <x:c r="E61" s="69" t="str">
        <x:v>合約；報價／估價</x:v>
      </x:c>
      <x:c r="F61" s="71" t="str">
        <x:v>晉展股份有限公司；建信自動化有限公司；畏展股份有限公司</x:v>
      </x:c>
      <x:c r="G61" s="71" t="str">
        <x:v>文件未載明</x:v>
      </x:c>
      <x:c r="H61" s="71" t="str">
        <x:v>文件未載明</x:v>
      </x:c>
      <x:c r="I61" s="71" t="str">
        <x:v>文件未載明</x:v>
      </x:c>
      <x:c r="J61" s="70"/>
      <x:c r="K61" s="70"/>
      <x:c r="L61" s="70"/>
      <x:c r="M61" s="70"/>
      <x:c r="N61" s="70"/>
      <x:c r="O61" s="70" t="n">
        <x:v>5</x:v>
      </x:c>
      <x:c r="P61" s="70" t="n">
        <x:v>5</x:v>
      </x:c>
      <x:c r="Q61" s="70" t="str">
        <x:v>報價總額</x:v>
      </x:c>
      <x:c r="R61" s="71" t="str">
        <x:v>source：Markdown line 7；text：公司名稱:向上建設股份有限公司 地址:苗栗縣竹南鎮中正路423號 案件名稱: 電話:0932-695878 聯絡人:洪建豪先生 傳真: 項次 品名 規格 數量 單價 金額 備註 1 單體馬桶 CW288SGUR 11 13,620 149,820 2 單體馬桶 CW889CDRTW 11 12,300 135,300 3 溫水洗淨便座 TCF4911ETR 11 31,410 345,510 特惠價 4 溫水洗淨便座 TCF23360ATW…（詳原文索引）</x:v>
      </x:c>
      <x:c r="S61" s="71" t="str">
        <x:v>marker：回傳；evidence：20251203TOTO-衛浴報價單回傳.md</x:v>
      </x:c>
      <x:c r="T61" s="71" t="n">
        <x:v>24</x:v>
      </x:c>
      <x:c r="U61" s="71" t="n">
        <x:v>1</x:v>
      </x:c>
      <x:c r="V61" s="71" t="str">
        <x:v>已擷取</x:v>
      </x:c>
      <x:c r="W61" s="71" t="str"/>
      <x:c r="X61" s="71" t="str">
        <x:v>各廠商合約&amp; 報價\MD檔案\20251203TOTO-衛浴報價單回傳.md</x:v>
      </x:c>
    </x:row>
    <x:row r="62">
      <x:c r="A62" s="69" t="str">
        <x:v>SRC058</x:v>
      </x:c>
      <x:c r="B62" s="69" t="str">
        <x:v>20251204長陽企業-格來得鐵捲門報價單回傳.md</x:v>
      </x:c>
      <x:c r="C62" s="69" t="str">
        <x:v>.md</x:v>
      </x:c>
      <x:c r="D62" s="69" t="str">
        <x:v>2025-11-20</x:v>
      </x:c>
      <x:c r="E62" s="69" t="str">
        <x:v>報價／估價</x:v>
      </x:c>
      <x:c r="F62" s="71" t="str">
        <x:v>長陽企業社</x:v>
      </x:c>
      <x:c r="G62" s="71" t="str">
        <x:v>文件未載明</x:v>
      </x:c>
      <x:c r="H62" s="71" t="str">
        <x:v>文件未載明</x:v>
      </x:c>
      <x:c r="I62" s="71" t="str">
        <x:v>新竹縣芎林鄉文明路57號</x:v>
      </x:c>
      <x:c r="J62" s="70"/>
      <x:c r="K62" s="70"/>
      <x:c r="L62" s="70"/>
      <x:c r="M62" s="70"/>
      <x:c r="N62" s="70"/>
      <x:c r="O62" s="70" t="n">
        <x:v>95000</x:v>
      </x:c>
      <x:c r="P62" s="70" t="n">
        <x:v>95000</x:v>
      </x:c>
      <x:c r="Q62" s="70" t="str">
        <x:v>報價總額</x:v>
      </x:c>
      <x:c r="R62" s="71" t="str">
        <x:v>source：Markdown line 27；text：4.上述款項未全部兌現時，本公司仍保有產品所有權。</x:v>
      </x:c>
      <x:c r="S62" s="71" t="str">
        <x:v>marker：追加；evidence：&lt;td&gt;1.00&lt;/td&gt;&lt;td&gt;PCS&lt;/td&gt;&lt;td&gt;5,000&lt;/td&gt;&lt;td&gt;5,000&lt;/td&gt;&lt;td&gt;&lt;/td&gt;&lt;/tr&gt;&lt;tr&gt;&lt;td&gt;3&lt;/td&gt;&lt;td&gt;遙控器另作追加。原附5顆,共計有13顆。&lt;以下空白&gt;&lt;/td&gt;&lt;td&gt;8.00&lt;/td&gt;&lt;td&gt;顆&lt;/td&gt;&lt;t…（詳原文索引）</x:v>
      </x:c>
      <x:c r="T62" s="71" t="n">
        <x:v>10</x:v>
      </x:c>
      <x:c r="U62" s="71" t="n">
        <x:v>1</x:v>
      </x:c>
      <x:c r="V62" s="71" t="str">
        <x:v>已擷取</x:v>
      </x:c>
      <x:c r="W62" s="71" t="str"/>
      <x:c r="X62" s="71" t="str">
        <x:v>各廠商合約&amp; 報價\MD檔案\20251204長陽企業-格來得鐵捲門報價單回傳.md</x:v>
      </x:c>
    </x:row>
    <x:row r="63">
      <x:c r="A63" s="69" t="str">
        <x:v>SRC059</x:v>
      </x:c>
      <x:c r="B63" s="69" t="str">
        <x:v>20251205上順家-壓花地坪報價單回傳.md</x:v>
      </x:c>
      <x:c r="C63" s="69" t="str">
        <x:v>.md</x:v>
      </x:c>
      <x:c r="D63" s="69" t="str">
        <x:v>文件未載明</x:v>
      </x:c>
      <x:c r="E63" s="69" t="str">
        <x:v>合約；報價／估價</x:v>
      </x:c>
      <x:c r="F63" s="71" t="str">
        <x:v>文件未載明</x:v>
      </x:c>
      <x:c r="G63" s="71" t="str">
        <x:v>文件未載明</x:v>
      </x:c>
      <x:c r="H63" s="71" t="str">
        <x:v>文件未載明</x:v>
      </x:c>
      <x:c r="I63" s="71" t="str">
        <x:v>文件未載明</x:v>
      </x:c>
      <x:c r="J63" s="70"/>
      <x:c r="K63" s="70" t="n">
        <x:v>3</x:v>
      </x:c>
      <x:c r="L63" s="70"/>
      <x:c r="M63" s="70"/>
      <x:c r="N63" s="70"/>
      <x:c r="O63" s="70"/>
      <x:c r="P63" s="70"/>
      <x:c r="Q63" s="70" t="str">
        <x:v>文件未載明</x:v>
      </x:c>
      <x:c r="R63" s="71" t="str">
        <x:v>source：Markdown line 21；text：項次 工程名稱 單位 數量 單價 金額 備註說明 1. 彩石硬化料(金鋼砂) M2 3kg/1m2. 數量:約160㎡ 2. 脱膜粉 M2 3. 封面劑 M2 280 4. 壓模施工工資 M2 5. 清洗養護 M2 6. 7. 8. 9. 10. 小計 280 營業稅 未稅 總合計 報價說明: 1.本工程單價之付款方式:50%現金票50%30天期票、無保留款。2.以上單價不含5%營業稅。3.本工程計價依實際工程數量為準。4.本工程不含土尾…（詳原文索引）</x:v>
      </x:c>
      <x:c r="S63" s="71" t="str">
        <x:v>marker：回傳；evidence：20251205上順家-壓花地坪報價單回傳.md</x:v>
      </x:c>
      <x:c r="T63" s="71" t="n">
        <x:v>15</x:v>
      </x:c>
      <x:c r="U63" s="71" t="n">
        <x:v>1</x:v>
      </x:c>
      <x:c r="V63" s="71" t="str">
        <x:v>已擷取</x:v>
      </x:c>
      <x:c r="W63" s="71" t="str"/>
      <x:c r="X63" s="71" t="str">
        <x:v>各廠商合約&amp; 報價\MD檔案\20251205上順家-壓花地坪報價單回傳.md</x:v>
      </x:c>
    </x:row>
    <x:row r="64">
      <x:c r="A64" s="69" t="str">
        <x:v>SRC060</x:v>
      </x:c>
      <x:c r="B64" s="69" t="str">
        <x:v>20251211浩森-細清報價單回傳.md</x:v>
      </x:c>
      <x:c r="C64" s="69" t="str">
        <x:v>.md</x:v>
      </x:c>
      <x:c r="D64" s="69" t="str">
        <x:v>2025-12-08</x:v>
      </x:c>
      <x:c r="E64" s="69" t="str">
        <x:v>報價／估價</x:v>
      </x:c>
      <x:c r="F64" s="71" t="str">
        <x:v>浩森專業清潔工作室</x:v>
      </x:c>
      <x:c r="G64" s="71" t="str">
        <x:v>94480447</x:v>
      </x:c>
      <x:c r="H64" s="71" t="str">
        <x:v>文件明載</x:v>
      </x:c>
      <x:c r="I64" s="71" t="str">
        <x:v>文件未載明</x:v>
      </x:c>
      <x:c r="J64" s="70"/>
      <x:c r="K64" s="70"/>
      <x:c r="L64" s="70" t="n">
        <x:v>72000</x:v>
      </x:c>
      <x:c r="M64" s="70"/>
      <x:c r="N64" s="70"/>
      <x:c r="O64" s="70" t="n">
        <x:v>1</x:v>
      </x:c>
      <x:c r="P64" s="70" t="n">
        <x:v>72000</x:v>
      </x:c>
      <x:c r="Q64" s="70" t="str">
        <x:v>含稅／總計</x:v>
      </x:c>
      <x:c r="R64" s="71" t="str">
        <x:v>source：Markdown line 15；text：項目 數量 單價 總價 1。交屋細清+公設清潔 $72000 $72000 派工人數:4~6人 入場日期:12/17~20 總報價金額 $72000(含稅) 室內清潔內容天花板牆面除塵全室地板除塵除膠清潔窗戶落地門窗玻璃窗溝窗框除塵除膠清洗全室房門大門關關除塵擦拭清潔 廁所馬桶洗手台牆面地板清洗廚房樹框洗手台抽油煙機瓦斯爐除塵清潔陽台磁磚地板玻璃欄杆清洗變電箱吸塵 公設清潔內容樓梯+扶手除塵清潔機械車位除塵清潔電梯內外除塵清潔梯口磁磚地板…（詳原文索引）</x:v>
      </x:c>
      <x:c r="S64" s="71" t="str">
        <x:v>marker：回傳；evidence：20251211浩森-細清報價單回傳.md</x:v>
      </x:c>
      <x:c r="T64" s="71" t="n">
        <x:v>7</x:v>
      </x:c>
      <x:c r="U64" s="71" t="n">
        <x:v>1</x:v>
      </x:c>
      <x:c r="V64" s="71" t="str">
        <x:v>已擷取</x:v>
      </x:c>
      <x:c r="W64" s="71" t="str"/>
      <x:c r="X64" s="71" t="str">
        <x:v>各廠商合約&amp; 報價\MD檔案\20251211浩森-細清報價單回傳.md</x:v>
      </x:c>
    </x:row>
    <x:row r="65">
      <x:c r="A65" s="69" t="str">
        <x:v>SRC061</x:v>
      </x:c>
      <x:c r="B65" s="69" t="str">
        <x:v>20251222TOTO-衛浴報價單回傳.md</x:v>
      </x:c>
      <x:c r="C65" s="69" t="str">
        <x:v>.md</x:v>
      </x:c>
      <x:c r="D65" s="69" t="str">
        <x:v>文件未載明</x:v>
      </x:c>
      <x:c r="E65" s="69" t="str">
        <x:v>合約；報價／估價</x:v>
      </x:c>
      <x:c r="F65" s="71" t="str">
        <x:v>建信自動化有限公司；番展股份有限公司；晉展股份有限公司</x:v>
      </x:c>
      <x:c r="G65" s="71" t="str">
        <x:v>23968262</x:v>
      </x:c>
      <x:c r="H65" s="71" t="str">
        <x:v>文件明載</x:v>
      </x:c>
      <x:c r="I65" s="71" t="str">
        <x:v>新竹市公道五路三段538號；苗栗縣竹南鎮中正路423號</x:v>
      </x:c>
      <x:c r="J65" s="70"/>
      <x:c r="K65" s="70"/>
      <x:c r="L65" s="70"/>
      <x:c r="M65" s="70"/>
      <x:c r="N65" s="70"/>
      <x:c r="O65" s="70" t="n">
        <x:v>5</x:v>
      </x:c>
      <x:c r="P65" s="70" t="n">
        <x:v>5</x:v>
      </x:c>
      <x:c r="Q65" s="70" t="str">
        <x:v>報價總額</x:v>
      </x:c>
      <x:c r="R65" s="71" t="str">
        <x:v>source：Markdown line 10；text：公司名稱:向上建設股份有限公司 地址:苗栗縣竹南鎮中正路423號 案件名稱: 電話:0932-695878 聯絡人:洪建豪先生 傳真: 項次 品名 規格 數量 單價 金額 備註 1 單體馬桶 CW288SGUR 11 13,620 149,820 2 單體馬桶 CW889CDRTW 11 12,300 135,300 3 溫水洗淨便座 TCF4911ETR 11 31,410 345,510 特惠價 4 溫水洗淨便座 TCF23360AT…（詳原文索引）</x:v>
      </x:c>
      <x:c r="S65" s="71" t="str">
        <x:v>marker：追加；evidence：&gt;&lt;td&gt;18&lt;/td&gt;&lt;td&gt;淋浴控溫龍頭&lt;/td&gt;&lt;td&gt;TBV03426P-S2&lt;/td&gt;&lt;td&gt;1&lt;/td&gt;&lt;td&gt;9,000&lt;/td&gt;&lt;td&gt;9,000&lt;/td&gt;&lt;td&gt;追加&lt;/td&gt;&lt;/tr&gt;&lt;tr&gt;&lt;td&gt;19&lt;/td&gt;&lt;td&gt;升降桿&lt;/td&gt;&lt;td&gt;TBW01016…（詳原文索引）</x:v>
      </x:c>
      <x:c r="T65" s="71" t="n">
        <x:v>29</x:v>
      </x:c>
      <x:c r="U65" s="71" t="n">
        <x:v>1</x:v>
      </x:c>
      <x:c r="V65" s="71" t="str">
        <x:v>已擷取</x:v>
      </x:c>
      <x:c r="W65" s="71" t="str"/>
      <x:c r="X65" s="71" t="str">
        <x:v>各廠商合約&amp; 報價\MD檔案\20251222TOTO-衛浴報價單回傳.md</x:v>
      </x:c>
    </x:row>
    <x:row r="66">
      <x:c r="A66" s="69" t="str">
        <x:v>SRC062</x:v>
      </x:c>
      <x:c r="B66" s="69" t="str">
        <x:v>20260108塑豐-一樓追加報價單回傳.md</x:v>
      </x:c>
      <x:c r="C66" s="69" t="str">
        <x:v>.md</x:v>
      </x:c>
      <x:c r="D66" s="69" t="str">
        <x:v>文件未載明</x:v>
      </x:c>
      <x:c r="E66" s="69" t="str">
        <x:v>合約；報價／估價</x:v>
      </x:c>
      <x:c r="F66" s="71" t="str">
        <x:v>塑豐實業股份有限公司</x:v>
      </x:c>
      <x:c r="G66" s="71" t="str">
        <x:v>22665579</x:v>
      </x:c>
      <x:c r="H66" s="71" t="str">
        <x:v>文件明載</x:v>
      </x:c>
      <x:c r="I66" s="71" t="str">
        <x:v>文件未載明</x:v>
      </x:c>
      <x:c r="J66" s="70"/>
      <x:c r="K66" s="70" t="n">
        <x:v>12741</x:v>
      </x:c>
      <x:c r="L66" s="70"/>
      <x:c r="M66" s="70"/>
      <x:c r="N66" s="70"/>
      <x:c r="O66" s="70" t="n">
        <x:v>267570</x:v>
      </x:c>
      <x:c r="P66" s="70" t="n">
        <x:v>267570</x:v>
      </x:c>
      <x:c r="Q66" s="70" t="str">
        <x:v>報價總額</x:v>
      </x:c>
      <x:c r="R66" s="71" t="str">
        <x:v>source：文件未載明；text：文件未載明</x:v>
      </x:c>
      <x:c r="S66" s="71" t="str">
        <x:v>marker：追加；evidence：20260108塑豐-一樓追加報價單回傳.md；marker：追加；evidence：7\_3 (#47) 母 ISO號碼：QR-SLD-05V2.0 頁次：1/2 V1120526客戶名稱：35086向上建設股份有限公司 工程名稱：向上建設集合住宅等11戶-1F追加 電話：037…（詳原文索引）</x:v>
      </x:c>
      <x:c r="T66" s="71" t="n">
        <x:v>13</x:v>
      </x:c>
      <x:c r="U66" s="71" t="n">
        <x:v>1</x:v>
      </x:c>
      <x:c r="V66" s="71" t="str">
        <x:v>已擷取</x:v>
      </x:c>
      <x:c r="W66" s="71" t="str"/>
      <x:c r="X66" s="71" t="str">
        <x:v>各廠商合約&amp; 報價\MD檔案\20260108塑豐-一樓追加報價單回傳.md</x:v>
      </x:c>
    </x:row>
    <x:row r="67">
      <x:c r="A67" s="69" t="str">
        <x:v>SRC063</x:v>
      </x:c>
      <x:c r="B67" s="69" t="str">
        <x:v>20260127 全鑫-採光罩.md</x:v>
      </x:c>
      <x:c r="C67" s="69" t="str">
        <x:v>.md</x:v>
      </x:c>
      <x:c r="D67" s="69" t="str">
        <x:v>文件未載明</x:v>
      </x:c>
      <x:c r="E67" s="69" t="str">
        <x:v>報價／估價</x:v>
      </x:c>
      <x:c r="F67" s="71" t="str">
        <x:v>全鑫企業社</x:v>
      </x:c>
      <x:c r="G67" s="71" t="str">
        <x:v>文件未載明</x:v>
      </x:c>
      <x:c r="H67" s="71" t="str">
        <x:v>文件未載明</x:v>
      </x:c>
      <x:c r="I67" s="71" t="str">
        <x:v>文件未載明</x:v>
      </x:c>
      <x:c r="J67" s="70" t="n">
        <x:v>648400</x:v>
      </x:c>
      <x:c r="K67" s="70"/>
      <x:c r="L67" s="70"/>
      <x:c r="M67" s="70"/>
      <x:c r="N67" s="70"/>
      <x:c r="O67" s="70" t="n">
        <x:v>648400</x:v>
      </x:c>
      <x:c r="P67" s="70" t="n">
        <x:v>648400</x:v>
      </x:c>
      <x:c r="Q67" s="70" t="str">
        <x:v>報價總額</x:v>
      </x:c>
      <x:c r="R67" s="71" t="str">
        <x:v>source：文件未載明；text：文件未載明</x:v>
      </x:c>
      <x:c r="S67" s="71" t="str">
        <x:v>marker：文件未載明；evidence：文件未載明</x:v>
      </x:c>
      <x:c r="T67" s="71" t="n">
        <x:v>23</x:v>
      </x:c>
      <x:c r="U67" s="71" t="n">
        <x:v>1</x:v>
      </x:c>
      <x:c r="V67" s="71" t="str">
        <x:v>已擷取</x:v>
      </x:c>
      <x:c r="W67" s="71" t="str"/>
      <x:c r="X67" s="71" t="str">
        <x:v>各廠商合約&amp; 報價\MD檔案\20260127 全鑫-採光罩.md</x:v>
      </x:c>
    </x:row>
    <x:row r="68">
      <x:c r="A68" s="69" t="str">
        <x:v>SRC064</x:v>
      </x:c>
      <x:c r="B68" s="69" t="str">
        <x:v>20260212 塑豐 瓦斯鋁格柵追加.md</x:v>
      </x:c>
      <x:c r="C68" s="69" t="str">
        <x:v>.md</x:v>
      </x:c>
      <x:c r="D68" s="69" t="str">
        <x:v>文件未載明</x:v>
      </x:c>
      <x:c r="E68" s="69" t="str">
        <x:v>報價／估價</x:v>
      </x:c>
      <x:c r="F68" s="71" t="str">
        <x:v>塑豐實業股份有限公司</x:v>
      </x:c>
      <x:c r="G68" s="71" t="str">
        <x:v>文件未載明</x:v>
      </x:c>
      <x:c r="H68" s="71" t="str">
        <x:v>文件未載明</x:v>
      </x:c>
      <x:c r="I68" s="71" t="str">
        <x:v>文件未載明</x:v>
      </x:c>
      <x:c r="J68" s="70"/>
      <x:c r="K68" s="70" t="n">
        <x:v>5025</x:v>
      </x:c>
      <x:c r="L68" s="70"/>
      <x:c r="M68" s="70"/>
      <x:c r="N68" s="70"/>
      <x:c r="O68" s="70" t="n">
        <x:v>105525</x:v>
      </x:c>
      <x:c r="P68" s="70" t="n">
        <x:v>105525</x:v>
      </x:c>
      <x:c r="Q68" s="70" t="str">
        <x:v>報價總額</x:v>
      </x:c>
      <x:c r="R68" s="71" t="str">
        <x:v>source：文件未載明；text：文件未載明</x:v>
      </x:c>
      <x:c r="S68" s="71" t="str">
        <x:v>marker：追加；evidence：20260212 塑豐 瓦斯鋁格柵追加.md；marker：追加；evidence：(追加)報價單塑豐實業股份有限公司 &lt;table&gt;&lt;tr&gt;&lt;td rowspan="2"&gt;項次&lt;/td&gt;&lt;td rowspan="2"&gt;位置&lt;/td&gt;&lt;td colspan="3"&gt;規格&lt;/td&gt;&lt;…（詳原文索引）</x:v>
      </x:c>
      <x:c r="T68" s="71" t="n">
        <x:v>6</x:v>
      </x:c>
      <x:c r="U68" s="71" t="n">
        <x:v>1</x:v>
      </x:c>
      <x:c r="V68" s="71" t="str">
        <x:v>已擷取</x:v>
      </x:c>
      <x:c r="W68" s="71" t="str"/>
      <x:c r="X68" s="71" t="str">
        <x:v>各廠商合約&amp; 報價\MD檔案\20260212 塑豐 瓦斯鋁格柵追加.md</x:v>
      </x:c>
    </x:row>
    <x:row r="69">
      <x:c r="A69" s="69" t="str">
        <x:v>SRC065</x:v>
      </x:c>
      <x:c r="B69" s="69" t="str">
        <x:v>20260225 太格 客變木地板.md</x:v>
      </x:c>
      <x:c r="C69" s="69" t="str">
        <x:v>.md</x:v>
      </x:c>
      <x:c r="D69" s="69" t="str">
        <x:v>文件未載明</x:v>
      </x:c>
      <x:c r="E69" s="69" t="str">
        <x:v>合約；報價／估價</x:v>
      </x:c>
      <x:c r="F69" s="71" t="str">
        <x:v>墨砌實業有限公司</x:v>
      </x:c>
      <x:c r="G69" s="71" t="str">
        <x:v>文件未載明</x:v>
      </x:c>
      <x:c r="H69" s="71" t="str">
        <x:v>文件未載明</x:v>
      </x:c>
      <x:c r="I69" s="71" t="str">
        <x:v>文件未載明</x:v>
      </x:c>
      <x:c r="J69" s="70" t="n">
        <x:v>1</x:v>
      </x:c>
      <x:c r="K69" s="70" t="n">
        <x:v>3973</x:v>
      </x:c>
      <x:c r="L69" s="70"/>
      <x:c r="M69" s="70"/>
      <x:c r="N69" s="70"/>
      <x:c r="O69" s="70" t="n">
        <x:v>83423</x:v>
      </x:c>
      <x:c r="P69" s="70" t="n">
        <x:v>83423</x:v>
      </x:c>
      <x:c r="Q69" s="70" t="str">
        <x:v>報價總額</x:v>
      </x:c>
      <x:c r="R69" s="71" t="str">
        <x:v>source：Markdown line 21；text：品名 規格 單位 數量 單價 金額 備註 太格德國精工木地板美綻系列 8mm*19.3cm*138.0cm 坪 8 2,900 23,200 AC4德國原裝進口6A顏色:D3201隔音值:21dB 太格德國精工木地板美綻系列 8mm*19.3cm*138.0cm 坪 8 2,900 23,200 AC4德國原裝進口6B顏色:D3902隔音值:21dB 太格德國精工木地板美綻系列 8mm*19.3cm*138.0cm 坪 7 3,650 2…（詳原文索引）</x:v>
      </x:c>
      <x:c r="S69" s="71" t="str">
        <x:v>marker：追加；evidence：td&gt;&lt;/tr&gt;&lt;tr&gt;&lt;td colspan="7"&gt;9. 工程進行中,甲方如必須變更設計及增減工程數量時不得超過原工程圖內數量5%,增加數量超過5%以上,以乙方公司庫存選色,且追加數量之單價需雙方另行議價;如需另行辦理進口,增加的運費由甲方自行負擔。&lt;/td&gt;&lt;/tr&gt;&lt;tr&gt;…（詳原文索引）</x:v>
      </x:c>
      <x:c r="T69" s="71" t="n">
        <x:v>42</x:v>
      </x:c>
      <x:c r="U69" s="71" t="n">
        <x:v>1</x:v>
      </x:c>
      <x:c r="V69" s="71" t="str">
        <x:v>已擷取</x:v>
      </x:c>
      <x:c r="W69" s="71" t="str"/>
      <x:c r="X69" s="71" t="str">
        <x:v>各廠商合約&amp; 報價\MD檔案\20260225 太格 客變木地板.md</x:v>
      </x:c>
    </x:row>
    <x:row r="70">
      <x:c r="A70" s="69" t="str">
        <x:v>SRC066</x:v>
      </x:c>
      <x:c r="B70" s="69" t="str">
        <x:v>20260312 公設電箱木作封牆.md</x:v>
      </x:c>
      <x:c r="C70" s="69" t="str">
        <x:v>.md</x:v>
      </x:c>
      <x:c r="D70" s="69" t="str">
        <x:v>文件未載明</x:v>
      </x:c>
      <x:c r="E70" s="69" t="str">
        <x:v>合約；報價／估價</x:v>
      </x:c>
      <x:c r="F70" s="71" t="str">
        <x:v>山城裝潢工程行</x:v>
      </x:c>
      <x:c r="G70" s="71" t="str">
        <x:v>文件未載明</x:v>
      </x:c>
      <x:c r="H70" s="71" t="str">
        <x:v>文件未載明</x:v>
      </x:c>
      <x:c r="I70" s="71" t="str">
        <x:v>文件未載明</x:v>
      </x:c>
      <x:c r="J70" s="70"/>
      <x:c r="K70" s="70" t="n">
        <x:v>2</x:v>
      </x:c>
      <x:c r="L70" s="70"/>
      <x:c r="M70" s="70"/>
      <x:c r="N70" s="70"/>
      <x:c r="O70" s="70" t="n">
        <x:v>46450</x:v>
      </x:c>
      <x:c r="P70" s="70" t="n">
        <x:v>46450</x:v>
      </x:c>
      <x:c r="Q70" s="70" t="str">
        <x:v>報價總額</x:v>
      </x:c>
      <x:c r="R70" s="71" t="str">
        <x:v>source：Markdown line 29；text：5、付款方式：※現金 ※現金匯款</x:v>
      </x:c>
      <x:c r="S70" s="71" t="str">
        <x:v>marker：變更；evidence：f626af9c86a486737cc4ae1b8f773216912d859779ddb05c39158a0ee9d75.jpg) 3、依現場尺寸實做實算，數量、尺寸和內容有變更時，均予以重新估價。 4、貨款未付清前，所有之產品權歸屬於山城裝潢工程行所有。 ## 報價單 客戶名稱…（詳原文索引）</x:v>
      </x:c>
      <x:c r="T70" s="71" t="n">
        <x:v>6</x:v>
      </x:c>
      <x:c r="U70" s="71" t="n">
        <x:v>1</x:v>
      </x:c>
      <x:c r="V70" s="71" t="str">
        <x:v>已擷取</x:v>
      </x:c>
      <x:c r="W70" s="71" t="str"/>
      <x:c r="X70" s="71" t="str">
        <x:v>各廠商合約&amp; 報價\MD檔案\20260312 公設電箱木作封牆.md</x:v>
      </x:c>
    </x:row>
    <x:row r="71">
      <x:c r="A71" s="69" t="str">
        <x:v>SRC067</x:v>
      </x:c>
      <x:c r="B71" s="69" t="str">
        <x:v>20260317 全鑫 浪板更換.md</x:v>
      </x:c>
      <x:c r="C71" s="69" t="str">
        <x:v>.md</x:v>
      </x:c>
      <x:c r="D71" s="69" t="str">
        <x:v>文件未載明</x:v>
      </x:c>
      <x:c r="E71" s="69" t="str">
        <x:v>文件類型待確認</x:v>
      </x:c>
      <x:c r="F71" s="71" t="str">
        <x:v>全鑫企業社</x:v>
      </x:c>
      <x:c r="G71" s="71" t="str">
        <x:v>文件未載明</x:v>
      </x:c>
      <x:c r="H71" s="71" t="str">
        <x:v>文件未載明</x:v>
      </x:c>
      <x:c r="I71" s="71" t="str">
        <x:v>文件未載明</x:v>
      </x:c>
      <x:c r="J71" s="70"/>
      <x:c r="K71" s="70"/>
      <x:c r="L71" s="70"/>
      <x:c r="M71" s="70"/>
      <x:c r="N71" s="70"/>
      <x:c r="O71" s="70" t="n">
        <x:v>41500</x:v>
      </x:c>
      <x:c r="P71" s="70" t="n">
        <x:v>41500</x:v>
      </x:c>
      <x:c r="Q71" s="70" t="str">
        <x:v>報價總額</x:v>
      </x:c>
      <x:c r="R71" s="71" t="str">
        <x:v>source：文件未載明；text：文件未載明</x:v>
      </x:c>
      <x:c r="S71" s="71" t="str">
        <x:v>marker：文件未載明；evidence：文件未載明</x:v>
      </x:c>
      <x:c r="T71" s="71" t="n">
        <x:v>22</x:v>
      </x:c>
      <x:c r="U71" s="71" t="n">
        <x:v>1</x:v>
      </x:c>
      <x:c r="V71" s="71" t="str">
        <x:v>已擷取</x:v>
      </x:c>
      <x:c r="W71" s="71" t="str"/>
      <x:c r="X71" s="71" t="str">
        <x:v>各廠商合約&amp; 報價\MD檔案\20260317 全鑫 浪板更換.md</x:v>
      </x:c>
    </x:row>
    <x:row r="72">
      <x:c r="A72" s="69" t="str">
        <x:v>SRC068</x:v>
      </x:c>
      <x:c r="B72" s="69" t="str">
        <x:v>20260317 全鑫 採光罩玻璃.md</x:v>
      </x:c>
      <x:c r="C72" s="69" t="str">
        <x:v>.md</x:v>
      </x:c>
      <x:c r="D72" s="69" t="str">
        <x:v>文件未載明</x:v>
      </x:c>
      <x:c r="E72" s="69" t="str">
        <x:v>文件類型待確認</x:v>
      </x:c>
      <x:c r="F72" s="71" t="str">
        <x:v>全鑫企業社</x:v>
      </x:c>
      <x:c r="G72" s="71" t="str">
        <x:v>文件未載明</x:v>
      </x:c>
      <x:c r="H72" s="71" t="str">
        <x:v>文件未載明</x:v>
      </x:c>
      <x:c r="I72" s="71" t="str">
        <x:v>文件未載明</x:v>
      </x:c>
      <x:c r="J72" s="70" t="n">
        <x:v>118000</x:v>
      </x:c>
      <x:c r="K72" s="70"/>
      <x:c r="L72" s="70"/>
      <x:c r="M72" s="70"/>
      <x:c r="N72" s="70"/>
      <x:c r="O72" s="70" t="n">
        <x:v>126800</x:v>
      </x:c>
      <x:c r="P72" s="70" t="n">
        <x:v>126800</x:v>
      </x:c>
      <x:c r="Q72" s="70" t="str">
        <x:v>報價總額</x:v>
      </x:c>
      <x:c r="R72" s="71" t="str">
        <x:v>source：文件未載明；text：文件未載明</x:v>
      </x:c>
      <x:c r="S72" s="71" t="str">
        <x:v>marker：文件未載明；evidence：文件未載明</x:v>
      </x:c>
      <x:c r="T72" s="71" t="n">
        <x:v>23</x:v>
      </x:c>
      <x:c r="U72" s="71" t="n">
        <x:v>1</x:v>
      </x:c>
      <x:c r="V72" s="71" t="str">
        <x:v>已擷取</x:v>
      </x:c>
      <x:c r="W72" s="71" t="str"/>
      <x:c r="X72" s="71" t="str">
        <x:v>各廠商合約&amp; 報價\MD檔案\20260317 全鑫 採光罩玻璃.md</x:v>
      </x:c>
    </x:row>
    <x:row r="73">
      <x:c r="A73" s="69" t="str">
        <x:v>SRC069</x:v>
      </x:c>
      <x:c r="B73" s="69" t="str">
        <x:v>20260317 塑豐 瓦斯錶格柵.md</x:v>
      </x:c>
      <x:c r="C73" s="69" t="str">
        <x:v>.md</x:v>
      </x:c>
      <x:c r="D73" s="69" t="str">
        <x:v>文件未載明</x:v>
      </x:c>
      <x:c r="E73" s="69" t="str">
        <x:v>報價／估價</x:v>
      </x:c>
      <x:c r="F73" s="71" t="str">
        <x:v>塑豐實業股份有限公司</x:v>
      </x:c>
      <x:c r="G73" s="71" t="str">
        <x:v>文件未載明</x:v>
      </x:c>
      <x:c r="H73" s="71" t="str">
        <x:v>文件未載明</x:v>
      </x:c>
      <x:c r="I73" s="71" t="str">
        <x:v>苗栗縣頭份市自強路二段477號</x:v>
      </x:c>
      <x:c r="J73" s="70"/>
      <x:c r="K73" s="70"/>
      <x:c r="L73" s="70"/>
      <x:c r="M73" s="70"/>
      <x:c r="N73" s="70"/>
      <x:c r="O73" s="70"/>
      <x:c r="P73" s="70"/>
      <x:c r="Q73" s="70" t="str">
        <x:v>文件未載明</x:v>
      </x:c>
      <x:c r="R73" s="71" t="str">
        <x:v>source：文件未載明；text：文件未載明</x:v>
      </x:c>
      <x:c r="S73" s="71" t="str">
        <x:v>marker：追加；evidence：客戶名稱：35086向上建設股份有限公司 (追加)報價單塑豐實業股份有限公司 &lt;table&gt;&lt;tr&gt;&lt;td rowspan="2"&gt;項次&lt;/td&gt;&lt;td rowspan="2"&gt;位置&lt;/td&gt;&lt;td colspan="3"&gt;規格&lt;/td&gt;&lt;td rowspan="2"&gt;色別&lt;/td…（詳原文索引）</x:v>
      </x:c>
      <x:c r="T73" s="71" t="n">
        <x:v>5</x:v>
      </x:c>
      <x:c r="U73" s="71" t="n">
        <x:v>1</x:v>
      </x:c>
      <x:c r="V73" s="71" t="str">
        <x:v>已擷取</x:v>
      </x:c>
      <x:c r="W73" s="71" t="str"/>
      <x:c r="X73" s="71" t="str">
        <x:v>各廠商合約&amp; 報價\MD檔案\20260317 塑豐 瓦斯錶格柵.md</x:v>
      </x:c>
    </x:row>
    <x:row r="74">
      <x:c r="A74" s="69" t="str">
        <x:v>SRC070</x:v>
      </x:c>
      <x:c r="B74" s="69" t="str">
        <x:v>20260319 太子種苗 狼尾草.md</x:v>
      </x:c>
      <x:c r="C74" s="69" t="str">
        <x:v>.md</x:v>
      </x:c>
      <x:c r="D74" s="69" t="str">
        <x:v>文件未載明</x:v>
      </x:c>
      <x:c r="E74" s="69" t="str">
        <x:v>報價／估價</x:v>
      </x:c>
      <x:c r="F74" s="71" t="str">
        <x:v>文件未載明</x:v>
      </x:c>
      <x:c r="G74" s="71" t="str">
        <x:v>文件未載明</x:v>
      </x:c>
      <x:c r="H74" s="71" t="str">
        <x:v>文件未載明</x:v>
      </x:c>
      <x:c r="I74" s="71" t="str">
        <x:v>文件未載明</x:v>
      </x:c>
      <x:c r="J74" s="70"/>
      <x:c r="K74" s="70" t="n">
        <x:v>1550</x:v>
      </x:c>
      <x:c r="L74" s="70"/>
      <x:c r="M74" s="70"/>
      <x:c r="N74" s="70"/>
      <x:c r="O74" s="70" t="n">
        <x:v>32550</x:v>
      </x:c>
      <x:c r="P74" s="70" t="n">
        <x:v>32550</x:v>
      </x:c>
      <x:c r="Q74" s="70" t="str">
        <x:v>報價總額</x:v>
      </x:c>
      <x:c r="R74" s="71" t="str">
        <x:v>source：文件未載明；text：文件未載明</x:v>
      </x:c>
      <x:c r="S74" s="71" t="str">
        <x:v>marker：回傳；evidence：tr&gt;&lt;td&gt;管理費8%&lt;/td&gt;&lt;td&gt;&lt;/td&gt;&lt;/tr&gt;&lt;tr&gt;&lt;td&gt;總計&lt;/td&gt;&lt;td&gt;$32550&lt;/td&gt;&lt;/tr&gt;&lt;/table&gt; 若要接受此報價,請在此簽名後回傳： ![](images/a676977b18194295b2d67e3de821d6601d092…（詳原文索引）</x:v>
      </x:c>
      <x:c r="T74" s="71" t="n">
        <x:v>23</x:v>
      </x:c>
      <x:c r="U74" s="71" t="n">
        <x:v>1</x:v>
      </x:c>
      <x:c r="V74" s="71" t="str">
        <x:v>已擷取</x:v>
      </x:c>
      <x:c r="W74" s="71" t="str"/>
      <x:c r="X74" s="71" t="str">
        <x:v>各廠商合約&amp; 報價\MD檔案\20260319 太子種苗 狼尾草.md</x:v>
      </x:c>
    </x:row>
    <x:row r="75">
      <x:c r="A75" s="69" t="str">
        <x:v>SRC071</x:v>
      </x:c>
      <x:c r="B75" s="69" t="str">
        <x:v>20260401 全鑫 圍籬.md</x:v>
      </x:c>
      <x:c r="C75" s="69" t="str">
        <x:v>.md</x:v>
      </x:c>
      <x:c r="D75" s="69" t="str">
        <x:v>文件未載明</x:v>
      </x:c>
      <x:c r="E75" s="69" t="str">
        <x:v>文件類型待確認</x:v>
      </x:c>
      <x:c r="F75" s="71" t="str">
        <x:v>全鑫企業社</x:v>
      </x:c>
      <x:c r="G75" s="71" t="str">
        <x:v>文件未載明</x:v>
      </x:c>
      <x:c r="H75" s="71" t="str">
        <x:v>文件未載明</x:v>
      </x:c>
      <x:c r="I75" s="71" t="str">
        <x:v>文件未載明</x:v>
      </x:c>
      <x:c r="J75" s="70" t="n">
        <x:v>37800</x:v>
      </x:c>
      <x:c r="K75" s="70"/>
      <x:c r="L75" s="70"/>
      <x:c r="M75" s="70"/>
      <x:c r="N75" s="70"/>
      <x:c r="O75" s="70" t="n">
        <x:v>37800</x:v>
      </x:c>
      <x:c r="P75" s="70" t="n">
        <x:v>37800</x:v>
      </x:c>
      <x:c r="Q75" s="70" t="str">
        <x:v>報價總額</x:v>
      </x:c>
      <x:c r="R75" s="71" t="str">
        <x:v>source：文件未載明；text：文件未載明</x:v>
      </x:c>
      <x:c r="S75" s="71" t="str">
        <x:v>marker：文件未載明；evidence：文件未載明</x:v>
      </x:c>
      <x:c r="T75" s="71" t="n">
        <x:v>22</x:v>
      </x:c>
      <x:c r="U75" s="71" t="n">
        <x:v>1</x:v>
      </x:c>
      <x:c r="V75" s="71" t="str">
        <x:v>已擷取</x:v>
      </x:c>
      <x:c r="W75" s="71" t="str"/>
      <x:c r="X75" s="71" t="str">
        <x:v>各廠商合約&amp; 報價\MD檔案\20260401 全鑫 圍籬.md</x:v>
      </x:c>
    </x:row>
    <x:row r="76">
      <x:c r="A76" s="69" t="str">
        <x:v>SRC072</x:v>
      </x:c>
      <x:c r="B76" s="69" t="str">
        <x:v>20260402花台磚.md</x:v>
      </x:c>
      <x:c r="C76" s="69" t="str">
        <x:v>.md</x:v>
      </x:c>
      <x:c r="D76" s="69" t="str">
        <x:v>文件未載明</x:v>
      </x:c>
      <x:c r="E76" s="69" t="str">
        <x:v>報價／估價</x:v>
      </x:c>
      <x:c r="F76" s="71" t="str">
        <x:v>智慧城企業有限公司</x:v>
      </x:c>
      <x:c r="G76" s="71" t="str">
        <x:v>86781412</x:v>
      </x:c>
      <x:c r="H76" s="71" t="str">
        <x:v>文件明載</x:v>
      </x:c>
      <x:c r="I76" s="71" t="str">
        <x:v>苗栗縣後龍鎮校椅里造豐路345號(苗栗往造橋新蓮寺前)</x:v>
      </x:c>
      <x:c r="J76" s="70" t="n">
        <x:v>1</x:v>
      </x:c>
      <x:c r="K76" s="70" t="n">
        <x:v>40</x:v>
      </x:c>
      <x:c r="L76" s="70" t="n">
        <x:v>1</x:v>
      </x:c>
      <x:c r="M76" s="70"/>
      <x:c r="N76" s="70"/>
      <x:c r="O76" s="70"/>
      <x:c r="P76" s="70" t="n">
        <x:v>1</x:v>
      </x:c>
      <x:c r="Q76" s="70" t="str">
        <x:v>含稅／總計</x:v>
      </x:c>
      <x:c r="R76" s="71" t="str">
        <x:v>source：Markdown line 9；text：客戶廠商:向上建設股份有限公司 施工地點:高鐵附近(新東路116號旁) 工程名稱:圍牆施工 使用材料: V 百歲磚(1式21000元未稅) V 切面磚(1式22000元未稅) 一、施工範圍:基礎與施工前之任何障礙物清理,由工地負責。進料之運輸,以板車能到,堆高機在50公尺內為原則(二次搬運不在估價內);如有推磚太遠或施工難度較高,酌情貼補工資。施工高度由業主自訂,如需搭架由工地提供,高度超過2M或施工難度高者,酌增收工資補貼費用。初估丈量尺…（詳原文索引）</x:v>
      </x:c>
      <x:c r="S76" s="71" t="str">
        <x:v>marker：變更；evidence：:長15.6m、高50cm(含帽沿)計價。水泥砂及由業主現場無價供應。水電由業主提供(需就近提供)無價供應。此報價依現場初估範圍內計價.如有增加數量工資及材料價格亦會增加。如因現場變更施做造成工時延誤時.需另貼補工資。&lt;/td&gt;&lt;/tr&gt;&lt;tr&gt;&lt;td colspan="4"&gt;二、…（詳原文索引）</x:v>
      </x:c>
      <x:c r="T76" s="71" t="n">
        <x:v>13</x:v>
      </x:c>
      <x:c r="U76" s="71" t="n">
        <x:v>1</x:v>
      </x:c>
      <x:c r="V76" s="71" t="str">
        <x:v>已擷取</x:v>
      </x:c>
      <x:c r="W76" s="71" t="str"/>
      <x:c r="X76" s="71" t="str">
        <x:v>各廠商合約&amp; 報價\MD檔案\20260402花台磚.md</x:v>
      </x:c>
    </x:row>
    <x:row r="77">
      <x:c r="A77" s="69" t="str">
        <x:v>SRC073</x:v>
      </x:c>
      <x:c r="B77" s="69" t="str">
        <x:v>20260408 智慧城 花台磚.md</x:v>
      </x:c>
      <x:c r="C77" s="69" t="str">
        <x:v>.md</x:v>
      </x:c>
      <x:c r="D77" s="69" t="str">
        <x:v>文件未載明</x:v>
      </x:c>
      <x:c r="E77" s="69" t="str">
        <x:v>報價／估價</x:v>
      </x:c>
      <x:c r="F77" s="71" t="str">
        <x:v>智慧城企業有限公司</x:v>
      </x:c>
      <x:c r="G77" s="71" t="str">
        <x:v>文件未載明</x:v>
      </x:c>
      <x:c r="H77" s="71" t="str">
        <x:v>文件未載明</x:v>
      </x:c>
      <x:c r="I77" s="71" t="str">
        <x:v>苗栗縣後龍鎮校椅里造豐路345號(苗栗往造橋新蓮寺前)</x:v>
      </x:c>
      <x:c r="J77" s="70" t="n">
        <x:v>20</x:v>
      </x:c>
      <x:c r="K77" s="70" t="n">
        <x:v>20</x:v>
      </x:c>
      <x:c r="L77" s="70" t="n">
        <x:v>20</x:v>
      </x:c>
      <x:c r="M77" s="70"/>
      <x:c r="N77" s="70"/>
      <x:c r="O77" s="70"/>
      <x:c r="P77" s="70" t="n">
        <x:v>20</x:v>
      </x:c>
      <x:c r="Q77" s="70" t="str">
        <x:v>含稅／總計</x:v>
      </x:c>
      <x:c r="R77" s="71" t="str">
        <x:v>source：Markdown line 9；text：客戶廠商:向上建設股份有限公司 施工地點:高鐵附近(新東路116號旁) 工程名稱:圍牆施工 使用材料: V 百歲磚(1式21000元未稅) V 切面磚(1式22000元未稅) 一.施工範圍:1.V基礎與施工前之任何障礙物清理、由工地負責。2.V進料之運輸、以板車能到,堆高機在50公尺內為原則(二次搬運不在估價內):如有推磚大道或施工难度較高,酌情貼補工資。請加工或施工需要作業,如推磚有中土地提用,高度超過圖,施工和工事。 1.V圍牆/花台施…（詳原文索引）</x:v>
      </x:c>
      <x:c r="S77" s="71" t="str">
        <x:v>marker：回傳；evidence：。(現金不折扣)請全額支付,零保留。*施工數量以施工完畢數量為準。以上報價皆不含稅金。此報價單為初估參考數量,不可當作施工完成數量,需以施工完畢後實際數量為準備註:請確認無誤後簽章回傳,方可盡快為貴公司安排施工事宜.謝謝。&lt;/td&gt;&lt;/tr&gt;&lt;tr&gt;&lt;td colspan="2"&gt;…（詳原文索引）</x:v>
      </x:c>
      <x:c r="T77" s="71" t="n">
        <x:v>11</x:v>
      </x:c>
      <x:c r="U77" s="71" t="n">
        <x:v>1</x:v>
      </x:c>
      <x:c r="V77" s="71" t="str">
        <x:v>已擷取</x:v>
      </x:c>
      <x:c r="W77" s="71" t="str"/>
      <x:c r="X77" s="71" t="str">
        <x:v>各廠商合約&amp; 報價\MD檔案\20260408 智慧城 花台磚.md</x:v>
      </x:c>
    </x:row>
    <x:row r="78">
      <x:c r="A78" s="69" t="str">
        <x:v>SRC074</x:v>
      </x:c>
      <x:c r="B78" s="69" t="str">
        <x:v>20260422 工務所裝潢合約.報價.md</x:v>
      </x:c>
      <x:c r="C78" s="69" t="str">
        <x:v>.md</x:v>
      </x:c>
      <x:c r="D78" s="69" t="str">
        <x:v>文件未載明</x:v>
      </x:c>
      <x:c r="E78" s="69" t="str">
        <x:v>合約；報價／估價</x:v>
      </x:c>
      <x:c r="F78" s="71" t="str">
        <x:v>茗匠空間設計；茗匠有限公司</x:v>
      </x:c>
      <x:c r="G78" s="71" t="str">
        <x:v>文件未載明</x:v>
      </x:c>
      <x:c r="H78" s="71" t="str">
        <x:v>文件未載明</x:v>
      </x:c>
      <x:c r="I78" s="71" t="str">
        <x:v>文件未載明</x:v>
      </x:c>
      <x:c r="J78" s="70"/>
      <x:c r="K78" s="70" t="n">
        <x:v>32923</x:v>
      </x:c>
      <x:c r="L78" s="70" t="n">
        <x:v>691373</x:v>
      </x:c>
      <x:c r="M78" s="70"/>
      <x:c r="N78" s="70"/>
      <x:c r="O78" s="70" t="n">
        <x:v>691373</x:v>
      </x:c>
      <x:c r="P78" s="70" t="n">
        <x:v>691373</x:v>
      </x:c>
      <x:c r="Q78" s="70" t="str">
        <x:v>含稅／總計</x:v>
      </x:c>
      <x:c r="R78" s="71" t="str">
        <x:v>source：Markdown line 37；text：## 第七條 付款辦法；source：Markdown line 39；text：甲方付款方式應依下列規定辦理：；source：Markdown line 41；text：於簽約時支付訂金 69000 元。；source：Markdown line 43；text：一、第一期款項於舊屋翻新拆除進場或保護工程前支付簽約金計 210000 元。；source：Markdown line 45；text：二、第二期款項 於木工封板前支付簽約金計…（詳原文索引）</x:v>
      </x:c>
      <x:c r="S78" s="71" t="str">
        <x:v>marker：追加；evidence：r&gt;&lt;td&gt;一.&lt;/td&gt;&lt;td colspan="2"&gt;工程之型式顏色數量以估價單註明為準,若有更動須在該項目施作前或傢俱出貨前與設計師討論更改估價單內容,如未事先告知業主須負擔追加之工程費用,傢俱則須負擔貨運車資&lt;/td&gt;&lt;td rowspan="6"&gt;&lt;img src="im…（詳原文索引）</x:v>
      </x:c>
      <x:c r="T78" s="71" t="n">
        <x:v>87</x:v>
      </x:c>
      <x:c r="U78" s="71" t="n">
        <x:v>2</x:v>
      </x:c>
      <x:c r="V78" s="71" t="str">
        <x:v>已擷取</x:v>
      </x:c>
      <x:c r="W78" s="71" t="str"/>
      <x:c r="X78" s="71" t="str">
        <x:v>各廠商合約&amp; 報價\MD檔案\20260422 工務所裝潢合約.報價.md</x:v>
      </x:c>
    </x:row>
    <x:row r="79">
      <x:c r="A79" s="69" t="str">
        <x:v>SRC075</x:v>
      </x:c>
      <x:c r="B79" s="69" t="str">
        <x:v>20260424 全鑫追加工程_人孔蓋、後側採光罩延伸_.md</x:v>
      </x:c>
      <x:c r="C79" s="69" t="str">
        <x:v>.md</x:v>
      </x:c>
      <x:c r="D79" s="69" t="str">
        <x:v>文件未載明</x:v>
      </x:c>
      <x:c r="E79" s="69" t="str">
        <x:v>文件類型待確認</x:v>
      </x:c>
      <x:c r="F79" s="71" t="str">
        <x:v>全鑫企業社</x:v>
      </x:c>
      <x:c r="G79" s="71" t="str">
        <x:v>文件未載明</x:v>
      </x:c>
      <x:c r="H79" s="71" t="str">
        <x:v>文件未載明</x:v>
      </x:c>
      <x:c r="I79" s="71" t="str">
        <x:v>文件未載明</x:v>
      </x:c>
      <x:c r="J79" s="70" t="n">
        <x:v>14500</x:v>
      </x:c>
      <x:c r="K79" s="70"/>
      <x:c r="L79" s="70"/>
      <x:c r="M79" s="70"/>
      <x:c r="N79" s="70"/>
      <x:c r="O79" s="70" t="n">
        <x:v>14500</x:v>
      </x:c>
      <x:c r="P79" s="70" t="n">
        <x:v>14500</x:v>
      </x:c>
      <x:c r="Q79" s="70" t="str">
        <x:v>報價總額</x:v>
      </x:c>
      <x:c r="R79" s="71" t="str">
        <x:v>source：文件未載明；text：文件未載明</x:v>
      </x:c>
      <x:c r="S79" s="71" t="str">
        <x:v>marker：追加；evidence：20260424 全鑫追加工程_人孔蓋、後側採光罩延伸_.md；marker：追加；evidence：&gt;規格&lt;/td&gt;&lt;td&gt;數量&lt;/td&gt;&lt;td&gt;單價&lt;/td&gt;&lt;td&gt;金額&lt;/td&gt;&lt;td&gt;備註&lt;/td&gt;&lt;/tr&gt;&lt;tr&gt;&lt;td&gt;1&lt;/td&gt;&lt;td&gt;開籬下方 補打砂利康 26 米…（詳原文索引）</x:v>
      </x:c>
      <x:c r="T79" s="71" t="n">
        <x:v>22</x:v>
      </x:c>
      <x:c r="U79" s="71" t="n">
        <x:v>1</x:v>
      </x:c>
      <x:c r="V79" s="71" t="str">
        <x:v>已擷取</x:v>
      </x:c>
      <x:c r="W79" s="71" t="str"/>
      <x:c r="X79" s="71" t="str">
        <x:v>各廠商合約&amp; 報價\MD檔案\20260424 全鑫追加工程_人孔蓋、後側採光罩延伸_.md</x:v>
      </x:c>
    </x:row>
    <x:row r="80">
      <x:c r="A80" s="69" t="str">
        <x:v>SRC076</x:v>
      </x:c>
      <x:c r="B80" s="69" t="str">
        <x:v>20260430 塑豐 門扇改高度.md</x:v>
      </x:c>
      <x:c r="C80" s="69" t="str">
        <x:v>.md</x:v>
      </x:c>
      <x:c r="D80" s="69" t="str">
        <x:v>文件未載明</x:v>
      </x:c>
      <x:c r="E80" s="69" t="str">
        <x:v>報價／估價</x:v>
      </x:c>
      <x:c r="F80" s="71" t="str">
        <x:v>塑豐實業股份有限公司</x:v>
      </x:c>
      <x:c r="G80" s="71" t="str">
        <x:v>文件未載明</x:v>
      </x:c>
      <x:c r="H80" s="71" t="str">
        <x:v>文件未載明</x:v>
      </x:c>
      <x:c r="I80" s="71" t="str">
        <x:v>苗栗縣頭份市自強路二段477號</x:v>
      </x:c>
      <x:c r="J80" s="70"/>
      <x:c r="K80" s="70"/>
      <x:c r="L80" s="70"/>
      <x:c r="M80" s="70"/>
      <x:c r="N80" s="70"/>
      <x:c r="O80" s="70"/>
      <x:c r="P80" s="70"/>
      <x:c r="Q80" s="70" t="str">
        <x:v>文件未載明</x:v>
      </x:c>
      <x:c r="R80" s="71" t="str">
        <x:v>source：文件未載明；text：文件未載明</x:v>
      </x:c>
      <x:c r="S80" s="71" t="str">
        <x:v>marker：追加；evidence：d&gt;&lt;/td&gt;&lt;td&gt;12,000&lt;/td&gt;&lt;td&gt;469 議價&lt;/td&gt;&lt;/tr&gt;&lt;/table&gt; 電話：037-775355#366 傳真： 日期：115.04.29 (追加)報價單 ※ 如確定製作，請蓋章後回傳，謝謝！ 塑豐實業股份有限公司二.本報價單有效期限為15天。 一.…（詳原文索引）</x:v>
      </x:c>
      <x:c r="T80" s="71" t="n">
        <x:v>4</x:v>
      </x:c>
      <x:c r="U80" s="71" t="n">
        <x:v>1</x:v>
      </x:c>
      <x:c r="V80" s="71" t="str">
        <x:v>已擷取</x:v>
      </x:c>
      <x:c r="W80" s="71" t="str"/>
      <x:c r="X80" s="71" t="str">
        <x:v>各廠商合約&amp; 報價\MD檔案\20260430 塑豐 門扇改高度.md</x:v>
      </x:c>
    </x:row>
    <x:row r="81">
      <x:c r="A81" s="69" t="str">
        <x:v>SRC077</x:v>
      </x:c>
      <x:c r="B81" s="69" t="str">
        <x:v>20260517 三發圍籬網.md</x:v>
      </x:c>
      <x:c r="C81" s="69" t="str">
        <x:v>.md</x:v>
      </x:c>
      <x:c r="D81" s="69" t="str">
        <x:v>文件未載明</x:v>
      </x:c>
      <x:c r="E81" s="69" t="str">
        <x:v>報價／估價</x:v>
      </x:c>
      <x:c r="F81" s="71" t="str">
        <x:v>三發製網股份有限公司</x:v>
      </x:c>
      <x:c r="G81" s="71" t="str">
        <x:v>文件未載明</x:v>
      </x:c>
      <x:c r="H81" s="71" t="str">
        <x:v>文件未載明</x:v>
      </x:c>
      <x:c r="I81" s="71" t="str">
        <x:v>台中市大雅區民生路一段264號</x:v>
      </x:c>
      <x:c r="J81" s="70" t="n">
        <x:v>38150</x:v>
      </x:c>
      <x:c r="K81" s="70"/>
      <x:c r="L81" s="70" t="n">
        <x:v>40058</x:v>
      </x:c>
      <x:c r="M81" s="70"/>
      <x:c r="N81" s="70"/>
      <x:c r="O81" s="70"/>
      <x:c r="P81" s="70" t="n">
        <x:v>40058</x:v>
      </x:c>
      <x:c r="Q81" s="70" t="str">
        <x:v>含稅／總計</x:v>
      </x:c>
      <x:c r="R81" s="71" t="str">
        <x:v>source：Markdown line 35；text：規格 尺寸 單位 數量 單價 總價 備註 5mm*50*150mm鍍鋅鋼網 H=1550*W1900mm 片 7.0 2,950 20,650 ←上下卷圓 2"(60mm)*2.0mm鍍鋅鋼管 L=1650mm-圓底板 支 9.0 1,100 9,900 ←含沖孔焊上蓋 含粉體烤漆 材料價 配件A(4PCS/組) 60mm管用(含不銹鋼螺絲組) 組 7.0 240 1,680 配件B(2PCS/組) 組 4.0 150 600 配件C(8…（詳原文索引）</x:v>
      </x:c>
      <x:c r="S81" s="71" t="str">
        <x:v>marker：回傳；evidence：貨地點: 收貨人:&lt;/td&gt;&lt;/tr&gt;&lt;tr&gt;&lt;td colspan="7"&gt;5 單價自報價日起7天有效&lt;/td&gt;&lt;/tr&gt;&lt;tr&gt;&lt;td colspan="7"&gt;6 請確認簽章後回傳。&lt;/td&gt;&lt;/tr&gt;&lt;tr&gt;&lt;td colspan="8"&gt;&lt;匯款帳號&gt;戶名:三發製網股份有限公…（詳原文索引）</x:v>
      </x:c>
      <x:c r="T81" s="71" t="n">
        <x:v>20</x:v>
      </x:c>
      <x:c r="U81" s="71" t="n">
        <x:v>1</x:v>
      </x:c>
      <x:c r="V81" s="71" t="str">
        <x:v>已擷取</x:v>
      </x:c>
      <x:c r="W81" s="71" t="str"/>
      <x:c r="X81" s="71" t="str">
        <x:v>各廠商合約&amp; 報價\MD檔案\20260517 三發圍籬網.md</x:v>
      </x:c>
    </x:row>
    <x:row r="82">
      <x:c r="A82" s="69" t="str">
        <x:v>SRC078</x:v>
      </x:c>
      <x:c r="B82" s="69" t="str">
        <x:v>20260520 7F辦公室.md</x:v>
      </x:c>
      <x:c r="C82" s="69" t="str">
        <x:v>.md</x:v>
      </x:c>
      <x:c r="D82" s="69" t="str">
        <x:v>2026-06-03</x:v>
      </x:c>
      <x:c r="E82" s="69" t="str">
        <x:v>報價／估價</x:v>
      </x:c>
      <x:c r="F82" s="71" t="str">
        <x:v>班朋寶閣有限公司</x:v>
      </x:c>
      <x:c r="G82" s="71" t="str">
        <x:v>文件未載明</x:v>
      </x:c>
      <x:c r="H82" s="71" t="str">
        <x:v>文件未載明</x:v>
      </x:c>
      <x:c r="I82" s="71" t="str">
        <x:v>106001 台北市大安區金山南路二段18號5樓</x:v>
      </x:c>
      <x:c r="J82" s="70"/>
      <x:c r="K82" s="70" t="n">
        <x:v>5</x:v>
      </x:c>
      <x:c r="L82" s="70"/>
      <x:c r="M82" s="70"/>
      <x:c r="N82" s="70"/>
      <x:c r="O82" s="70" t="n">
        <x:v>159000</x:v>
      </x:c>
      <x:c r="P82" s="70" t="n">
        <x:v>159000</x:v>
      </x:c>
      <x:c r="Q82" s="70" t="str">
        <x:v>報價總額</x:v>
      </x:c>
      <x:c r="R82" s="71" t="str">
        <x:v>source：Markdown line 30；text：2.5屏風 | 框架:烤漆框 深灰H70cm-彩鋼平板(深灰)、H20cm 屏風布 #37-102-8 銀月灰 桌框顏色 桌板顏色圖片僅供示意,以報價文字敘述為準 7 W60*H92cm 6 片 1,456 8,736 2.5屏風 | 框架:烤漆框 深灰H70cm-彩鋼平板(深灰)、H20cm 5mm黑玻 (強化玻璃) 8 W110*H92cm 2 片 2,166 4,332 25mm 系統板 #BK2-322 平面布紋 (桌板左上、右上…（詳原文索引）</x:v>
      </x:c>
      <x:c r="S82" s="71" t="str">
        <x:v>marker：文件未載明；evidence：文件未載明</x:v>
      </x:c>
      <x:c r="T82" s="71" t="n">
        <x:v>33</x:v>
      </x:c>
      <x:c r="U82" s="71" t="n">
        <x:v>1</x:v>
      </x:c>
      <x:c r="V82" s="71" t="str">
        <x:v>已擷取</x:v>
      </x:c>
      <x:c r="W82" s="71" t="str"/>
      <x:c r="X82" s="71" t="str">
        <x:v>各廠商合約&amp; 報價\MD檔案\20260520 7F辦公室.md</x:v>
      </x:c>
    </x:row>
    <x:row r="83">
      <x:c r="A83" s="69" t="str">
        <x:v>SRC079</x:v>
      </x:c>
      <x:c r="B83" s="69" t="str">
        <x:v>20260603 三發圍籬網 加運費.md</x:v>
      </x:c>
      <x:c r="C83" s="69" t="str">
        <x:v>.md</x:v>
      </x:c>
      <x:c r="D83" s="69" t="str">
        <x:v>文件未載明</x:v>
      </x:c>
      <x:c r="E83" s="69" t="str">
        <x:v>報價／估價</x:v>
      </x:c>
      <x:c r="F83" s="71" t="str">
        <x:v>三發製網股份有限公司</x:v>
      </x:c>
      <x:c r="G83" s="71" t="str">
        <x:v>文件未載明</x:v>
      </x:c>
      <x:c r="H83" s="71" t="str">
        <x:v>文件未載明</x:v>
      </x:c>
      <x:c r="I83" s="71" t="str">
        <x:v>台中市大雅區民生路一段264號</x:v>
      </x:c>
      <x:c r="J83" s="70" t="n">
        <x:v>42650</x:v>
      </x:c>
      <x:c r="K83" s="70"/>
      <x:c r="L83" s="70" t="n">
        <x:v>44783</x:v>
      </x:c>
      <x:c r="M83" s="70"/>
      <x:c r="N83" s="70"/>
      <x:c r="O83" s="70"/>
      <x:c r="P83" s="70" t="n">
        <x:v>44783</x:v>
      </x:c>
      <x:c r="Q83" s="70" t="str">
        <x:v>含稅／總計</x:v>
      </x:c>
      <x:c r="R83" s="71" t="str">
        <x:v>source：Markdown line 35；text：規格 尺寸 單位 數量 單價 總價 備註 5mm*50*150mm鍍鋅鋼網 H=1550*W1900mm 片 7.0 2,950 20,650 ←上下卷圓 2"(60mm)*2.0mm鍍鋅鋼管 L=1650mm-圓底板 支 9.0 1,100 9,900 ←含沖孔焊上蓋含粉體烤漆材料價 配件A(4PCS/組) 60mm管用(含不銹鋼螺絲組) 組 7.0 240 1,680 配件B(2PCS/組) 組 4.0 150 600 配件C(8PC…（詳原文索引）</x:v>
      </x:c>
      <x:c r="S83" s="71" t="str">
        <x:v>marker：回傳；evidence：交貨地點:收貨人:&lt;/td&gt;&lt;/tr&gt;&lt;tr&gt;&lt;td colspan="7"&gt;5 單價自報價日起7天有效&lt;/td&gt;&lt;/tr&gt;&lt;tr&gt;&lt;td colspan="7"&gt;6 請確認簽章後回傳。&lt;/td&gt;&lt;/tr&gt;&lt;tr&gt;&lt;td colspan="8"&gt;&lt;匯款帳號&gt;戶名:三發製網股份有限公…（詳原文索引）</x:v>
      </x:c>
      <x:c r="T83" s="71" t="n">
        <x:v>21</x:v>
      </x:c>
      <x:c r="U83" s="71" t="n">
        <x:v>1</x:v>
      </x:c>
      <x:c r="V83" s="71" t="str">
        <x:v>已擷取</x:v>
      </x:c>
      <x:c r="W83" s="71" t="str"/>
      <x:c r="X83" s="71" t="str">
        <x:v>各廠商合約&amp; 報價\MD檔案\20260603 三發圍籬網 加運費.md</x:v>
      </x:c>
    </x:row>
    <x:row r="84">
      <x:c r="A84" s="69" t="str">
        <x:v>SRC080</x:v>
      </x:c>
      <x:c r="B84" s="69" t="str">
        <x:v>工程合約-補充協議書.md</x:v>
      </x:c>
      <x:c r="C84" s="69" t="str">
        <x:v>.md</x:v>
      </x:c>
      <x:c r="D84" s="69" t="str">
        <x:v>2024-02-27</x:v>
      </x:c>
      <x:c r="E84" s="69" t="str">
        <x:v>補充協議書</x:v>
      </x:c>
      <x:c r="F84" s="71" t="str">
        <x:v>永豐餘工程股份有限公司</x:v>
      </x:c>
      <x:c r="G84" s="71" t="str">
        <x:v>90057101</x:v>
      </x:c>
      <x:c r="H84" s="71" t="str">
        <x:v>文件明載</x:v>
      </x:c>
      <x:c r="I84" s="71" t="str">
        <x:v>苗栗縣竹南鎮中港里中正路423號 乙方：永豐餘工程股份有限公司 負責人：陳正陽 統一編號：80088415 ![](images/e39a965082fa62bb17ab52abc5080d6e675</x:v>
      </x:c>
      <x:c r="J84" s="70"/>
      <x:c r="K84" s="70"/>
      <x:c r="L84" s="70"/>
      <x:c r="M84" s="70"/>
      <x:c r="N84" s="70"/>
      <x:c r="O84" s="70"/>
      <x:c r="P84" s="70"/>
      <x:c r="Q84" s="70" t="str">
        <x:v>文件未載明</x:v>
      </x:c>
      <x:c r="R84" s="71" t="str">
        <x:v>source_section：15；text：為乙方承攬甲方「向上建設龍富段新建工程(112)栗商建後建字第00338號」，雙方於民國112年12月1日簽訂結構體工程合約，現就工程付款進度部分，經雙方協議變更，雙方同意後續工程付款之進度皆依本協議書所列之「向上建設龍富段新建工程-付款比例表-修正版」（詳附件）為準，另新增條款-營造施工人員如係非法聘僱，由乙方自行承擔責任，甲方不負連帶責任。；source_section：33；text：向上建設龍富段新建工程-付款比例表-修正版；source_s…（詳原文索引）</x:v>
      </x:c>
      <x:c r="S84" s="71" t="str">
        <x:v>修正</x:v>
      </x:c>
      <x:c r="T84" s="71" t="n">
        <x:v>0</x:v>
      </x:c>
      <x:c r="U84" s="71" t="n">
        <x:v>1</x:v>
      </x:c>
      <x:c r="V84" s="71" t="str">
        <x:v>已擷取文字與表格</x:v>
      </x:c>
      <x:c r="W84" s="71" t="str"/>
      <x:c r="X84" s="71" t="str">
        <x:v>各廠商合約&amp; 報價\MD檔案\工程合約-補充協議書.md</x:v>
      </x:c>
    </x:row>
    <x:row r="85">
      <x:c r="A85" s="69" t="str">
        <x:v>SRC081</x:v>
      </x:c>
      <x:c r="B85" s="69" t="str">
        <x:v>台灣菊水合約.md</x:v>
      </x:c>
      <x:c r="C85" s="69" t="str">
        <x:v>.md</x:v>
      </x:c>
      <x:c r="D85" s="69" t="str">
        <x:v>2024-08-14</x:v>
      </x:c>
      <x:c r="E85" s="69" t="str">
        <x:v>合約／報價</x:v>
      </x:c>
      <x:c r="F85" s="71" t="str">
        <x:v>台灣菊水股份有限公司</x:v>
      </x:c>
      <x:c r="G85" s="71" t="str">
        <x:v>42845001</x:v>
      </x:c>
      <x:c r="H85" s="71" t="str">
        <x:v>文件明載</x:v>
      </x:c>
      <x:c r="I85" s="71" t="str">
        <x:v>苗栗縣竹南鎮康德街71號 電話：037-775-355 傳真：無 乙方：台灣菊水股份有限 統編：42845001 ![](images/5e596f4b0eb24f064c150e7aa12ad059</x:v>
      </x:c>
      <x:c r="J85" s="70"/>
      <x:c r="K85" s="70" t="n">
        <x:v>5</x:v>
      </x:c>
      <x:c r="L85" s="70"/>
      <x:c r="M85" s="70"/>
      <x:c r="N85" s="70" t="n">
        <x:v>616950</x:v>
      </x:c>
      <x:c r="O85" s="70"/>
      <x:c r="P85" s="70" t="n">
        <x:v>616950</x:v>
      </x:c>
      <x:c r="Q85" s="70" t="str">
        <x:v>合約總額</x:v>
      </x:c>
      <x:c r="R85" s="71" t="str">
        <x:v>source_section：22；text：## 第五條 付款方式：；source_section：23；text：1. 本工程預付款為工程契約總價的30%，乙方應於簽約日後起算七個工作日內送達發票，甲方即於收到發票日後起算七個工作日內付款。；source_section：24；text：2. 本工程款的完工款為工程契約總價的 60%，乙方應於完工日後起算七個工作日內送達發票，甲方即於收到發票日後七個工作日內付款。；source_section：25；text：3. 本工程款的驗收款為工程契約…（詳原文索引）</x:v>
      </x:c>
      <x:c r="S85" s="71" t="str">
        <x:v>未標示</x:v>
      </x:c>
      <x:c r="T85" s="71" t="n">
        <x:v>0</x:v>
      </x:c>
      <x:c r="U85" s="71" t="n">
        <x:v>1</x:v>
      </x:c>
      <x:c r="V85" s="71" t="str">
        <x:v>已擷取文字與表格</x:v>
      </x:c>
      <x:c r="W85" s="71" t="str"/>
      <x:c r="X85" s="71" t="str">
        <x:v>各廠商合約&amp; 報價\MD檔案\台灣菊水合約.md</x:v>
      </x:c>
    </x:row>
    <x:row r="86">
      <x:c r="A86" s="69" t="str">
        <x:v>SRC082</x:v>
      </x:c>
      <x:c r="B86" s="69" t="str">
        <x:v>永豐餘工程合約.md</x:v>
      </x:c>
      <x:c r="C86" s="69" t="str">
        <x:v>.md</x:v>
      </x:c>
      <x:c r="D86" s="69" t="str">
        <x:v>2023-12-01</x:v>
      </x:c>
      <x:c r="E86" s="69" t="str">
        <x:v>工程標單</x:v>
      </x:c>
      <x:c r="F86" s="71" t="str">
        <x:v>永豐餘工程股份有限公司</x:v>
      </x:c>
      <x:c r="G86" s="71" t="str">
        <x:v>80088415</x:v>
      </x:c>
      <x:c r="H86" s="71" t="str">
        <x:v>文件明載</x:v>
      </x:c>
      <x:c r="I86" s="71" t="str">
        <x:v>文件未載明</x:v>
      </x:c>
      <x:c r="J86" s="70"/>
      <x:c r="K86" s="70"/>
      <x:c r="L86" s="70" t="n">
        <x:v>24150000</x:v>
      </x:c>
      <x:c r="M86" s="70"/>
      <x:c r="N86" s="70" t="n">
        <x:v>24150000</x:v>
      </x:c>
      <x:c r="O86" s="70"/>
      <x:c r="P86" s="70" t="n">
        <x:v>24150000</x:v>
      </x:c>
      <x:c r="Q86" s="70" t="str">
        <x:v>含稅／總計</x:v>
      </x:c>
      <x:c r="R86" s="71" t="str">
        <x:v>source_section：24；text：## 六、付款辦法：；source_section：26；text：(一)開工後，乙方依實際工作進度項目請款，依付款比例表(如附件)提出估驗計價表(須加蓋公司大小章)及施工照片請款，每期請款需先完成現場堪驗後(由甲方確認無誤)，於每月25日送請款文件予甲方，甲方核對無誤後，交由信託銀行或由向上建設(股)公司於下月5日前付款給付乙方之該期工程款，並匯入乙方帳戶。(付款方式：百分百為現金。)；source_section：27；text：(二)工程計價依…（詳原文索引）</x:v>
      </x:c>
      <x:c r="S86" s="71" t="str">
        <x:v>未標示</x:v>
      </x:c>
      <x:c r="T86" s="71" t="n">
        <x:v>0</x:v>
      </x:c>
      <x:c r="U86" s="71" t="n">
        <x:v>1</x:v>
      </x:c>
      <x:c r="V86" s="71" t="str">
        <x:v>已擷取文字與表格</x:v>
      </x:c>
      <x:c r="W86" s="71" t="str"/>
      <x:c r="X86" s="71" t="str">
        <x:v>各廠商合約&amp; 報價\MD檔案\永豐餘工程合約.md</x:v>
      </x:c>
    </x:row>
    <x:row r="87">
      <x:c r="A87" s="69" t="str">
        <x:v>SRC083</x:v>
      </x:c>
      <x:c r="B87" s="69" t="str">
        <x:v>向上A戶-S6 修改20250520.xls</x:v>
      </x:c>
      <x:c r="C87" s="69" t="str">
        <x:v>.xls</x:v>
      </x:c>
      <x:c r="D87" s="69" t="str">
        <x:v>文件未載明</x:v>
      </x:c>
      <x:c r="E87" s="69" t="str">
        <x:v>報價單</x:v>
      </x:c>
      <x:c r="F87" s="71" t="str">
        <x:v>曜陽廚具衛浴公司</x:v>
      </x:c>
      <x:c r="G87" s="71" t="str">
        <x:v>文件未載明</x:v>
      </x:c>
      <x:c r="H87" s="71" t="str">
        <x:v>文件未載明</x:v>
      </x:c>
      <x:c r="I87" s="71" t="str">
        <x:v>| | | 電話:</x:v>
      </x:c>
      <x:c r="J87" s="70"/>
      <x:c r="K87" s="70"/>
      <x:c r="L87" s="70"/>
      <x:c r="M87" s="70" t="n">
        <x:v>180000</x:v>
      </x:c>
      <x:c r="N87" s="70" t="n">
        <x:v>180000</x:v>
      </x:c>
      <x:c r="O87" s="70"/>
      <x:c r="P87" s="70" t="n">
        <x:v>180000</x:v>
      </x:c>
      <x:c r="Q87" s="70" t="str">
        <x:v>實收／協商價</x:v>
      </x:c>
      <x:c r="R87" s="71" t="str">
        <x:v>source_section：1；text：【工作表 Sheet1 第 1 列】 | 曜陽廚具衛浴公司 | | 店址：竹南鎮博愛街226號 | 【工作表 Sheet1 第 2 列】 | | | 電話：(037)467740 | 【工作表 Sheet1 第 3 列】45797 | | | 傳真：(037)469424 | 【工作表 Sheet1 第 4 列】 | 估 價 單 | | | 【工作表 Sheet1 第 5 列】客戶: 向上建設-A戶 | 地址: | | | 電話: 【工作表 Sheet…（詳原文索引）</x:v>
      </x:c>
      <x:c r="S87" s="71" t="str">
        <x:v>未標示</x:v>
      </x:c>
      <x:c r="T87" s="71" t="n">
        <x:v>0</x:v>
      </x:c>
      <x:c r="U87" s="71" t="n">
        <x:v>0</x:v>
      </x:c>
      <x:c r="V87" s="71" t="str">
        <x:v>已擷取文字與表格</x:v>
      </x:c>
      <x:c r="W87" s="71" t="str"/>
      <x:c r="X87" s="71" t="str">
        <x:v>各廠商合約&amp; 報價\MD檔案\向上A戶-S6 修改20250520.xls</x:v>
      </x:c>
    </x:row>
    <x:row r="88">
      <x:c r="A88" s="69" t="str">
        <x:v>SRC084</x:v>
      </x:c>
      <x:c r="B88" s="69" t="str">
        <x:v>向上B戶-S6 修20250520.xls</x:v>
      </x:c>
      <x:c r="C88" s="69" t="str">
        <x:v>.xls</x:v>
      </x:c>
      <x:c r="D88" s="69" t="str">
        <x:v>文件未載明</x:v>
      </x:c>
      <x:c r="E88" s="69" t="str">
        <x:v>報價單</x:v>
      </x:c>
      <x:c r="F88" s="71" t="str">
        <x:v>曜陽廚具衛浴公司</x:v>
      </x:c>
      <x:c r="G88" s="71" t="str">
        <x:v>文件未載明</x:v>
      </x:c>
      <x:c r="H88" s="71" t="str">
        <x:v>文件未載明</x:v>
      </x:c>
      <x:c r="I88" s="71" t="str">
        <x:v>| | | 電話:</x:v>
      </x:c>
      <x:c r="J88" s="70"/>
      <x:c r="K88" s="70"/>
      <x:c r="L88" s="70"/>
      <x:c r="M88" s="70" t="n">
        <x:v>152000</x:v>
      </x:c>
      <x:c r="N88" s="70" t="n">
        <x:v>152000</x:v>
      </x:c>
      <x:c r="O88" s="70"/>
      <x:c r="P88" s="70" t="n">
        <x:v>152000</x:v>
      </x:c>
      <x:c r="Q88" s="70" t="str">
        <x:v>實收／協商價</x:v>
      </x:c>
      <x:c r="R88" s="71" t="str">
        <x:v>source_section：1；text：【工作表 Sheet1 第 1 列】 | 曜陽廚具衛浴公司 | | 店址：竹南鎮博愛街226號 | 【工作表 Sheet1 第 2 列】 | | | 電話：(037)467740 | 【工作表 Sheet1 第 3 列】45797 | | | 傳真：(037)469424 | 【工作表 Sheet1 第 4 列】 | 估 價 單 | | | 【工作表 Sheet1 第 5 列】客戶: 向上建設-B戶 | 地址: | | | 電話: 【工作表 Sheet…（詳原文索引）</x:v>
      </x:c>
      <x:c r="S88" s="71" t="str">
        <x:v>未標示</x:v>
      </x:c>
      <x:c r="T88" s="71" t="n">
        <x:v>0</x:v>
      </x:c>
      <x:c r="U88" s="71" t="n">
        <x:v>0</x:v>
      </x:c>
      <x:c r="V88" s="71" t="str">
        <x:v>已擷取文字與表格</x:v>
      </x:c>
      <x:c r="W88" s="71" t="str"/>
      <x:c r="X88" s="71" t="str">
        <x:v>各廠商合約&amp; 報價\MD檔案\向上B戶-S6 修20250520.xls</x:v>
      </x:c>
    </x:row>
    <x:row r="89">
      <x:c r="A89" s="69" t="str">
        <x:v>SRC085</x:v>
      </x:c>
      <x:c r="B89" s="69" t="str">
        <x:v>向上B戶-S6 修改B戶3樓 客變20250520.xls</x:v>
      </x:c>
      <x:c r="C89" s="69" t="str">
        <x:v>.xls</x:v>
      </x:c>
      <x:c r="D89" s="69" t="str">
        <x:v>文件未載明</x:v>
      </x:c>
      <x:c r="E89" s="69" t="str">
        <x:v>報價單</x:v>
      </x:c>
      <x:c r="F89" s="71" t="str">
        <x:v>曜陽廚具衛浴公司</x:v>
      </x:c>
      <x:c r="G89" s="71" t="str">
        <x:v>文件未載明</x:v>
      </x:c>
      <x:c r="H89" s="71" t="str">
        <x:v>文件未載明</x:v>
      </x:c>
      <x:c r="I89" s="71" t="str">
        <x:v>苗栗縣後龍鎮新東路116號旁 | | | 電話:</x:v>
      </x:c>
      <x:c r="J89" s="70"/>
      <x:c r="K89" s="70"/>
      <x:c r="L89" s="70"/>
      <x:c r="M89" s="70" t="n">
        <x:v>164000</x:v>
      </x:c>
      <x:c r="N89" s="70" t="n">
        <x:v>164000</x:v>
      </x:c>
      <x:c r="O89" s="70"/>
      <x:c r="P89" s="70" t="n">
        <x:v>164000</x:v>
      </x:c>
      <x:c r="Q89" s="70" t="str">
        <x:v>實收／協商價</x:v>
      </x:c>
      <x:c r="R89" s="71" t="str">
        <x:v>source_section：1；text：【工作表 Sheet1 第 1 列】 | 曜陽廚具衛浴公司 | | 店址：竹南鎮博愛街226號 | 【工作表 Sheet1 第 2 列】 | | | 電話：(037)467740 | 【工作表 Sheet1 第 3 列】45797 | | | 傳真：(037)469424 | 【工作表 Sheet1 第 4 列】 | 估 價 單 | | | 【工作表 Sheet1 第 5 列】客戶: 向上建設-B戶3樓客變 | 地址:苗栗縣後龍鎮新東路116號旁 | …（詳原文索引）</x:v>
      </x:c>
      <x:c r="S89" s="71" t="str">
        <x:v>客變</x:v>
      </x:c>
      <x:c r="T89" s="71" t="n">
        <x:v>0</x:v>
      </x:c>
      <x:c r="U89" s="71" t="n">
        <x:v>0</x:v>
      </x:c>
      <x:c r="V89" s="71" t="str">
        <x:v>已擷取文字與表格</x:v>
      </x:c>
      <x:c r="W89" s="71" t="str"/>
      <x:c r="X89" s="71" t="str">
        <x:v>各廠商合約&amp; 報價\MD檔案\向上B戶-S6 修改B戶3樓 客變20250520.xls</x:v>
      </x:c>
    </x:row>
    <x:row r="90">
      <x:c r="A90" s="69" t="str">
        <x:v>SRC086</x:v>
      </x:c>
      <x:c r="B90" s="69" t="str">
        <x:v>信興水電工程標單.md</x:v>
      </x:c>
      <x:c r="C90" s="69" t="str">
        <x:v>.md</x:v>
      </x:c>
      <x:c r="D90" s="69" t="str">
        <x:v>文件未載明</x:v>
      </x:c>
      <x:c r="E90" s="69" t="str">
        <x:v>工程標單</x:v>
      </x:c>
      <x:c r="F90" s="71" t="str">
        <x:v>信興水電</x:v>
      </x:c>
      <x:c r="G90" s="71" t="str">
        <x:v>文件未載明</x:v>
      </x:c>
      <x:c r="H90" s="71" t="str">
        <x:v>文件未載明</x:v>
      </x:c>
      <x:c r="I90" s="71" t="str">
        <x:v>文件未載明</x:v>
      </x:c>
      <x:c r="J90" s="70"/>
      <x:c r="K90" s="70" t="n">
        <x:v>500000</x:v>
      </x:c>
      <x:c r="L90" s="70"/>
      <x:c r="M90" s="70"/>
      <x:c r="N90" s="70" t="n">
        <x:v>12</x:v>
      </x:c>
      <x:c r="O90" s="70"/>
      <x:c r="P90" s="70" t="n">
        <x:v>12</x:v>
      </x:c>
      <x:c r="Q90" s="70" t="str">
        <x:v>合約總額</x:v>
      </x:c>
      <x:c r="R90" s="71" t="str"/>
      <x:c r="S90" s="71" t="str">
        <x:v>未標示</x:v>
      </x:c>
      <x:c r="T90" s="71" t="n">
        <x:v>0</x:v>
      </x:c>
      <x:c r="U90" s="71" t="n">
        <x:v>1</x:v>
      </x:c>
      <x:c r="V90" s="71" t="str">
        <x:v>已擷取文字與表格</x:v>
      </x:c>
      <x:c r="W90" s="71" t="str"/>
      <x:c r="X90" s="71" t="str">
        <x:v>各廠商合約&amp; 報價\MD檔案\信興水電工程標單.md</x:v>
      </x:c>
    </x:row>
    <x:row r="91">
      <x:c r="A91" s="69" t="str">
        <x:v>SRC087</x:v>
      </x:c>
      <x:c r="B91" s="69" t="str">
        <x:v>崇友實業合約_升降設備安裝承攬合約書_.md</x:v>
      </x:c>
      <x:c r="C91" s="69" t="str">
        <x:v>.md</x:v>
      </x:c>
      <x:c r="D91" s="69" t="str">
        <x:v>文件未載明</x:v>
      </x:c>
      <x:c r="E91" s="69" t="str">
        <x:v>合約</x:v>
      </x:c>
      <x:c r="F91" s="71" t="str">
        <x:v>崇友實業股份有限公司新竹分公司</x:v>
      </x:c>
      <x:c r="G91" s="71" t="str">
        <x:v>90057101</x:v>
      </x:c>
      <x:c r="H91" s="71" t="str">
        <x:v>文件明載</x:v>
      </x:c>
      <x:c r="I91" s="71" t="str">
        <x:v>苗栗縣竹南鎮中港里中正路423號 統一編號：90057101 電話：037-775355 用印日期： 年 月 日 甲方連帶保證人： 負責 ![](images/3820d5cb1bd9168480da</x:v>
      </x:c>
      <x:c r="J91" s="70"/>
      <x:c r="K91" s="70" t="n">
        <x:v>1</x:v>
      </x:c>
      <x:c r="L91" s="70"/>
      <x:c r="M91" s="70"/>
      <x:c r="N91" s="70" t="n">
        <x:v>381000</x:v>
      </x:c>
      <x:c r="O91" s="70"/>
      <x:c r="P91" s="70" t="n">
        <x:v>381000</x:v>
      </x:c>
      <x:c r="Q91" s="70" t="str">
        <x:v>合約總額</x:v>
      </x:c>
      <x:c r="R91" s="71" t="str">
        <x:v>source_section：10；text：四條：付款辦法（以下各期金額均含加值型營業稅）：；source_section：11；text：1、安裝完成時給付新台幣貳拾伍萬肆仟元整（票期30天）。；source_section：12；text：2、交車驗收完成時給付，新台幣壹拾貳萬柒仟元整（票期30天）。；source_section：64；text：&lt;table&gt;&lt;tr&gt;&lt;td&gt;機號&lt;/td&gt;&lt;td&gt;機種&lt;/td&gt;&lt;td&gt;規格&lt;/td&gt;&lt;td&gt;單價&lt;/td&gt;&lt;td&gt;台數&lt;/td&gt;&lt;td&gt;總價…（詳原文索引）</x:v>
      </x:c>
      <x:c r="S91" s="71" t="str">
        <x:v>未標示</x:v>
      </x:c>
      <x:c r="T91" s="71" t="n">
        <x:v>0</x:v>
      </x:c>
      <x:c r="U91" s="71" t="n">
        <x:v>1</x:v>
      </x:c>
      <x:c r="V91" s="71" t="str">
        <x:v>已擷取文字與表格</x:v>
      </x:c>
      <x:c r="W91" s="71" t="str"/>
      <x:c r="X91" s="71" t="str">
        <x:v>各廠商合約&amp; 報價\MD檔案\崇友實業合約_升降設備安裝承攬合約書_.md</x:v>
      </x:c>
    </x:row>
    <x:row r="92">
      <x:c r="A92" s="69" t="str">
        <x:v>SRC088</x:v>
      </x:c>
      <x:c r="B92" s="69" t="str">
        <x:v>崇友實業合約_升降設備買賣合約書_.md</x:v>
      </x:c>
      <x:c r="C92" s="69" t="str">
        <x:v>.md</x:v>
      </x:c>
      <x:c r="D92" s="69" t="str">
        <x:v>文件未載明</x:v>
      </x:c>
      <x:c r="E92" s="69" t="str">
        <x:v>圖面／選色表</x:v>
      </x:c>
      <x:c r="F92" s="71" t="str">
        <x:v>崇友實業股份有限公司新竹分公司</x:v>
      </x:c>
      <x:c r="G92" s="71" t="str">
        <x:v>90057101</x:v>
      </x:c>
      <x:c r="H92" s="71" t="str">
        <x:v>文件明載</x:v>
      </x:c>
      <x:c r="I92" s="71" t="str">
        <x:v>苗栗縣竹南鎮中港里中正路423號 統一編號：90057101 電話：037-775355 用印日期： 年 月 日 甲方連帶保證人： 負責人： 地址 ![](images/0a5f4b09a363734</x:v>
      </x:c>
      <x:c r="J92" s="70"/>
      <x:c r="K92" s="70" t="n">
        <x:v>1</x:v>
      </x:c>
      <x:c r="L92" s="70"/>
      <x:c r="M92" s="70"/>
      <x:c r="N92" s="70" t="n">
        <x:v>889000</x:v>
      </x:c>
      <x:c r="O92" s="70"/>
      <x:c r="P92" s="70" t="n">
        <x:v>889000</x:v>
      </x:c>
      <x:c r="Q92" s="70" t="str">
        <x:v>合約總額</x:v>
      </x:c>
      <x:c r="R92" s="71" t="str">
        <x:v>source_section：6；text：第三條：付款辦法（以下各期金額均含加值型營業稅）：；source_section：7；text：1、第一期款：甲方於簽約時付訂金新台幣貳拾伍萬肆仟元整（票期30天）；source_section：8；text：2、第二期款：甲方應於貨抵工地時給付新台幣陸拾參萬伍仟元整（票期30天），；source_section：22；text：2、甲方未能按本合約第三條約定付款及如期兌現時，乙方得請求一次付清總價款或解除本合約，無條件取回已運抵工地之貨品或收回已安裝…（詳原文索引）</x:v>
      </x:c>
      <x:c r="S92" s="71" t="str">
        <x:v>未標示</x:v>
      </x:c>
      <x:c r="T92" s="71" t="n">
        <x:v>0</x:v>
      </x:c>
      <x:c r="U92" s="71" t="n">
        <x:v>1</x:v>
      </x:c>
      <x:c r="V92" s="71" t="str">
        <x:v>已擷取文字與表格</x:v>
      </x:c>
      <x:c r="W92" s="71" t="str"/>
      <x:c r="X92" s="71" t="str">
        <x:v>各廠商合約&amp; 報價\MD檔案\崇友實業合約_升降設備買賣合約書_.md</x:v>
      </x:c>
    </x:row>
    <x:row r="93">
      <x:c r="A93" s="69" t="str">
        <x:v>SRC089</x:v>
      </x:c>
      <x:c r="B93" s="69" t="str">
        <x:v>富謙工程合約 _泥座_.md</x:v>
      </x:c>
      <x:c r="C93" s="69" t="str">
        <x:v>.md</x:v>
      </x:c>
      <x:c r="D93" s="69" t="str">
        <x:v>2024-09-01</x:v>
      </x:c>
      <x:c r="E93" s="69" t="str">
        <x:v>工程標單</x:v>
      </x:c>
      <x:c r="F93" s="71" t="str">
        <x:v>富謙工程開發企業社</x:v>
      </x:c>
      <x:c r="G93" s="71" t="str">
        <x:v>文件未載明</x:v>
      </x:c>
      <x:c r="H93" s="71" t="str">
        <x:v>文件未載明</x:v>
      </x:c>
      <x:c r="I93" s="71" t="str">
        <x:v>文件未載明</x:v>
      </x:c>
      <x:c r="J93" s="70"/>
      <x:c r="K93" s="70"/>
      <x:c r="L93" s="70"/>
      <x:c r="M93" s="70"/>
      <x:c r="N93" s="70"/>
      <x:c r="O93" s="70"/>
      <x:c r="P93" s="70"/>
      <x:c r="Q93" s="70" t="str">
        <x:v>文件未載明</x:v>
      </x:c>
      <x:c r="R93" s="71" t="str">
        <x:v>source_section：19；text：## 第六條、付款辦法：；source_section：21；text：一、付款方式：；source_section：25；text：## 三、估驗請款：；source_section：26；text：（一）預付款：於估驗請款後十個工作日內付款。；source_section：27；text：（二）階段請款：在施工期間乙方應依甲方核實估驗請款後，後；source_section：31；text：四、全部工程經正式驗收合格，甲方應付清總工程款，於乙方開…（詳原文索引）</x:v>
      </x:c>
      <x:c r="S93" s="71" t="str">
        <x:v>未標示</x:v>
      </x:c>
      <x:c r="T93" s="71" t="n">
        <x:v>0</x:v>
      </x:c>
      <x:c r="U93" s="71" t="n">
        <x:v>1</x:v>
      </x:c>
      <x:c r="V93" s="71" t="str">
        <x:v>已擷取文字與表格</x:v>
      </x:c>
      <x:c r="W93" s="71" t="str"/>
      <x:c r="X93" s="71" t="str">
        <x:v>各廠商合約&amp; 報價\MD檔案\富謙工程合約 _泥座_.md</x:v>
      </x:c>
    </x:row>
    <x:row r="94">
      <x:c r="A94" s="69" t="str">
        <x:v>SRC090</x:v>
      </x:c>
      <x:c r="B94" s="69" t="str">
        <x:v>暖風機圖面.md</x:v>
      </x:c>
      <x:c r="C94" s="69" t="str">
        <x:v>.md</x:v>
      </x:c>
      <x:c r="D94" s="69" t="str">
        <x:v>文件未載明</x:v>
      </x:c>
      <x:c r="E94" s="69" t="str">
        <x:v>圖面／選色表</x:v>
      </x:c>
      <x:c r="F94" s="71" t="str">
        <x:v>文件未載明</x:v>
      </x:c>
      <x:c r="G94" s="71" t="str">
        <x:v>文件未載明</x:v>
      </x:c>
      <x:c r="H94" s="71" t="str">
        <x:v>文件未載明</x:v>
      </x:c>
      <x:c r="I94" s="71" t="str">
        <x:v>文件未載明</x:v>
      </x:c>
      <x:c r="J94" s="70"/>
      <x:c r="K94" s="70"/>
      <x:c r="L94" s="70"/>
      <x:c r="M94" s="70"/>
      <x:c r="N94" s="70"/>
      <x:c r="O94" s="70"/>
      <x:c r="P94" s="70"/>
      <x:c r="Q94" s="70" t="str">
        <x:v>文件未載明</x:v>
      </x:c>
      <x:c r="R94" s="71" t="str"/>
      <x:c r="S94" s="71" t="str">
        <x:v>未標示</x:v>
      </x:c>
      <x:c r="T94" s="71" t="n">
        <x:v>0</x:v>
      </x:c>
      <x:c r="U94" s="71" t="n">
        <x:v>1</x:v>
      </x:c>
      <x:c r="V94" s="71" t="str">
        <x:v>已擷取文字與表格</x:v>
      </x:c>
      <x:c r="W94" s="71" t="str"/>
      <x:c r="X94" s="71" t="str">
        <x:v>各廠商合約&amp; 報價\MD檔案\暖風機圖面.md</x:v>
      </x:c>
    </x:row>
    <x:row r="95">
      <x:c r="A95" s="69" t="str">
        <x:v>SRC091</x:v>
      </x:c>
      <x:c r="B95" s="69" t="str">
        <x:v>電梯.md</x:v>
      </x:c>
      <x:c r="C95" s="69" t="str">
        <x:v>.md</x:v>
      </x:c>
      <x:c r="D95" s="69" t="str">
        <x:v>2024-02-23</x:v>
      </x:c>
      <x:c r="E95" s="69" t="str">
        <x:v>圖面／選色表</x:v>
      </x:c>
      <x:c r="F95" s="71" t="str">
        <x:v>文件未載明</x:v>
      </x:c>
      <x:c r="G95" s="71" t="str">
        <x:v>文件未載明</x:v>
      </x:c>
      <x:c r="H95" s="71" t="str">
        <x:v>文件未載明</x:v>
      </x:c>
      <x:c r="I95" s="71" t="str">
        <x:v>文件未載明</x:v>
      </x:c>
      <x:c r="J95" s="70"/>
      <x:c r="K95" s="70"/>
      <x:c r="L95" s="70"/>
      <x:c r="M95" s="70"/>
      <x:c r="N95" s="70"/>
      <x:c r="O95" s="70"/>
      <x:c r="P95" s="70"/>
      <x:c r="Q95" s="70" t="str">
        <x:v>文件未載明</x:v>
      </x:c>
      <x:c r="R95" s="71" t="str"/>
      <x:c r="S95" s="71" t="str">
        <x:v>未標示</x:v>
      </x:c>
      <x:c r="T95" s="71" t="n">
        <x:v>0</x:v>
      </x:c>
      <x:c r="U95" s="71" t="n">
        <x:v>1</x:v>
      </x:c>
      <x:c r="V95" s="71" t="str">
        <x:v>已擷取文字與表格</x:v>
      </x:c>
      <x:c r="W95" s="71" t="str"/>
      <x:c r="X95" s="71" t="str">
        <x:v>各廠商合約&amp; 報價\MD檔案\電梯.md</x:v>
      </x:c>
    </x:row>
    <x:row r="96">
      <x:c r="A96" s="69" t="str">
        <x:v>SRC092</x:v>
      </x:c>
      <x:c r="B96" s="69" t="str">
        <x:v>磁磚廠商預抓費用.jpg</x:v>
      </x:c>
      <x:c r="C96" s="69" t="str">
        <x:v>.jpg</x:v>
      </x:c>
      <x:c r="D96" s="69" t="str">
        <x:v>文件未載明</x:v>
      </x:c>
      <x:c r="E96" s="69" t="str">
        <x:v>影像／待人工確認</x:v>
      </x:c>
      <x:c r="F96" s="71" t="str">
        <x:v>文件未載明</x:v>
      </x:c>
      <x:c r="G96" s="71" t="str">
        <x:v>文件未載明</x:v>
      </x:c>
      <x:c r="H96" s="71" t="str">
        <x:v>文件未載明</x:v>
      </x:c>
      <x:c r="I96" s="71" t="str">
        <x:v>文件未載明</x:v>
      </x:c>
      <x:c r="J96" s="70"/>
      <x:c r="K96" s="70"/>
      <x:c r="L96" s="70"/>
      <x:c r="M96" s="70"/>
      <x:c r="N96" s="70"/>
      <x:c r="O96" s="70"/>
      <x:c r="P96" s="70"/>
      <x:c r="Q96" s="70" t="str">
        <x:v>文件未載明</x:v>
      </x:c>
      <x:c r="R96" s="71" t="str"/>
      <x:c r="S96" s="71" t="str">
        <x:v>未標示</x:v>
      </x:c>
      <x:c r="T96" s="71" t="n">
        <x:v>0</x:v>
      </x:c>
      <x:c r="U96" s="71" t="n">
        <x:v>0</x:v>
      </x:c>
      <x:c r="V96" s="71" t="str">
        <x:v>待人工確認</x:v>
      </x:c>
      <x:c r="W96" s="71" t="str">
        <x:v>影像檔未進行內容猜測。</x:v>
      </x:c>
      <x:c r="X96" s="71" t="str">
        <x:v>各廠商合約&amp; 報價\MD檔案\磁磚廠商預抓費用.jpg</x:v>
      </x:c>
    </x:row>
    <x:row r="97">
      <x:c r="A97" s="69" t="str">
        <x:v>SRC093</x:v>
      </x:c>
      <x:c r="B97" s="69" t="str">
        <x:v>興吉發工程合約 _隔音墊_.md</x:v>
      </x:c>
      <x:c r="C97" s="69" t="str">
        <x:v>.md</x:v>
      </x:c>
      <x:c r="D97" s="69" t="str">
        <x:v>2024-08-06</x:v>
      </x:c>
      <x:c r="E97" s="69" t="str">
        <x:v>合約</x:v>
      </x:c>
      <x:c r="F97" s="71" t="str">
        <x:v>興吉發科技建材有限公司</x:v>
      </x:c>
      <x:c r="G97" s="71" t="str">
        <x:v>83464309</x:v>
      </x:c>
      <x:c r="H97" s="71" t="str">
        <x:v>文件明載</x:v>
      </x:c>
      <x:c r="I97" s="71" t="str">
        <x:v>&lt;/td&gt;&lt;td&gt;苗栗縣竹南鎮康德街71號&lt;/td&gt;&lt;td&gt;公司地址&lt;/td&gt;&lt;td&gt;台北市中山區華陰街24巷3號1樓&lt;/td&gt;&lt;/tr&gt;&lt;tr&gt;&lt;td&gt;公司電話&lt;/td&gt;&lt;td&gt;03-777-535</x:v>
      </x:c>
      <x:c r="J97" s="70"/>
      <x:c r="K97" s="70"/>
      <x:c r="L97" s="70"/>
      <x:c r="M97" s="70"/>
      <x:c r="N97" s="70"/>
      <x:c r="O97" s="70"/>
      <x:c r="P97" s="70"/>
      <x:c r="Q97" s="70" t="str">
        <x:v>文件未載明</x:v>
      </x:c>
      <x:c r="R97" s="71" t="str">
        <x:v>source_section：27；text：## 四、付款方式：；source_section：29；text：2. 工程款：安裝完成(逐次)支付總價之70% 新台幣：293,998元整含稅(票期30天)；source_section：30；text：每階段施工完畢，經由甲方點收確認無誤後，方可提供發票於甲方請款。最後一期工程款請款前，乙方提供完工款發票時，須一併提供內政部核准的檢測單位屏科大試驗報告。；source_section：31；text：3. 保留款: 總價之 $10 \%$ 新台…（詳原文索引）</x:v>
      </x:c>
      <x:c r="S97" s="71" t="str">
        <x:v>未標示</x:v>
      </x:c>
      <x:c r="T97" s="71" t="n">
        <x:v>0</x:v>
      </x:c>
      <x:c r="U97" s="71" t="n">
        <x:v>1</x:v>
      </x:c>
      <x:c r="V97" s="71" t="str">
        <x:v>已擷取文字與表格</x:v>
      </x:c>
      <x:c r="W97" s="71" t="str"/>
      <x:c r="X97" s="71" t="str">
        <x:v>各廠商合約&amp; 報價\MD檔案\興吉發工程合約 _隔音墊_.md</x:v>
      </x:c>
    </x:row>
  </x:sheetData>
  <x:mergeCells>
    <x:mergeCell ref="A1:X2"/>
    <x:mergeCell ref="A3:X3"/>
  </x:mergeCells>
  <x:conditionalFormatting sqref="H5:H97">
    <x:cfRule type="containsText" dxfId="0" priority="1" operator="containsText" text="文件未載明"/>
  </x:conditionalFormatting>
  <x:pageMargins left="0.7" right="0.7" top="0.75" bottom="0.75" header="0.3" footer="0.3"/>
  <x:tableParts count="1">
    <x:tablePart xmlns:r="http://schemas.openxmlformats.org/officeDocument/2006/relationships" r:id="Rd706dc3d0596431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8.130000114440918" hidden="0" customWidth="1"/>
    <x:col min="3" max="3" width="12.5" hidden="0" customWidth="1"/>
    <x:col min="4" max="4" width="11.25" hidden="0" customWidth="1"/>
    <x:col min="5" max="5" width="8.75" hidden="0" customWidth="1"/>
    <x:col min="6" max="6" width="22.5" hidden="0" customWidth="1"/>
    <x:col min="7" max="7" width="27.5" hidden="0" customWidth="1"/>
    <x:col min="8" max="8" width="7.5" hidden="0" customWidth="1"/>
    <x:col min="9" max="9" width="8.75" hidden="0" customWidth="1"/>
    <x:col min="10" max="10" width="13.130000114440918" hidden="0" customWidth="1"/>
    <x:col min="11" max="11" width="11.880000114440918" hidden="0" customWidth="1"/>
    <x:col min="12" max="12" width="13.130000114440918" hidden="0" customWidth="1"/>
    <x:col min="13" max="13" width="13.130000114440918" hidden="0" customWidth="1"/>
    <x:col min="14" max="14" width="13.130000114440918" hidden="0" customWidth="1"/>
    <x:col min="15" max="15" width="22.5" hidden="0" customWidth="1"/>
    <x:col min="16" max="16" width="14.380000114440918" hidden="0" customWidth="1"/>
    <x:col min="17" max="17" width="50" hidden="0" customWidth="1"/>
    <x:col min="18" max="18" width="45" hidden="0" customWidth="1"/>
  </x:cols>
  <x:sheetData>
    <x:row r="1" ht="28" customHeight="1">
      <x:c r="A1" s="3" t="str">
        <x:v>預算明細｜保留所有原始表格列</x:v>
      </x:c>
      <x:c r="B1" s="3" t="str">
        <x:v>預算明細｜保留所有原始表格列</x:v>
      </x:c>
      <x:c r="C1" s="3" t="str">
        <x:v>預算明細｜保留所有原始表格列</x:v>
      </x:c>
      <x:c r="D1" s="3" t="str">
        <x:v>預算明細｜保留所有原始表格列</x:v>
      </x:c>
      <x:c r="E1" s="3" t="str">
        <x:v>預算明細｜保留所有原始表格列</x:v>
      </x:c>
      <x:c r="F1" s="3" t="str">
        <x:v>預算明細｜保留所有原始表格列</x:v>
      </x:c>
      <x:c r="G1" s="3" t="str">
        <x:v>預算明細｜保留所有原始表格列</x:v>
      </x:c>
      <x:c r="H1" s="3" t="str">
        <x:v>預算明細｜保留所有原始表格列</x:v>
      </x:c>
      <x:c r="I1" s="3" t="str">
        <x:v>預算明細｜保留所有原始表格列</x:v>
      </x:c>
      <x:c r="J1" s="3" t="str">
        <x:v>預算明細｜保留所有原始表格列</x:v>
      </x:c>
      <x:c r="K1" s="3" t="str">
        <x:v>預算明細｜保留所有原始表格列</x:v>
      </x:c>
      <x:c r="L1" s="3" t="str">
        <x:v>預算明細｜保留所有原始表格列</x:v>
      </x:c>
      <x:c r="M1" s="3" t="str">
        <x:v>預算明細｜保留所有原始表格列</x:v>
      </x:c>
      <x:c r="N1" s="3" t="str">
        <x:v>預算明細｜保留所有原始表格列</x:v>
      </x:c>
      <x:c r="O1" s="3" t="str">
        <x:v>預算明細｜保留所有原始表格列</x:v>
      </x:c>
      <x:c r="P1" s="3" t="str">
        <x:v>預算明細｜保留所有原始表格列</x:v>
      </x:c>
      <x:c r="Q1" s="3" t="str">
        <x:v>預算明細｜保留所有原始表格列</x:v>
      </x:c>
      <x:c r="R1" s="3" t="str">
        <x:v>預算明細｜保留所有原始表格列</x:v>
      </x:c>
    </x:row>
    <x:row r="2" ht="28" customHeight="1">
      <x:c r="A2" s="3" t="str">
        <x:v>預算明細｜保留所有原始表格列</x:v>
      </x:c>
      <x:c r="B2" s="3" t="str">
        <x:v>預算明細｜保留所有原始表格列</x:v>
      </x:c>
      <x:c r="C2" s="3" t="str">
        <x:v>預算明細｜保留所有原始表格列</x:v>
      </x:c>
      <x:c r="D2" s="3" t="str">
        <x:v>預算明細｜保留所有原始表格列</x:v>
      </x:c>
      <x:c r="E2" s="3" t="str">
        <x:v>預算明細｜保留所有原始表格列</x:v>
      </x:c>
      <x:c r="F2" s="3" t="str">
        <x:v>預算明細｜保留所有原始表格列</x:v>
      </x:c>
      <x:c r="G2" s="3" t="str">
        <x:v>預算明細｜保留所有原始表格列</x:v>
      </x:c>
      <x:c r="H2" s="3" t="str">
        <x:v>預算明細｜保留所有原始表格列</x:v>
      </x:c>
      <x:c r="I2" s="3" t="str">
        <x:v>預算明細｜保留所有原始表格列</x:v>
      </x:c>
      <x:c r="J2" s="3" t="str">
        <x:v>預算明細｜保留所有原始表格列</x:v>
      </x:c>
      <x:c r="K2" s="3" t="str">
        <x:v>預算明細｜保留所有原始表格列</x:v>
      </x:c>
      <x:c r="L2" s="3" t="str">
        <x:v>預算明細｜保留所有原始表格列</x:v>
      </x:c>
      <x:c r="M2" s="3" t="str">
        <x:v>預算明細｜保留所有原始表格列</x:v>
      </x:c>
      <x:c r="N2" s="3" t="str">
        <x:v>預算明細｜保留所有原始表格列</x:v>
      </x:c>
      <x:c r="O2" s="3" t="str">
        <x:v>預算明細｜保留所有原始表格列</x:v>
      </x:c>
      <x:c r="P2" s="3" t="str">
        <x:v>預算明細｜保留所有原始表格列</x:v>
      </x:c>
      <x:c r="Q2" s="3" t="str">
        <x:v>預算明細｜保留所有原始表格列</x:v>
      </x:c>
      <x:c r="R2" s="3" t="str">
        <x:v>預算明細｜保留所有原始表格列</x:v>
      </x:c>
    </x:row>
    <x:row r="3">
      <x:c r="A3" s="60" t="str">
        <x:v>本頁保留所有原始表格列，不以數量 × 單價回推金額。超長單列以「詳原文索引」縮寫，全文另於原文索引保留；請用「列類型」篩選。</x:v>
      </x:c>
      <x:c r="B3" s="60" t="str">
        <x:v>本頁保留所有原始表格列，不以數量 × 單價回推金額。超長單列以「詳原文索引」縮寫，全文另於原文索引保留；請用「列類型」篩選。</x:v>
      </x:c>
      <x:c r="C3" s="60" t="str">
        <x:v>本頁保留所有原始表格列，不以數量 × 單價回推金額。超長單列以「詳原文索引」縮寫，全文另於原文索引保留；請用「列類型」篩選。</x:v>
      </x:c>
      <x:c r="D3" s="60" t="str">
        <x:v>本頁保留所有原始表格列，不以數量 × 單價回推金額。超長單列以「詳原文索引」縮寫，全文另於原文索引保留；請用「列類型」篩選。</x:v>
      </x:c>
      <x:c r="E3" s="60" t="str">
        <x:v>本頁保留所有原始表格列，不以數量 × 單價回推金額。超長單列以「詳原文索引」縮寫，全文另於原文索引保留；請用「列類型」篩選。</x:v>
      </x:c>
      <x:c r="F3" s="60" t="str">
        <x:v>本頁保留所有原始表格列，不以數量 × 單價回推金額。超長單列以「詳原文索引」縮寫，全文另於原文索引保留；請用「列類型」篩選。</x:v>
      </x:c>
      <x:c r="G3" s="60" t="str">
        <x:v>本頁保留所有原始表格列，不以數量 × 單價回推金額。超長單列以「詳原文索引」縮寫，全文另於原文索引保留；請用「列類型」篩選。</x:v>
      </x:c>
      <x:c r="H3" s="60" t="str">
        <x:v>本頁保留所有原始表格列，不以數量 × 單價回推金額。超長單列以「詳原文索引」縮寫，全文另於原文索引保留；請用「列類型」篩選。</x:v>
      </x:c>
      <x:c r="I3" s="60" t="str">
        <x:v>本頁保留所有原始表格列，不以數量 × 單價回推金額。超長單列以「詳原文索引」縮寫，全文另於原文索引保留；請用「列類型」篩選。</x:v>
      </x:c>
      <x:c r="J3" s="60" t="str">
        <x:v>本頁保留所有原始表格列，不以數量 × 單價回推金額。超長單列以「詳原文索引」縮寫，全文另於原文索引保留；請用「列類型」篩選。</x:v>
      </x:c>
      <x:c r="K3" s="60" t="str">
        <x:v>本頁保留所有原始表格列，不以數量 × 單價回推金額。超長單列以「詳原文索引」縮寫，全文另於原文索引保留；請用「列類型」篩選。</x:v>
      </x:c>
      <x:c r="L3" s="60" t="str">
        <x:v>本頁保留所有原始表格列，不以數量 × 單價回推金額。超長單列以「詳原文索引」縮寫，全文另於原文索引保留；請用「列類型」篩選。</x:v>
      </x:c>
      <x:c r="M3" s="60" t="str">
        <x:v>本頁保留所有原始表格列，不以數量 × 單價回推金額。超長單列以「詳原文索引」縮寫，全文另於原文索引保留；請用「列類型」篩選。</x:v>
      </x:c>
      <x:c r="N3" s="60" t="str">
        <x:v>本頁保留所有原始表格列，不以數量 × 單價回推金額。超長單列以「詳原文索引」縮寫，全文另於原文索引保留；請用「列類型」篩選。</x:v>
      </x:c>
      <x:c r="O3" s="60" t="str">
        <x:v>本頁保留所有原始表格列，不以數量 × 單價回推金額。超長單列以「詳原文索引」縮寫，全文另於原文索引保留；請用「列類型」篩選。</x:v>
      </x:c>
      <x:c r="P3" s="60" t="str">
        <x:v>本頁保留所有原始表格列，不以數量 × 單價回推金額。超長單列以「詳原文索引」縮寫，全文另於原文索引保留；請用「列類型」篩選。</x:v>
      </x:c>
      <x:c r="Q3" s="60" t="str">
        <x:v>本頁保留所有原始表格列，不以數量 × 單價回推金額。超長單列以「詳原文索引」縮寫，全文另於原文索引保留；請用「列類型」篩選。</x:v>
      </x:c>
      <x:c r="R3" s="60" t="str">
        <x:v>本頁保留所有原始表格列，不以數量 × 單價回推金額。超長單列以「詳原文索引」縮寫，全文另於原文索引保留；請用「列類型」篩選。</x:v>
      </x:c>
    </x:row>
    <x:row r="4">
      <x:c r="A4" s="66" t="str">
        <x:v>明細ID</x:v>
      </x:c>
      <x:c r="B4" s="66" t="str">
        <x:v>來源ID</x:v>
      </x:c>
      <x:c r="C4" s="66" t="str">
        <x:v>批次</x:v>
      </x:c>
      <x:c r="D4" s="66" t="str">
        <x:v>列類型</x:v>
      </x:c>
      <x:c r="E4" s="66" t="str">
        <x:v>項次</x:v>
      </x:c>
      <x:c r="F4" s="66" t="str">
        <x:v>品項</x:v>
      </x:c>
      <x:c r="G4" s="66" t="str">
        <x:v>規格／說明</x:v>
      </x:c>
      <x:c r="H4" s="66" t="str">
        <x:v>單位</x:v>
      </x:c>
      <x:c r="I4" s="66" t="str">
        <x:v>數量</x:v>
      </x:c>
      <x:c r="J4" s="66" t="str">
        <x:v>原始數量文字</x:v>
      </x:c>
      <x:c r="K4" s="66" t="str">
        <x:v>單價</x:v>
      </x:c>
      <x:c r="L4" s="66" t="str">
        <x:v>原始單價文字</x:v>
      </x:c>
      <x:c r="M4" s="66" t="str">
        <x:v>金額</x:v>
      </x:c>
      <x:c r="N4" s="66" t="str">
        <x:v>原始金額文字</x:v>
      </x:c>
      <x:c r="O4" s="66" t="str">
        <x:v>備註／擷取狀態</x:v>
      </x:c>
      <x:c r="P4" s="66" t="str">
        <x:v>表格／段落位置</x:v>
      </x:c>
      <x:c r="Q4" s="66" t="str">
        <x:v>原始列內容</x:v>
      </x:c>
      <x:c r="R4" s="66" t="str">
        <x:v>來源路徑</x:v>
      </x:c>
    </x:row>
    <x:row r="5">
      <x:c r="A5" s="69" t="str">
        <x:v>ITEM00001</x:v>
      </x:c>
      <x:c r="B5" s="69" t="str">
        <x:v>SRC002</x:v>
      </x:c>
      <x:c r="C5" s="69" t="str">
        <x:v>2023-2024</x:v>
      </x:c>
      <x:c r="D5" s="69" t="str">
        <x:v>note_or_description</x:v>
      </x:c>
      <x:c r="E5" s="69" t="str">
        <x:v>MD2023_2024_001-T01R003</x:v>
      </x:c>
      <x:c r="F5" s="71" t="str">
        <x:v>聯絡人:洪建豪先生</x:v>
      </x:c>
      <x:c r="G5" s="71" t="str">
        <x:v>文件未載明</x:v>
      </x:c>
      <x:c r="H5" s="71" t="str">
        <x:v>文件未載明</x:v>
      </x:c>
      <x:c r="I5" s="72"/>
      <x:c r="J5" s="69" t="str">
        <x:v>文件未載明</x:v>
      </x:c>
      <x:c r="K5" s="70"/>
      <x:c r="L5" s="69" t="str">
        <x:v>文件未載明</x:v>
      </x:c>
      <x:c r="M5" s="70"/>
      <x:c r="N5" s="69" t="str">
        <x:v>文件未載明</x:v>
      </x:c>
      <x:c r="O5" s="71" t="str">
        <x:v>來源表頭對應</x:v>
      </x:c>
      <x:c r="P5" s="71" t="str">
        <x:v>HTML表格1／列3</x:v>
      </x:c>
      <x:c r="Q5" s="71" t="str">
        <x:v>聯絡人:洪建豪先生 | 聯絡人:洪建豪先生 | 聯絡人:洪建豪先生 | 傳真: | 傳真: | 傳真: | 傳真: | | | | |</x:v>
      </x:c>
      <x:c r="R5" s="71" t="str">
        <x:v>各廠商合約&amp; 報價\MD檔案\20230424 TOTO衛浴.md</x:v>
      </x:c>
    </x:row>
    <x:row r="6">
      <x:c r="A6" s="69" t="str">
        <x:v>ITEM00002</x:v>
      </x:c>
      <x:c r="B6" s="69" t="str">
        <x:v>SRC002</x:v>
      </x:c>
      <x:c r="C6" s="69" t="str">
        <x:v>2023-2024</x:v>
      </x:c>
      <x:c r="D6" s="69" t="str">
        <x:v>note_or_description</x:v>
      </x:c>
      <x:c r="E6" s="69" t="str">
        <x:v>MD2023_2024_001-T01R004</x:v>
      </x:c>
      <x:c r="F6" s="71" t="str">
        <x:v>項次</x:v>
      </x:c>
      <x:c r="G6" s="71" t="str">
        <x:v>文件未載明</x:v>
      </x:c>
      <x:c r="H6" s="71" t="str">
        <x:v>文件未載明</x:v>
      </x:c>
      <x:c r="I6" s="72"/>
      <x:c r="J6" s="69" t="str">
        <x:v>文件未載明</x:v>
      </x:c>
      <x:c r="K6" s="70"/>
      <x:c r="L6" s="69" t="str">
        <x:v>文件未載明</x:v>
      </x:c>
      <x:c r="M6" s="70"/>
      <x:c r="N6" s="69" t="str">
        <x:v>文件未載明</x:v>
      </x:c>
      <x:c r="O6" s="71" t="str">
        <x:v>來源表頭對應</x:v>
      </x:c>
      <x:c r="P6" s="71" t="str">
        <x:v>HTML表格1／列4</x:v>
      </x:c>
      <x:c r="Q6" s="71" t="str">
        <x:v>項次 | 品名 | 規格 | 數量 | 單價 | 金額 | 備註 | | | | |</x:v>
      </x:c>
      <x:c r="R6" s="71" t="str">
        <x:v>各廠商合約&amp; 報價\MD檔案\20230424 TOTO衛浴.md</x:v>
      </x:c>
    </x:row>
    <x:row r="7">
      <x:c r="A7" s="69" t="str">
        <x:v>ITEM00003</x:v>
      </x:c>
      <x:c r="B7" s="69" t="str">
        <x:v>SRC002</x:v>
      </x:c>
      <x:c r="C7" s="69" t="str">
        <x:v>2023-2024</x:v>
      </x:c>
      <x:c r="D7" s="69" t="str">
        <x:v>line_item</x:v>
      </x:c>
      <x:c r="E7" s="69" t="str">
        <x:v>MD2023_2024_001-T01R005</x:v>
      </x:c>
      <x:c r="F7" s="71" t="str">
        <x:v>1</x:v>
      </x:c>
      <x:c r="G7" s="71" t="str">
        <x:v>文件未載明</x:v>
      </x:c>
      <x:c r="H7" s="71" t="str">
        <x:v>文件未載明</x:v>
      </x:c>
      <x:c r="I7" s="72"/>
      <x:c r="J7" s="69" t="str">
        <x:v>文件未載明</x:v>
      </x:c>
      <x:c r="K7" s="70"/>
      <x:c r="L7" s="69" t="str">
        <x:v>文件未載明</x:v>
      </x:c>
      <x:c r="M7" s="70"/>
      <x:c r="N7" s="69" t="str">
        <x:v>文件未載明</x:v>
      </x:c>
      <x:c r="O7" s="71" t="str">
        <x:v>來源表頭對應</x:v>
      </x:c>
      <x:c r="P7" s="71" t="str">
        <x:v>HTML表格1／列5</x:v>
      </x:c>
      <x:c r="Q7" s="71" t="str">
        <x:v>1 | 單體馬桶 | CW288SGUR | 11 | 13,620 | 149,820 | | | | | |</x:v>
      </x:c>
      <x:c r="R7" s="71" t="str">
        <x:v>各廠商合約&amp; 報價\MD檔案\20230424 TOTO衛浴.md</x:v>
      </x:c>
    </x:row>
    <x:row r="8">
      <x:c r="A8" s="69" t="str">
        <x:v>ITEM00004</x:v>
      </x:c>
      <x:c r="B8" s="69" t="str">
        <x:v>SRC002</x:v>
      </x:c>
      <x:c r="C8" s="69" t="str">
        <x:v>2023-2024</x:v>
      </x:c>
      <x:c r="D8" s="69" t="str">
        <x:v>line_item</x:v>
      </x:c>
      <x:c r="E8" s="69" t="str">
        <x:v>MD2023_2024_001-T01R006</x:v>
      </x:c>
      <x:c r="F8" s="71" t="str">
        <x:v>2</x:v>
      </x:c>
      <x:c r="G8" s="71" t="str">
        <x:v>文件未載明</x:v>
      </x:c>
      <x:c r="H8" s="71" t="str">
        <x:v>文件未載明</x:v>
      </x:c>
      <x:c r="I8" s="72"/>
      <x:c r="J8" s="69" t="str">
        <x:v>文件未載明</x:v>
      </x:c>
      <x:c r="K8" s="70"/>
      <x:c r="L8" s="69" t="str">
        <x:v>文件未載明</x:v>
      </x:c>
      <x:c r="M8" s="70"/>
      <x:c r="N8" s="69" t="str">
        <x:v>文件未載明</x:v>
      </x:c>
      <x:c r="O8" s="71" t="str">
        <x:v>來源表頭對應</x:v>
      </x:c>
      <x:c r="P8" s="71" t="str">
        <x:v>HTML表格1／列6</x:v>
      </x:c>
      <x:c r="Q8" s="71" t="str">
        <x:v>2 | 單體馬桶 | CW889CDRTW | 11 | 12,300 | 135,300 | | | | | |</x:v>
      </x:c>
      <x:c r="R8" s="71" t="str">
        <x:v>各廠商合約&amp; 報價\MD檔案\20230424 TOTO衛浴.md</x:v>
      </x:c>
    </x:row>
    <x:row r="9">
      <x:c r="A9" s="69" t="str">
        <x:v>ITEM00005</x:v>
      </x:c>
      <x:c r="B9" s="69" t="str">
        <x:v>SRC002</x:v>
      </x:c>
      <x:c r="C9" s="69" t="str">
        <x:v>2023-2024</x:v>
      </x:c>
      <x:c r="D9" s="69" t="str">
        <x:v>line_item</x:v>
      </x:c>
      <x:c r="E9" s="69" t="str">
        <x:v>MD2023_2024_001-T01R007</x:v>
      </x:c>
      <x:c r="F9" s="71" t="str">
        <x:v>3</x:v>
      </x:c>
      <x:c r="G9" s="71" t="str">
        <x:v>文件未載明</x:v>
      </x:c>
      <x:c r="H9" s="71" t="str">
        <x:v>文件未載明</x:v>
      </x:c>
      <x:c r="I9" s="72"/>
      <x:c r="J9" s="69" t="str">
        <x:v>文件未載明</x:v>
      </x:c>
      <x:c r="K9" s="70"/>
      <x:c r="L9" s="69" t="str">
        <x:v>文件未載明</x:v>
      </x:c>
      <x:c r="M9" s="70"/>
      <x:c r="N9" s="69" t="str">
        <x:v>文件未載明</x:v>
      </x:c>
      <x:c r="O9" s="71" t="str">
        <x:v>來源表頭對應</x:v>
      </x:c>
      <x:c r="P9" s="71" t="str">
        <x:v>HTML表格1／列7</x:v>
      </x:c>
      <x:c r="Q9" s="71" t="str">
        <x:v>3 | 溫水洗淨便座 | TCF4911ETR | 11 | 31,410 | 345,510 | 特惠價 | | | | |</x:v>
      </x:c>
      <x:c r="R9" s="71" t="str">
        <x:v>各廠商合約&amp; 報價\MD檔案\20230424 TOTO衛浴.md</x:v>
      </x:c>
    </x:row>
    <x:row r="10">
      <x:c r="A10" s="69" t="str">
        <x:v>ITEM00006</x:v>
      </x:c>
      <x:c r="B10" s="69" t="str">
        <x:v>SRC002</x:v>
      </x:c>
      <x:c r="C10" s="69" t="str">
        <x:v>2023-2024</x:v>
      </x:c>
      <x:c r="D10" s="69" t="str">
        <x:v>line_item</x:v>
      </x:c>
      <x:c r="E10" s="69" t="str">
        <x:v>MD2023_2024_001-T01R008</x:v>
      </x:c>
      <x:c r="F10" s="71" t="str">
        <x:v>4</x:v>
      </x:c>
      <x:c r="G10" s="71" t="str">
        <x:v>文件未載明</x:v>
      </x:c>
      <x:c r="H10" s="71" t="str">
        <x:v>文件未載明</x:v>
      </x:c>
      <x:c r="I10" s="72"/>
      <x:c r="J10" s="69" t="str">
        <x:v>文件未載明</x:v>
      </x:c>
      <x:c r="K10" s="70"/>
      <x:c r="L10" s="69" t="str">
        <x:v>文件未載明</x:v>
      </x:c>
      <x:c r="M10" s="70"/>
      <x:c r="N10" s="69" t="str">
        <x:v>文件未載明</x:v>
      </x:c>
      <x:c r="O10" s="71" t="str">
        <x:v>來源表頭對應</x:v>
      </x:c>
      <x:c r="P10" s="71" t="str">
        <x:v>HTML表格1／列8</x:v>
      </x:c>
      <x:c r="Q10" s="71" t="str">
        <x:v>4 | 溫水洗淨便座 | TCF23360ATW | 11 | 11,160 | 122,760 | 特惠價 | | | | |</x:v>
      </x:c>
      <x:c r="R10" s="71" t="str">
        <x:v>各廠商合約&amp; 報價\MD檔案\20230424 TOTO衛浴.md</x:v>
      </x:c>
    </x:row>
    <x:row r="11">
      <x:c r="A11" s="69" t="str">
        <x:v>ITEM00007</x:v>
      </x:c>
      <x:c r="B11" s="69" t="str">
        <x:v>SRC002</x:v>
      </x:c>
      <x:c r="C11" s="69" t="str">
        <x:v>2023-2024</x:v>
      </x:c>
      <x:c r="D11" s="69" t="str">
        <x:v>line_item</x:v>
      </x:c>
      <x:c r="E11" s="69" t="str">
        <x:v>MD2023_2024_001-T01R009</x:v>
      </x:c>
      <x:c r="F11" s="71" t="str">
        <x:v>5</x:v>
      </x:c>
      <x:c r="G11" s="71" t="str">
        <x:v>文件未載明</x:v>
      </x:c>
      <x:c r="H11" s="71" t="str">
        <x:v>文件未載明</x:v>
      </x:c>
      <x:c r="I11" s="72"/>
      <x:c r="J11" s="69" t="str">
        <x:v>文件未載明</x:v>
      </x:c>
      <x:c r="K11" s="70"/>
      <x:c r="L11" s="69" t="str">
        <x:v>文件未載明</x:v>
      </x:c>
      <x:c r="M11" s="70"/>
      <x:c r="N11" s="69" t="str">
        <x:v>文件未載明</x:v>
      </x:c>
      <x:c r="O11" s="71" t="str">
        <x:v>來源表頭對應</x:v>
      </x:c>
      <x:c r="P11" s="71" t="str">
        <x:v>HTML表格1／列9</x:v>
      </x:c>
      <x:c r="Q11" s="71" t="str">
        <x:v>5 | 檯面盆 | L5616CE | 11 | 7,920 | 87,120 | | | | | |</x:v>
      </x:c>
      <x:c r="R11" s="71" t="str">
        <x:v>各廠商合約&amp; 報價\MD檔案\20230424 TOTO衛浴.md</x:v>
      </x:c>
    </x:row>
    <x:row r="12">
      <x:c r="A12" s="69" t="str">
        <x:v>ITEM00008</x:v>
      </x:c>
      <x:c r="B12" s="69" t="str">
        <x:v>SRC002</x:v>
      </x:c>
      <x:c r="C12" s="69" t="str">
        <x:v>2023-2024</x:v>
      </x:c>
      <x:c r="D12" s="69" t="str">
        <x:v>line_item</x:v>
      </x:c>
      <x:c r="E12" s="69" t="str">
        <x:v>MD2023_2024_001-T01R010</x:v>
      </x:c>
      <x:c r="F12" s="71" t="str">
        <x:v>6</x:v>
      </x:c>
      <x:c r="G12" s="71" t="str">
        <x:v>文件未載明</x:v>
      </x:c>
      <x:c r="H12" s="71" t="str">
        <x:v>文件未載明</x:v>
      </x:c>
      <x:c r="I12" s="72"/>
      <x:c r="J12" s="69" t="str">
        <x:v>文件未載明</x:v>
      </x:c>
      <x:c r="K12" s="70"/>
      <x:c r="L12" s="69" t="str">
        <x:v>文件未載明</x:v>
      </x:c>
      <x:c r="M12" s="70"/>
      <x:c r="N12" s="69" t="str">
        <x:v>文件未載明</x:v>
      </x:c>
      <x:c r="O12" s="71" t="str">
        <x:v>來源表頭對應</x:v>
      </x:c>
      <x:c r="P12" s="71" t="str">
        <x:v>HTML表格1／列10</x:v>
      </x:c>
      <x:c r="Q12" s="71" t="str">
        <x:v>6 | 檯面盆 | LW1615CTW | 11 | 8,220 | 90,420 | | | | | |</x:v>
      </x:c>
      <x:c r="R12" s="71" t="str">
        <x:v>各廠商合約&amp; 報價\MD檔案\20230424 TOTO衛浴.md</x:v>
      </x:c>
    </x:row>
    <x:row r="13">
      <x:c r="A13" s="69" t="str">
        <x:v>ITEM00009</x:v>
      </x:c>
      <x:c r="B13" s="69" t="str">
        <x:v>SRC002</x:v>
      </x:c>
      <x:c r="C13" s="69" t="str">
        <x:v>2023-2024</x:v>
      </x:c>
      <x:c r="D13" s="69" t="str">
        <x:v>line_item</x:v>
      </x:c>
      <x:c r="E13" s="69" t="str">
        <x:v>MD2023_2024_001-T01R011</x:v>
      </x:c>
      <x:c r="F13" s="71" t="str">
        <x:v>7</x:v>
      </x:c>
      <x:c r="G13" s="71" t="str">
        <x:v>文件未載明</x:v>
      </x:c>
      <x:c r="H13" s="71" t="str">
        <x:v>文件未載明</x:v>
      </x:c>
      <x:c r="I13" s="72"/>
      <x:c r="J13" s="69" t="str">
        <x:v>文件未載明</x:v>
      </x:c>
      <x:c r="K13" s="70"/>
      <x:c r="L13" s="69" t="str">
        <x:v>文件未載明</x:v>
      </x:c>
      <x:c r="M13" s="70"/>
      <x:c r="N13" s="69" t="str">
        <x:v>文件未載明</x:v>
      </x:c>
      <x:c r="O13" s="71" t="str">
        <x:v>來源表頭對應</x:v>
      </x:c>
      <x:c r="P13" s="71" t="str">
        <x:v>HTML表格1／列11</x:v>
      </x:c>
      <x:c r="Q13" s="71" t="str">
        <x:v>7 | 白色浴櫃 | C-1615 | 11 | 6,500 | 71,500 | 需開衛生紙孔 | | | | |</x:v>
      </x:c>
      <x:c r="R13" s="71" t="str">
        <x:v>各廠商合約&amp; 報價\MD檔案\20230424 TOTO衛浴.md</x:v>
      </x:c>
    </x:row>
    <x:row r="14">
      <x:c r="A14" s="69" t="str">
        <x:v>ITEM00010</x:v>
      </x:c>
      <x:c r="B14" s="69" t="str">
        <x:v>SRC002</x:v>
      </x:c>
      <x:c r="C14" s="69" t="str">
        <x:v>2023-2024</x:v>
      </x:c>
      <x:c r="D14" s="69" t="str">
        <x:v>line_item</x:v>
      </x:c>
      <x:c r="E14" s="69" t="str">
        <x:v>MD2023_2024_001-T01R012</x:v>
      </x:c>
      <x:c r="F14" s="71" t="str">
        <x:v>8</x:v>
      </x:c>
      <x:c r="G14" s="71" t="str">
        <x:v>文件未載明</x:v>
      </x:c>
      <x:c r="H14" s="71" t="str">
        <x:v>文件未載明</x:v>
      </x:c>
      <x:c r="I14" s="72"/>
      <x:c r="J14" s="69" t="str">
        <x:v>文件未載明</x:v>
      </x:c>
      <x:c r="K14" s="70"/>
      <x:c r="L14" s="69" t="str">
        <x:v>文件未載明</x:v>
      </x:c>
      <x:c r="M14" s="70"/>
      <x:c r="N14" s="69" t="str">
        <x:v>文件未載明</x:v>
      </x:c>
      <x:c r="O14" s="71" t="str">
        <x:v>來源表頭對應</x:v>
      </x:c>
      <x:c r="P14" s="71" t="str">
        <x:v>HTML表格1／列12</x:v>
      </x:c>
      <x:c r="Q14" s="71" t="str">
        <x:v>8 | 面盆龍頭 | TLG02301PC | 22 | 6,780 | 149,160 | | | | | |</x:v>
      </x:c>
      <x:c r="R14" s="71" t="str">
        <x:v>各廠商合約&amp; 報價\MD檔案\20230424 TOTO衛浴.md</x:v>
      </x:c>
    </x:row>
    <x:row r="15">
      <x:c r="A15" s="69" t="str">
        <x:v>ITEM00011</x:v>
      </x:c>
      <x:c r="B15" s="69" t="str">
        <x:v>SRC002</x:v>
      </x:c>
      <x:c r="C15" s="69" t="str">
        <x:v>2023-2024</x:v>
      </x:c>
      <x:c r="D15" s="69" t="str">
        <x:v>line_item</x:v>
      </x:c>
      <x:c r="E15" s="69" t="str">
        <x:v>MD2023_2024_001-T01R013</x:v>
      </x:c>
      <x:c r="F15" s="71" t="str">
        <x:v>9</x:v>
      </x:c>
      <x:c r="G15" s="71" t="str">
        <x:v>文件未載明</x:v>
      </x:c>
      <x:c r="H15" s="71" t="str">
        <x:v>文件未載明</x:v>
      </x:c>
      <x:c r="I15" s="72"/>
      <x:c r="J15" s="69" t="str">
        <x:v>文件未載明</x:v>
      </x:c>
      <x:c r="K15" s="70"/>
      <x:c r="L15" s="69" t="str">
        <x:v>文件未載明</x:v>
      </x:c>
      <x:c r="M15" s="70"/>
      <x:c r="N15" s="69" t="str">
        <x:v>文件未載明</x:v>
      </x:c>
      <x:c r="O15" s="71" t="str">
        <x:v>來源表頭對應</x:v>
      </x:c>
      <x:c r="P15" s="71" t="str">
        <x:v>HTML表格1／列13</x:v>
      </x:c>
      <x:c r="Q15" s="71" t="str">
        <x:v>9 | 淋浴控溫龍頭 | TBV03426P-S2 | 22 | 8,160 | 179,520 | | | | | |</x:v>
      </x:c>
      <x:c r="R15" s="71" t="str">
        <x:v>各廠商合約&amp; 報價\MD檔案\20230424 TOTO衛浴.md</x:v>
      </x:c>
    </x:row>
    <x:row r="16">
      <x:c r="A16" s="69" t="str">
        <x:v>ITEM00012</x:v>
      </x:c>
      <x:c r="B16" s="69" t="str">
        <x:v>SRC002</x:v>
      </x:c>
      <x:c r="C16" s="69" t="str">
        <x:v>2023-2024</x:v>
      </x:c>
      <x:c r="D16" s="69" t="str">
        <x:v>line_item</x:v>
      </x:c>
      <x:c r="E16" s="69" t="str">
        <x:v>MD2023_2024_001-T01R014</x:v>
      </x:c>
      <x:c r="F16" s="71" t="str">
        <x:v>10</x:v>
      </x:c>
      <x:c r="G16" s="71" t="str">
        <x:v>文件未載明</x:v>
      </x:c>
      <x:c r="H16" s="71" t="str">
        <x:v>文件未載明</x:v>
      </x:c>
      <x:c r="I16" s="72"/>
      <x:c r="J16" s="69" t="str">
        <x:v>文件未載明</x:v>
      </x:c>
      <x:c r="K16" s="70"/>
      <x:c r="L16" s="69" t="str">
        <x:v>文件未載明</x:v>
      </x:c>
      <x:c r="M16" s="70"/>
      <x:c r="N16" s="69" t="str">
        <x:v>文件未載明</x:v>
      </x:c>
      <x:c r="O16" s="71" t="str">
        <x:v>來源表頭對應</x:v>
      </x:c>
      <x:c r="P16" s="71" t="str">
        <x:v>HTML表格1／列14</x:v>
      </x:c>
      <x:c r="Q16" s="71" t="str">
        <x:v>10 | 蓮蓬頭一段 | 9A519RY-1 | 11 | 2,160 | 23,760 | | | | | |</x:v>
      </x:c>
      <x:c r="R16" s="71" t="str">
        <x:v>各廠商合約&amp; 報價\MD檔案\20230424 TOTO衛浴.md</x:v>
      </x:c>
    </x:row>
    <x:row r="17">
      <x:c r="A17" s="69" t="str">
        <x:v>ITEM00013</x:v>
      </x:c>
      <x:c r="B17" s="69" t="str">
        <x:v>SRC002</x:v>
      </x:c>
      <x:c r="C17" s="69" t="str">
        <x:v>2023-2024</x:v>
      </x:c>
      <x:c r="D17" s="69" t="str">
        <x:v>line_item</x:v>
      </x:c>
      <x:c r="E17" s="69" t="str">
        <x:v>MD2023_2024_001-T01R015</x:v>
      </x:c>
      <x:c r="F17" s="71" t="str">
        <x:v>11</x:v>
      </x:c>
      <x:c r="G17" s="71" t="str">
        <x:v>文件未載明</x:v>
      </x:c>
      <x:c r="H17" s="71" t="str">
        <x:v>文件未載明</x:v>
      </x:c>
      <x:c r="I17" s="72"/>
      <x:c r="J17" s="69" t="str">
        <x:v>文件未載明</x:v>
      </x:c>
      <x:c r="K17" s="70"/>
      <x:c r="L17" s="69" t="str">
        <x:v>文件未載明</x:v>
      </x:c>
      <x:c r="M17" s="70"/>
      <x:c r="N17" s="69" t="str">
        <x:v>文件未載明</x:v>
      </x:c>
      <x:c r="O17" s="71" t="str">
        <x:v>來源表頭對應</x:v>
      </x:c>
      <x:c r="P17" s="71" t="str">
        <x:v>HTML表格1／列15</x:v>
      </x:c>
      <x:c r="Q17" s="71" t="str">
        <x:v>11 | 蓮蓬頭三段 | 9A520SY-1 | 11 | 3,520 | 38,720 | | | | | |</x:v>
      </x:c>
      <x:c r="R17" s="71" t="str">
        <x:v>各廠商合約&amp; 報價\MD檔案\20230424 TOTO衛浴.md</x:v>
      </x:c>
    </x:row>
    <x:row r="18">
      <x:c r="A18" s="69" t="str">
        <x:v>ITEM00014</x:v>
      </x:c>
      <x:c r="B18" s="69" t="str">
        <x:v>SRC002</x:v>
      </x:c>
      <x:c r="C18" s="69" t="str">
        <x:v>2023-2024</x:v>
      </x:c>
      <x:c r="D18" s="69" t="str">
        <x:v>line_item</x:v>
      </x:c>
      <x:c r="E18" s="69" t="str">
        <x:v>MD2023_2024_001-T01R016</x:v>
      </x:c>
      <x:c r="F18" s="71" t="str">
        <x:v>12</x:v>
      </x:c>
      <x:c r="G18" s="71" t="str">
        <x:v>文件未載明</x:v>
      </x:c>
      <x:c r="H18" s="71" t="str">
        <x:v>文件未載明</x:v>
      </x:c>
      <x:c r="I18" s="72"/>
      <x:c r="J18" s="69" t="str">
        <x:v>文件未載明</x:v>
      </x:c>
      <x:c r="K18" s="70"/>
      <x:c r="L18" s="69" t="str">
        <x:v>文件未載明</x:v>
      </x:c>
      <x:c r="M18" s="70"/>
      <x:c r="N18" s="69" t="str">
        <x:v>文件未載明</x:v>
      </x:c>
      <x:c r="O18" s="71" t="str">
        <x:v>來源表頭對應</x:v>
      </x:c>
      <x:c r="P18" s="71" t="str">
        <x:v>HTML表格1／列16</x:v>
      </x:c>
      <x:c r="Q18" s="71" t="str">
        <x:v>12 | 升降桿 | TBW01016P | 22 | 1,560 | 34,320 | | | | | |</x:v>
      </x:c>
      <x:c r="R18" s="71" t="str">
        <x:v>各廠商合約&amp; 報價\MD檔案\20230424 TOTO衛浴.md</x:v>
      </x:c>
    </x:row>
    <x:row r="19">
      <x:c r="A19" s="69" t="str">
        <x:v>ITEM00015</x:v>
      </x:c>
      <x:c r="B19" s="69" t="str">
        <x:v>SRC002</x:v>
      </x:c>
      <x:c r="C19" s="69" t="str">
        <x:v>2023-2024</x:v>
      </x:c>
      <x:c r="D19" s="69" t="str">
        <x:v>line_item</x:v>
      </x:c>
      <x:c r="E19" s="69" t="str">
        <x:v>MD2023_2024_001-T01R017</x:v>
      </x:c>
      <x:c r="F19" s="71" t="str">
        <x:v>13</x:v>
      </x:c>
      <x:c r="G19" s="71" t="str">
        <x:v>文件未載明</x:v>
      </x:c>
      <x:c r="H19" s="71" t="str">
        <x:v>文件未載明</x:v>
      </x:c>
      <x:c r="I19" s="72"/>
      <x:c r="J19" s="69" t="str">
        <x:v>文件未載明</x:v>
      </x:c>
      <x:c r="K19" s="70"/>
      <x:c r="L19" s="69" t="str">
        <x:v>文件未載明</x:v>
      </x:c>
      <x:c r="M19" s="70"/>
      <x:c r="N19" s="69" t="str">
        <x:v>文件未載明</x:v>
      </x:c>
      <x:c r="O19" s="71" t="str">
        <x:v>來源表頭對應</x:v>
      </x:c>
      <x:c r="P19" s="71" t="str">
        <x:v>HTML表格1／列17</x:v>
      </x:c>
      <x:c r="Q19" s="71" t="str">
        <x:v>13 | 安裝費 | | 1 | 105,600 | 105,600 | 訂金40萬元 | | | | |</x:v>
      </x:c>
      <x:c r="R19" s="71" t="str">
        <x:v>各廠商合約&amp; 報價\MD檔案\20230424 TOTO衛浴.md</x:v>
      </x:c>
    </x:row>
    <x:row r="20">
      <x:c r="A20" s="69" t="str">
        <x:v>ITEM00016</x:v>
      </x:c>
      <x:c r="B20" s="69" t="str">
        <x:v>SRC002</x:v>
      </x:c>
      <x:c r="C20" s="69" t="str">
        <x:v>2023-2024</x:v>
      </x:c>
      <x:c r="D20" s="69" t="str">
        <x:v>line_item</x:v>
      </x:c>
      <x:c r="E20" s="69" t="str">
        <x:v>MD2023_2024_001-T01R018</x:v>
      </x:c>
      <x:c r="F20" s="71" t="str">
        <x:v>14</x:v>
      </x:c>
      <x:c r="G20" s="71" t="str">
        <x:v>文件未載明</x:v>
      </x:c>
      <x:c r="H20" s="71" t="str">
        <x:v>文件未載明</x:v>
      </x:c>
      <x:c r="I20" s="72"/>
      <x:c r="J20" s="69" t="str">
        <x:v>文件未載明</x:v>
      </x:c>
      <x:c r="K20" s="70"/>
      <x:c r="L20" s="69" t="str">
        <x:v>文件未載明</x:v>
      </x:c>
      <x:c r="M20" s="70"/>
      <x:c r="N20" s="69" t="str">
        <x:v>文件未載明</x:v>
      </x:c>
      <x:c r="O20" s="71" t="str">
        <x:v>來源表頭對應</x:v>
      </x:c>
      <x:c r="P20" s="71" t="str">
        <x:v>HTML表格1／列18</x:v>
      </x:c>
      <x:c r="Q20" s="71" t="str">
        <x:v>14 | | | | | | | | | | |</x:v>
      </x:c>
      <x:c r="R20" s="71" t="str">
        <x:v>各廠商合約&amp; 報價\MD檔案\20230424 TOTO衛浴.md</x:v>
      </x:c>
    </x:row>
    <x:row r="21">
      <x:c r="A21" s="69" t="str">
        <x:v>ITEM00017</x:v>
      </x:c>
      <x:c r="B21" s="69" t="str">
        <x:v>SRC002</x:v>
      </x:c>
      <x:c r="C21" s="69" t="str">
        <x:v>2023-2024</x:v>
      </x:c>
      <x:c r="D21" s="69" t="str">
        <x:v>total_or_tax</x:v>
      </x:c>
      <x:c r="E21" s="69" t="str">
        <x:v>MD2023_2024_001-T01R019</x:v>
      </x:c>
      <x:c r="F21" s="71" t="str">
        <x:v>15</x:v>
      </x:c>
      <x:c r="G21" s="71" t="str">
        <x:v>文件未載明</x:v>
      </x:c>
      <x:c r="H21" s="71" t="str">
        <x:v>文件未載明</x:v>
      </x:c>
      <x:c r="I21" s="72"/>
      <x:c r="J21" s="69" t="str">
        <x:v>文件未載明</x:v>
      </x:c>
      <x:c r="K21" s="70"/>
      <x:c r="L21" s="69" t="str">
        <x:v>文件未載明</x:v>
      </x:c>
      <x:c r="M21" s="70"/>
      <x:c r="N21" s="69" t="str">
        <x:v>文件未載明</x:v>
      </x:c>
      <x:c r="O21" s="71" t="str">
        <x:v>來源表頭對應</x:v>
      </x:c>
      <x:c r="P21" s="71" t="str">
        <x:v>HTML表格1／列19</x:v>
      </x:c>
      <x:c r="Q21" s="71" t="str">
        <x:v>15 | | | | | | 實收1577000元含稅價 | | | | |</x:v>
      </x:c>
      <x:c r="R21" s="71" t="str">
        <x:v>各廠商合約&amp; 報價\MD檔案\20230424 TOTO衛浴.md</x:v>
      </x:c>
    </x:row>
    <x:row r="22">
      <x:c r="A22" s="69" t="str">
        <x:v>ITEM00018</x:v>
      </x:c>
      <x:c r="B22" s="69" t="str">
        <x:v>SRC002</x:v>
      </x:c>
      <x:c r="C22" s="69" t="str">
        <x:v>2023-2024</x:v>
      </x:c>
      <x:c r="D22" s="69" t="str">
        <x:v>total_or_tax</x:v>
      </x:c>
      <x:c r="E22" s="69" t="str">
        <x:v>MD2023_2024_001-T01R020</x:v>
      </x:c>
      <x:c r="F22" s="71" t="str">
        <x:v>16</x:v>
      </x:c>
      <x:c r="G22" s="71" t="str">
        <x:v>文件未載明</x:v>
      </x:c>
      <x:c r="H22" s="71" t="str">
        <x:v>文件未載明</x:v>
      </x:c>
      <x:c r="I22" s="72"/>
      <x:c r="J22" s="69" t="str">
        <x:v>文件未載明</x:v>
      </x:c>
      <x:c r="K22" s="70"/>
      <x:c r="L22" s="69" t="str">
        <x:v>文件未載明</x:v>
      </x:c>
      <x:c r="M22" s="70"/>
      <x:c r="N22" s="69" t="str">
        <x:v>文件未載明</x:v>
      </x:c>
      <x:c r="O22" s="71" t="str">
        <x:v>來源表頭對應</x:v>
      </x:c>
      <x:c r="P22" s="71" t="str">
        <x:v>HTML表格1／列20</x:v>
      </x:c>
      <x:c r="Q22" s="71" t="str">
        <x:v>16 | | | 小計 1,533,510 | 小計 1,533,510 | 小計 1,533,510 | 元整 | | | | |</x:v>
      </x:c>
      <x:c r="R22" s="71" t="str">
        <x:v>各廠商合約&amp; 報價\MD檔案\20230424 TOTO衛浴.md</x:v>
      </x:c>
    </x:row>
    <x:row r="23">
      <x:c r="A23" s="69" t="str">
        <x:v>ITEM00019</x:v>
      </x:c>
      <x:c r="B23" s="69" t="str">
        <x:v>SRC002</x:v>
      </x:c>
      <x:c r="C23" s="69" t="str">
        <x:v>2023-2024</x:v>
      </x:c>
      <x:c r="D23" s="69" t="str">
        <x:v>total_or_tax</x:v>
      </x:c>
      <x:c r="E23" s="69" t="str">
        <x:v>MD2023_2024_001-T01R021</x:v>
      </x:c>
      <x:c r="F23" s="71" t="str">
        <x:v>17</x:v>
      </x:c>
      <x:c r="G23" s="71" t="str">
        <x:v>文件未載明</x:v>
      </x:c>
      <x:c r="H23" s="71" t="str">
        <x:v>文件未載明</x:v>
      </x:c>
      <x:c r="I23" s="72"/>
      <x:c r="J23" s="69" t="str">
        <x:v>文件未載明</x:v>
      </x:c>
      <x:c r="K23" s="70"/>
      <x:c r="L23" s="69" t="str">
        <x:v>文件未載明</x:v>
      </x:c>
      <x:c r="M23" s="70"/>
      <x:c r="N23" s="69" t="str">
        <x:v>文件未載明</x:v>
      </x:c>
      <x:c r="O23" s="71" t="str">
        <x:v>來源表頭對應</x:v>
      </x:c>
      <x:c r="P23" s="71" t="str">
        <x:v>HTML表格1／列21</x:v>
      </x:c>
      <x:c r="Q23" s="71" t="str">
        <x:v>17 | | | 稅額 76,676 | 稅額 76,676 | 稅額 76,676 | 元整 | | | | |</x:v>
      </x:c>
      <x:c r="R23" s="71" t="str">
        <x:v>各廠商合約&amp; 報價\MD檔案\20230424 TOTO衛浴.md</x:v>
      </x:c>
    </x:row>
    <x:row r="24">
      <x:c r="A24" s="69" t="str">
        <x:v>ITEM00020</x:v>
      </x:c>
      <x:c r="B24" s="69" t="str">
        <x:v>SRC002</x:v>
      </x:c>
      <x:c r="C24" s="69" t="str">
        <x:v>2023-2024</x:v>
      </x:c>
      <x:c r="D24" s="69" t="str">
        <x:v>total_or_tax</x:v>
      </x:c>
      <x:c r="E24" s="69" t="str">
        <x:v>MD2023_2024_001-T01R022</x:v>
      </x:c>
      <x:c r="F24" s="71" t="str">
        <x:v>文件未載明</x:v>
      </x:c>
      <x:c r="G24" s="71" t="str">
        <x:v>文件未載明</x:v>
      </x:c>
      <x:c r="H24" s="71" t="str">
        <x:v>文件未載明</x:v>
      </x:c>
      <x:c r="I24" s="72"/>
      <x:c r="J24" s="69" t="str">
        <x:v>文件未載明</x:v>
      </x:c>
      <x:c r="K24" s="70"/>
      <x:c r="L24" s="69" t="str">
        <x:v>文件未載明</x:v>
      </x:c>
      <x:c r="M24" s="70"/>
      <x:c r="N24" s="69" t="str">
        <x:v>文件未載明</x:v>
      </x:c>
      <x:c r="O24" s="71" t="str">
        <x:v>來源表頭對應</x:v>
      </x:c>
      <x:c r="P24" s="71" t="str">
        <x:v>HTML表格1／列22</x:v>
      </x:c>
      <x:c r="Q24" s="71" t="str">
        <x:v>| | | 總計 1,610,186 | 總計 1,610,186 | 總計 1,610,186 | 元整 | | | | |</x:v>
      </x:c>
      <x:c r="R24" s="71" t="str">
        <x:v>各廠商合約&amp; 報價\MD檔案\20230424 TOTO衛浴.md</x:v>
      </x:c>
    </x:row>
    <x:row r="25">
      <x:c r="A25" s="69" t="str">
        <x:v>ITEM00021</x:v>
      </x:c>
      <x:c r="B25" s="69" t="str">
        <x:v>SRC002</x:v>
      </x:c>
      <x:c r="C25" s="69" t="str">
        <x:v>2023-2024</x:v>
      </x:c>
      <x:c r="D25" s="69" t="str">
        <x:v>note_or_description</x:v>
      </x:c>
      <x:c r="E25" s="69" t="str">
        <x:v>MD2023_2024_001-T01R023</x:v>
      </x:c>
      <x:c r="F25"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25" s="71" t="str">
        <x:v>文件未載明</x:v>
      </x:c>
      <x:c r="H25" s="71" t="str">
        <x:v>文件未載明</x:v>
      </x:c>
      <x:c r="I25" s="72"/>
      <x:c r="J25" s="69" t="str">
        <x:v>文件未載明</x:v>
      </x:c>
      <x:c r="K25" s="70"/>
      <x:c r="L25" s="69" t="str">
        <x:v>文件未載明</x:v>
      </x:c>
      <x:c r="M25" s="70"/>
      <x:c r="N25" s="69" t="str">
        <x:v>文件未載明</x:v>
      </x:c>
      <x:c r="O25" s="71" t="str">
        <x:v>來源表頭對應</x:v>
      </x:c>
      <x:c r="P25" s="71" t="str">
        <x:v>HTML表格1／列23</x:v>
      </x:c>
      <x:c r="Q25"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25" s="71" t="str">
        <x:v>各廠商合約&amp; 報價\MD檔案\20230424 TOTO衛浴.md</x:v>
      </x:c>
    </x:row>
    <x:row r="26">
      <x:c r="A26" s="69" t="str">
        <x:v>ITEM00022</x:v>
      </x:c>
      <x:c r="B26" s="69" t="str">
        <x:v>SRC002</x:v>
      </x:c>
      <x:c r="C26" s="69" t="str">
        <x:v>2023-2024</x:v>
      </x:c>
      <x:c r="D26" s="69" t="str">
        <x:v>note_or_description</x:v>
      </x:c>
      <x:c r="E26" s="69" t="str">
        <x:v>MD2023_2024_001-T01R024</x:v>
      </x:c>
      <x:c r="F26"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26" s="71" t="str">
        <x:v>文件未載明</x:v>
      </x:c>
      <x:c r="H26" s="71" t="str">
        <x:v>文件未載明</x:v>
      </x:c>
      <x:c r="I26" s="72"/>
      <x:c r="J26" s="69" t="str">
        <x:v>文件未載明</x:v>
      </x:c>
      <x:c r="K26" s="70"/>
      <x:c r="L26" s="69" t="str">
        <x:v>文件未載明</x:v>
      </x:c>
      <x:c r="M26" s="70"/>
      <x:c r="N26" s="69" t="str">
        <x:v>文件未載明</x:v>
      </x:c>
      <x:c r="O26" s="71" t="str">
        <x:v>來源表頭對應</x:v>
      </x:c>
      <x:c r="P26" s="71" t="str">
        <x:v>HTML表格1／列24</x:v>
      </x:c>
      <x:c r="Q26"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26" s="71" t="str">
        <x:v>各廠商合約&amp; 報價\MD檔案\20230424 TOTO衛浴.md</x:v>
      </x:c>
    </x:row>
    <x:row r="27">
      <x:c r="A27" s="69" t="str">
        <x:v>ITEM00023</x:v>
      </x:c>
      <x:c r="B27" s="69" t="str">
        <x:v>SRC002</x:v>
      </x:c>
      <x:c r="C27" s="69" t="str">
        <x:v>2023-2024</x:v>
      </x:c>
      <x:c r="D27" s="69" t="str">
        <x:v>note_or_description</x:v>
      </x:c>
      <x:c r="E27" s="69" t="str">
        <x:v>MD2023_2024_001-T01R025</x:v>
      </x:c>
      <x:c r="F27"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27" s="71" t="str">
        <x:v>文件未載明</x:v>
      </x:c>
      <x:c r="H27" s="71" t="str">
        <x:v>文件未載明</x:v>
      </x:c>
      <x:c r="I27" s="72"/>
      <x:c r="J27" s="69" t="str">
        <x:v>文件未載明</x:v>
      </x:c>
      <x:c r="K27" s="70"/>
      <x:c r="L27" s="69" t="str">
        <x:v>文件未載明</x:v>
      </x:c>
      <x:c r="M27" s="70"/>
      <x:c r="N27" s="69" t="str">
        <x:v>文件未載明</x:v>
      </x:c>
      <x:c r="O27" s="71" t="str">
        <x:v>來源表頭對應</x:v>
      </x:c>
      <x:c r="P27" s="71" t="str">
        <x:v>HTML表格1／列25</x:v>
      </x:c>
      <x:c r="Q27"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27" s="71" t="str">
        <x:v>各廠商合約&amp; 報價\MD檔案\20230424 TOTO衛浴.md</x:v>
      </x:c>
    </x:row>
    <x:row r="28">
      <x:c r="A28" s="69" t="str">
        <x:v>ITEM00024</x:v>
      </x:c>
      <x:c r="B28" s="69" t="str">
        <x:v>SRC002</x:v>
      </x:c>
      <x:c r="C28" s="69" t="str">
        <x:v>2023-2024</x:v>
      </x:c>
      <x:c r="D28" s="69" t="str">
        <x:v>note_or_description</x:v>
      </x:c>
      <x:c r="E28" s="69" t="str">
        <x:v>MD2023_2024_001-T01R026</x:v>
      </x:c>
      <x:c r="F28"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28" s="71" t="str">
        <x:v>文件未載明</x:v>
      </x:c>
      <x:c r="H28" s="71" t="str">
        <x:v>文件未載明</x:v>
      </x:c>
      <x:c r="I28" s="72"/>
      <x:c r="J28" s="69" t="str">
        <x:v>文件未載明</x:v>
      </x:c>
      <x:c r="K28" s="70"/>
      <x:c r="L28" s="69" t="str">
        <x:v>文件未載明</x:v>
      </x:c>
      <x:c r="M28" s="70"/>
      <x:c r="N28" s="69" t="str">
        <x:v>文件未載明</x:v>
      </x:c>
      <x:c r="O28" s="71" t="str">
        <x:v>來源表頭對應</x:v>
      </x:c>
      <x:c r="P28" s="71" t="str">
        <x:v>HTML表格1／列26</x:v>
      </x:c>
      <x:c r="Q28"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28" s="71" t="str">
        <x:v>各廠商合約&amp; 報價\MD檔案\20230424 TOTO衛浴.md</x:v>
      </x:c>
    </x:row>
    <x:row r="29">
      <x:c r="A29" s="69" t="str">
        <x:v>ITEM00025</x:v>
      </x:c>
      <x:c r="B29" s="69" t="str">
        <x:v>SRC002</x:v>
      </x:c>
      <x:c r="C29" s="69" t="str">
        <x:v>2023-2024</x:v>
      </x:c>
      <x:c r="D29" s="69" t="str">
        <x:v>note_or_description</x:v>
      </x:c>
      <x:c r="E29" s="69" t="str">
        <x:v>MD2023_2024_001-T01R027</x:v>
      </x:c>
      <x:c r="F29"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29" s="71" t="str">
        <x:v>文件未載明</x:v>
      </x:c>
      <x:c r="H29" s="71" t="str">
        <x:v>文件未載明</x:v>
      </x:c>
      <x:c r="I29" s="72"/>
      <x:c r="J29" s="69" t="str">
        <x:v>文件未載明</x:v>
      </x:c>
      <x:c r="K29" s="70"/>
      <x:c r="L29" s="69" t="str">
        <x:v>文件未載明</x:v>
      </x:c>
      <x:c r="M29" s="70"/>
      <x:c r="N29" s="69" t="str">
        <x:v>文件未載明</x:v>
      </x:c>
      <x:c r="O29" s="71" t="str">
        <x:v>來源表頭對應</x:v>
      </x:c>
      <x:c r="P29" s="71" t="str">
        <x:v>HTML表格1／列27</x:v>
      </x:c>
      <x:c r="Q29"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29" s="71" t="str">
        <x:v>各廠商合約&amp; 報價\MD檔案\20230424 TOTO衛浴.md</x:v>
      </x:c>
    </x:row>
    <x:row r="30">
      <x:c r="A30" s="69" t="str">
        <x:v>ITEM00026</x:v>
      </x:c>
      <x:c r="B30" s="69" t="str">
        <x:v>SRC002</x:v>
      </x:c>
      <x:c r="C30" s="69" t="str">
        <x:v>2023-2024</x:v>
      </x:c>
      <x:c r="D30" s="69" t="str">
        <x:v>note_or_description</x:v>
      </x:c>
      <x:c r="E30" s="69" t="str">
        <x:v>MD2023_2024_001-T01R028</x:v>
      </x:c>
      <x:c r="F30"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30" s="71" t="str">
        <x:v>文件未載明</x:v>
      </x:c>
      <x:c r="H30" s="71" t="str">
        <x:v>文件未載明</x:v>
      </x:c>
      <x:c r="I30" s="72"/>
      <x:c r="J30" s="69" t="str">
        <x:v>文件未載明</x:v>
      </x:c>
      <x:c r="K30" s="70"/>
      <x:c r="L30" s="69" t="str">
        <x:v>文件未載明</x:v>
      </x:c>
      <x:c r="M30" s="70"/>
      <x:c r="N30" s="69" t="str">
        <x:v>文件未載明</x:v>
      </x:c>
      <x:c r="O30" s="71" t="str">
        <x:v>來源表頭對應</x:v>
      </x:c>
      <x:c r="P30" s="71" t="str">
        <x:v>HTML表格1／列28</x:v>
      </x:c>
      <x:c r="Q30"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30" s="71" t="str">
        <x:v>各廠商合約&amp; 報價\MD檔案\20230424 TOTO衛浴.md</x:v>
      </x:c>
    </x:row>
    <x:row r="31">
      <x:c r="A31" s="69" t="str">
        <x:v>ITEM00027</x:v>
      </x:c>
      <x:c r="B31" s="69" t="str">
        <x:v>SRC002</x:v>
      </x:c>
      <x:c r="C31" s="69" t="str">
        <x:v>2023-2024</x:v>
      </x:c>
      <x:c r="D31" s="69" t="str">
        <x:v>note_or_description</x:v>
      </x:c>
      <x:c r="E31" s="69" t="str">
        <x:v>MD2023_2024_001-T01R029</x:v>
      </x:c>
      <x:c r="F31"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31" s="71" t="str">
        <x:v>文件未載明</x:v>
      </x:c>
      <x:c r="H31" s="71" t="str">
        <x:v>文件未載明</x:v>
      </x:c>
      <x:c r="I31" s="72"/>
      <x:c r="J31" s="69" t="str">
        <x:v>文件未載明</x:v>
      </x:c>
      <x:c r="K31" s="70"/>
      <x:c r="L31" s="69" t="str">
        <x:v>文件未載明</x:v>
      </x:c>
      <x:c r="M31" s="70"/>
      <x:c r="N31" s="69" t="str">
        <x:v>文件未載明</x:v>
      </x:c>
      <x:c r="O31" s="71" t="str">
        <x:v>來源表頭對應</x:v>
      </x:c>
      <x:c r="P31" s="71" t="str">
        <x:v>HTML表格1／列29</x:v>
      </x:c>
      <x:c r="Q31"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31" s="71" t="str">
        <x:v>各廠商合約&amp; 報價\MD檔案\20230424 TOTO衛浴.md</x:v>
      </x:c>
    </x:row>
    <x:row r="32">
      <x:c r="A32" s="69" t="str">
        <x:v>ITEM00028</x:v>
      </x:c>
      <x:c r="B32" s="69" t="str">
        <x:v>SRC002</x:v>
      </x:c>
      <x:c r="C32" s="69" t="str">
        <x:v>2023-2024</x:v>
      </x:c>
      <x:c r="D32" s="69" t="str">
        <x:v>note_or_description</x:v>
      </x:c>
      <x:c r="E32" s="69" t="str">
        <x:v>MD2023_2024_001-T01R030</x:v>
      </x:c>
      <x:c r="F32"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32" s="71" t="str">
        <x:v>文件未載明</x:v>
      </x:c>
      <x:c r="H32" s="71" t="str">
        <x:v>文件未載明</x:v>
      </x:c>
      <x:c r="I32" s="72"/>
      <x:c r="J32" s="69" t="str">
        <x:v>文件未載明</x:v>
      </x:c>
      <x:c r="K32" s="70"/>
      <x:c r="L32" s="69" t="str">
        <x:v>文件未載明</x:v>
      </x:c>
      <x:c r="M32" s="70"/>
      <x:c r="N32" s="69" t="str">
        <x:v>文件未載明</x:v>
      </x:c>
      <x:c r="O32" s="71" t="str">
        <x:v>來源表頭對應</x:v>
      </x:c>
      <x:c r="P32" s="71" t="str">
        <x:v>HTML表格1／列30</x:v>
      </x:c>
      <x:c r="Q32"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32" s="71" t="str">
        <x:v>各廠商合約&amp; 報價\MD檔案\20230424 TOTO衛浴.md</x:v>
      </x:c>
    </x:row>
    <x:row r="33">
      <x:c r="A33" s="69" t="str">
        <x:v>ITEM00029</x:v>
      </x:c>
      <x:c r="B33" s="69" t="str">
        <x:v>SRC002</x:v>
      </x:c>
      <x:c r="C33" s="69" t="str">
        <x:v>2023-2024</x:v>
      </x:c>
      <x:c r="D33" s="69" t="str">
        <x:v>note_or_description</x:v>
      </x:c>
      <x:c r="E33" s="69" t="str">
        <x:v>MD2023_2024_001-T01R031</x:v>
      </x:c>
      <x:c r="F33"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33" s="71" t="str">
        <x:v>文件未載明</x:v>
      </x:c>
      <x:c r="H33" s="71" t="str">
        <x:v>文件未載明</x:v>
      </x:c>
      <x:c r="I33" s="72"/>
      <x:c r="J33" s="69" t="str">
        <x:v>文件未載明</x:v>
      </x:c>
      <x:c r="K33" s="70"/>
      <x:c r="L33" s="69" t="str">
        <x:v>文件未載明</x:v>
      </x:c>
      <x:c r="M33" s="70"/>
      <x:c r="N33" s="69" t="str">
        <x:v>文件未載明</x:v>
      </x:c>
      <x:c r="O33" s="71" t="str">
        <x:v>來源表頭對應</x:v>
      </x:c>
      <x:c r="P33" s="71" t="str">
        <x:v>HTML表格1／列31</x:v>
      </x:c>
      <x:c r="Q33"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33" s="71" t="str">
        <x:v>各廠商合約&amp; 報價\MD檔案\20230424 TOTO衛浴.md</x:v>
      </x:c>
    </x:row>
    <x:row r="34">
      <x:c r="A34" s="69" t="str">
        <x:v>ITEM00030</x:v>
      </x:c>
      <x:c r="B34" s="69" t="str">
        <x:v>SRC002</x:v>
      </x:c>
      <x:c r="C34" s="69" t="str">
        <x:v>2023-2024</x:v>
      </x:c>
      <x:c r="D34" s="69" t="str">
        <x:v>note_or_description</x:v>
      </x:c>
      <x:c r="E34" s="69" t="str">
        <x:v>MD2023_2024_001-T01R032</x:v>
      </x:c>
      <x:c r="F34"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34" s="71" t="str">
        <x:v>文件未載明</x:v>
      </x:c>
      <x:c r="H34" s="71" t="str">
        <x:v>文件未載明</x:v>
      </x:c>
      <x:c r="I34" s="72"/>
      <x:c r="J34" s="69" t="str">
        <x:v>文件未載明</x:v>
      </x:c>
      <x:c r="K34" s="70"/>
      <x:c r="L34" s="69" t="str">
        <x:v>文件未載明</x:v>
      </x:c>
      <x:c r="M34" s="70"/>
      <x:c r="N34" s="69" t="str">
        <x:v>文件未載明</x:v>
      </x:c>
      <x:c r="O34" s="71" t="str">
        <x:v>來源表頭對應</x:v>
      </x:c>
      <x:c r="P34" s="71" t="str">
        <x:v>HTML表格1／列32</x:v>
      </x:c>
      <x:c r="Q34"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34" s="71" t="str">
        <x:v>各廠商合約&amp; 報價\MD檔案\20230424 TOTO衛浴.md</x:v>
      </x:c>
    </x:row>
    <x:row r="35">
      <x:c r="A35" s="69" t="str">
        <x:v>ITEM00031</x:v>
      </x:c>
      <x:c r="B35" s="69" t="str">
        <x:v>SRC002</x:v>
      </x:c>
      <x:c r="C35" s="69" t="str">
        <x:v>2023-2024</x:v>
      </x:c>
      <x:c r="D35" s="69" t="str">
        <x:v>note_or_description</x:v>
      </x:c>
      <x:c r="E35" s="69" t="str">
        <x:v>MD2023_2024_001-T01R033</x:v>
      </x:c>
      <x:c r="F35"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35" s="71" t="str">
        <x:v>文件未載明</x:v>
      </x:c>
      <x:c r="H35" s="71" t="str">
        <x:v>文件未載明</x:v>
      </x:c>
      <x:c r="I35" s="72"/>
      <x:c r="J35" s="69" t="str">
        <x:v>文件未載明</x:v>
      </x:c>
      <x:c r="K35" s="70"/>
      <x:c r="L35" s="69" t="str">
        <x:v>文件未載明</x:v>
      </x:c>
      <x:c r="M35" s="70"/>
      <x:c r="N35" s="69" t="str">
        <x:v>文件未載明</x:v>
      </x:c>
      <x:c r="O35" s="71" t="str">
        <x:v>來源表頭對應</x:v>
      </x:c>
      <x:c r="P35" s="71" t="str">
        <x:v>HTML表格1／列33</x:v>
      </x:c>
      <x:c r="Q35"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35" s="71" t="str">
        <x:v>各廠商合約&amp; 報價\MD檔案\20230424 TOTO衛浴.md</x:v>
      </x:c>
    </x:row>
    <x:row r="36">
      <x:c r="A36" s="69" t="str">
        <x:v>ITEM00032</x:v>
      </x:c>
      <x:c r="B36" s="69" t="str">
        <x:v>SRC002</x:v>
      </x:c>
      <x:c r="C36" s="69" t="str">
        <x:v>2023-2024</x:v>
      </x:c>
      <x:c r="D36" s="69" t="str">
        <x:v>note_or_description</x:v>
      </x:c>
      <x:c r="E36" s="69" t="str">
        <x:v>MD2023_2024_001-T01R034</x:v>
      </x:c>
      <x:c r="F36"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36" s="71" t="str">
        <x:v>文件未載明</x:v>
      </x:c>
      <x:c r="H36" s="71" t="str">
        <x:v>文件未載明</x:v>
      </x:c>
      <x:c r="I36" s="72"/>
      <x:c r="J36" s="69" t="str">
        <x:v>文件未載明</x:v>
      </x:c>
      <x:c r="K36" s="70"/>
      <x:c r="L36" s="69" t="str">
        <x:v>文件未載明</x:v>
      </x:c>
      <x:c r="M36" s="70"/>
      <x:c r="N36" s="69" t="str">
        <x:v>文件未載明</x:v>
      </x:c>
      <x:c r="O36" s="71" t="str">
        <x:v>來源表頭對應</x:v>
      </x:c>
      <x:c r="P36" s="71" t="str">
        <x:v>HTML表格1／列34</x:v>
      </x:c>
      <x:c r="Q36"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36" s="71" t="str">
        <x:v>各廠商合約&amp; 報價\MD檔案\20230424 TOTO衛浴.md</x:v>
      </x:c>
    </x:row>
    <x:row r="37">
      <x:c r="A37" s="69" t="str">
        <x:v>ITEM00033</x:v>
      </x:c>
      <x:c r="B37" s="69" t="str">
        <x:v>SRC002</x:v>
      </x:c>
      <x:c r="C37" s="69" t="str">
        <x:v>2023-2024</x:v>
      </x:c>
      <x:c r="D37" s="69" t="str">
        <x:v>note_or_description</x:v>
      </x:c>
      <x:c r="E37" s="69" t="str">
        <x:v>MD2023_2024_001-T01R035</x:v>
      </x:c>
      <x:c r="F37"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37" s="71" t="str">
        <x:v>文件未載明</x:v>
      </x:c>
      <x:c r="H37" s="71" t="str">
        <x:v>文件未載明</x:v>
      </x:c>
      <x:c r="I37" s="72"/>
      <x:c r="J37" s="69" t="str">
        <x:v>文件未載明</x:v>
      </x:c>
      <x:c r="K37" s="70"/>
      <x:c r="L37" s="69" t="str">
        <x:v>文件未載明</x:v>
      </x:c>
      <x:c r="M37" s="70"/>
      <x:c r="N37" s="69" t="str">
        <x:v>文件未載明</x:v>
      </x:c>
      <x:c r="O37" s="71" t="str">
        <x:v>來源表頭對應</x:v>
      </x:c>
      <x:c r="P37" s="71" t="str">
        <x:v>HTML表格1／列35</x:v>
      </x:c>
      <x:c r="Q37" s="71" t="str">
        <x:v>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詳原文索引）</x:v>
      </x:c>
      <x:c r="R37" s="71" t="str">
        <x:v>各廠商合約&amp; 報價\MD檔案\20230424 TOTO衛浴.md</x:v>
      </x:c>
    </x:row>
    <x:row r="38">
      <x:c r="A38" s="69" t="str">
        <x:v>ITEM00034</x:v>
      </x:c>
      <x:c r="B38" s="69" t="str">
        <x:v>SRC003</x:v>
      </x:c>
      <x:c r="C38" s="69" t="str">
        <x:v>2023-2024</x:v>
      </x:c>
      <x:c r="D38" s="69" t="str">
        <x:v>other_table_row</x:v>
      </x:c>
      <x:c r="E38" s="69" t="str">
        <x:v>MD2023_2024_002-T01R002</x:v>
      </x:c>
      <x:c r="F38" s="71" t="str">
        <x:v>現場鑽探:2孔*6m</x:v>
      </x:c>
      <x:c r="G38" s="71" t="str">
        <x:v>文件未載明</x:v>
      </x:c>
      <x:c r="H38" s="71" t="str"/>
      <x:c r="I38" s="72"/>
      <x:c r="J38" s="69" t="str"/>
      <x:c r="K38" s="70"/>
      <x:c r="L38" s="69" t="str"/>
      <x:c r="M38" s="70"/>
      <x:c r="N38" s="69" t="str"/>
      <x:c r="O38" s="71" t="str">
        <x:v>來源表頭對應</x:v>
      </x:c>
      <x:c r="P38" s="71" t="str">
        <x:v>HTML表格1／列2</x:v>
      </x:c>
      <x:c r="Q38" s="71" t="str">
        <x:v>| 現場鑽探:2孔*6m | | | | |</x:v>
      </x:c>
      <x:c r="R38" s="71" t="str">
        <x:v>各廠商合約&amp; 報價\MD檔案\20230613 地質鑽探.md</x:v>
      </x:c>
    </x:row>
    <x:row r="39">
      <x:c r="A39" s="69" t="str">
        <x:v>ITEM00035</x:v>
      </x:c>
      <x:c r="B39" s="69" t="str">
        <x:v>SRC003</x:v>
      </x:c>
      <x:c r="C39" s="69" t="str">
        <x:v>2023-2024</x:v>
      </x:c>
      <x:c r="D39" s="69" t="str">
        <x:v>line_item</x:v>
      </x:c>
      <x:c r="E39" s="69" t="str">
        <x:v>MD2023_2024_002-T01R003</x:v>
      </x:c>
      <x:c r="F39" s="71" t="str">
        <x:v>地質鑽探</x:v>
      </x:c>
      <x:c r="G39" s="71" t="str">
        <x:v>文件未載明</x:v>
      </x:c>
      <x:c r="H39" s="71" t="str">
        <x:v>式</x:v>
      </x:c>
      <x:c r="I39" s="72" t="n">
        <x:v>1</x:v>
      </x:c>
      <x:c r="J39" s="69" t="str">
        <x:v>1</x:v>
      </x:c>
      <x:c r="K39" s="70" t="n">
        <x:v>35000</x:v>
      </x:c>
      <x:c r="L39" s="69" t="str">
        <x:v>35000</x:v>
      </x:c>
      <x:c r="M39" s="70" t="n">
        <x:v>35000</x:v>
      </x:c>
      <x:c r="N39" s="69" t="str">
        <x:v>35000</x:v>
      </x:c>
      <x:c r="O39" s="71" t="str">
        <x:v>來源表頭對應</x:v>
      </x:c>
      <x:c r="P39" s="71" t="str">
        <x:v>HTML表格1／列3</x:v>
      </x:c>
      <x:c r="Q39" s="71" t="str">
        <x:v>壹 | 地質鑽探 | 式 | 1 | 35000 | 35000 |</x:v>
      </x:c>
      <x:c r="R39" s="71" t="str">
        <x:v>各廠商合約&amp; 報價\MD檔案\20230613 地質鑽探.md</x:v>
      </x:c>
    </x:row>
    <x:row r="40">
      <x:c r="A40" s="69" t="str">
        <x:v>ITEM00036</x:v>
      </x:c>
      <x:c r="B40" s="69" t="str">
        <x:v>SRC003</x:v>
      </x:c>
      <x:c r="C40" s="69" t="str">
        <x:v>2023-2024</x:v>
      </x:c>
      <x:c r="D40" s="69" t="str">
        <x:v>other_table_row</x:v>
      </x:c>
      <x:c r="E40" s="69" t="str">
        <x:v>MD2023_2024_002-T01R004</x:v>
      </x:c>
      <x:c r="F40" s="71" t="str">
        <x:v>工作項目如下:</x:v>
      </x:c>
      <x:c r="G40" s="71" t="str">
        <x:v>文件未載明</x:v>
      </x:c>
      <x:c r="H40" s="71" t="str"/>
      <x:c r="I40" s="72"/>
      <x:c r="J40" s="69" t="str"/>
      <x:c r="K40" s="70"/>
      <x:c r="L40" s="69" t="str"/>
      <x:c r="M40" s="70"/>
      <x:c r="N40" s="69" t="str"/>
      <x:c r="O40" s="71" t="str">
        <x:v>來源表頭對應</x:v>
      </x:c>
      <x:c r="P40" s="71" t="str">
        <x:v>HTML表格1／列4</x:v>
      </x:c>
      <x:c r="Q40" s="71" t="str">
        <x:v>| 工作項目如下: | | | | |</x:v>
      </x:c>
      <x:c r="R40" s="71" t="str">
        <x:v>各廠商合約&amp; 報價\MD檔案\20230613 地質鑽探.md</x:v>
      </x:c>
    </x:row>
    <x:row r="41">
      <x:c r="A41" s="69" t="str">
        <x:v>ITEM00037</x:v>
      </x:c>
      <x:c r="B41" s="69" t="str">
        <x:v>SRC003</x:v>
      </x:c>
      <x:c r="C41" s="69" t="str">
        <x:v>2023-2024</x:v>
      </x:c>
      <x:c r="D41" s="69" t="str">
        <x:v>line_item</x:v>
      </x:c>
      <x:c r="E41" s="69" t="str">
        <x:v>MD2023_2024_002-T01R005</x:v>
      </x:c>
      <x:c r="F41" s="71" t="str">
        <x:v>土層鑽探</x:v>
      </x:c>
      <x:c r="G41" s="71" t="str">
        <x:v>文件未載明</x:v>
      </x:c>
      <x:c r="H41" s="71" t="str"/>
      <x:c r="I41" s="72"/>
      <x:c r="J41" s="69" t="str"/>
      <x:c r="K41" s="70"/>
      <x:c r="L41" s="69" t="str"/>
      <x:c r="M41" s="70"/>
      <x:c r="N41" s="69" t="str"/>
      <x:c r="O41" s="71" t="str">
        <x:v>來源表頭對應</x:v>
      </x:c>
      <x:c r="P41" s="71" t="str">
        <x:v>HTML表格1／列5</x:v>
      </x:c>
      <x:c r="Q41" s="71" t="str">
        <x:v>1 | 土層鑽探 | | | | |</x:v>
      </x:c>
      <x:c r="R41" s="71" t="str">
        <x:v>各廠商合約&amp; 報價\MD檔案\20230613 地質鑽探.md</x:v>
      </x:c>
    </x:row>
    <x:row r="42">
      <x:c r="A42" s="69" t="str">
        <x:v>ITEM00038</x:v>
      </x:c>
      <x:c r="B42" s="69" t="str">
        <x:v>SRC003</x:v>
      </x:c>
      <x:c r="C42" s="69" t="str">
        <x:v>2023-2024</x:v>
      </x:c>
      <x:c r="D42" s="69" t="str">
        <x:v>line_item</x:v>
      </x:c>
      <x:c r="E42" s="69" t="str">
        <x:v>MD2023_2024_002-T01R006</x:v>
      </x:c>
      <x:c r="F42" s="71" t="str">
        <x:v>卵礫石層鑽探</x:v>
      </x:c>
      <x:c r="G42" s="71" t="str">
        <x:v>文件未載明</x:v>
      </x:c>
      <x:c r="H42" s="71" t="str"/>
      <x:c r="I42" s="72"/>
      <x:c r="J42" s="69" t="str"/>
      <x:c r="K42" s="70"/>
      <x:c r="L42" s="69" t="str"/>
      <x:c r="M42" s="70"/>
      <x:c r="N42" s="69" t="str"/>
      <x:c r="O42" s="71" t="str">
        <x:v>來源表頭對應</x:v>
      </x:c>
      <x:c r="P42" s="71" t="str">
        <x:v>HTML表格1／列6</x:v>
      </x:c>
      <x:c r="Q42" s="71" t="str">
        <x:v>2 | 卵礫石層鑽探 | | | | |</x:v>
      </x:c>
      <x:c r="R42" s="71" t="str">
        <x:v>各廠商合約&amp; 報價\MD檔案\20230613 地質鑽探.md</x:v>
      </x:c>
    </x:row>
    <x:row r="43">
      <x:c r="A43" s="69" t="str">
        <x:v>ITEM00039</x:v>
      </x:c>
      <x:c r="B43" s="69" t="str">
        <x:v>SRC003</x:v>
      </x:c>
      <x:c r="C43" s="69" t="str">
        <x:v>2023-2024</x:v>
      </x:c>
      <x:c r="D43" s="69" t="str">
        <x:v>line_item</x:v>
      </x:c>
      <x:c r="E43" s="69" t="str">
        <x:v>MD2023_2024_002-T01R007</x:v>
      </x:c>
      <x:c r="F43" s="71" t="str">
        <x:v>標準貫入試驗</x:v>
      </x:c>
      <x:c r="G43" s="71" t="str">
        <x:v>文件未載明</x:v>
      </x:c>
      <x:c r="H43" s="71" t="str"/>
      <x:c r="I43" s="72"/>
      <x:c r="J43" s="69" t="str"/>
      <x:c r="K43" s="70"/>
      <x:c r="L43" s="69" t="str"/>
      <x:c r="M43" s="70"/>
      <x:c r="N43" s="69" t="str"/>
      <x:c r="O43" s="71" t="str">
        <x:v>來源表頭對應</x:v>
      </x:c>
      <x:c r="P43" s="71" t="str">
        <x:v>HTML表格1／列7</x:v>
      </x:c>
      <x:c r="Q43" s="71" t="str">
        <x:v>3 | 標準貫入試驗 | | | | |</x:v>
      </x:c>
      <x:c r="R43" s="71" t="str">
        <x:v>各廠商合約&amp; 報價\MD檔案\20230613 地質鑽探.md</x:v>
      </x:c>
    </x:row>
    <x:row r="44">
      <x:c r="A44" s="69" t="str">
        <x:v>ITEM00040</x:v>
      </x:c>
      <x:c r="B44" s="69" t="str">
        <x:v>SRC003</x:v>
      </x:c>
      <x:c r="C44" s="69" t="str">
        <x:v>2023-2024</x:v>
      </x:c>
      <x:c r="D44" s="69" t="str">
        <x:v>line_item</x:v>
      </x:c>
      <x:c r="E44" s="69" t="str">
        <x:v>MD2023_2024_002-T01R008</x:v>
      </x:c>
      <x:c r="F44" s="71" t="str">
        <x:v>劈管取樣</x:v>
      </x:c>
      <x:c r="G44" s="71" t="str">
        <x:v>文件未載明</x:v>
      </x:c>
      <x:c r="H44" s="71" t="str"/>
      <x:c r="I44" s="72"/>
      <x:c r="J44" s="69" t="str"/>
      <x:c r="K44" s="70"/>
      <x:c r="L44" s="69" t="str"/>
      <x:c r="M44" s="70"/>
      <x:c r="N44" s="69" t="str"/>
      <x:c r="O44" s="71" t="str">
        <x:v>來源表頭對應</x:v>
      </x:c>
      <x:c r="P44" s="71" t="str">
        <x:v>HTML表格1／列8</x:v>
      </x:c>
      <x:c r="Q44" s="71" t="str">
        <x:v>4 | 劈管取樣 | | | | |</x:v>
      </x:c>
      <x:c r="R44" s="71" t="str">
        <x:v>各廠商合約&amp; 報價\MD檔案\20230613 地質鑽探.md</x:v>
      </x:c>
    </x:row>
    <x:row r="45">
      <x:c r="A45" s="69" t="str">
        <x:v>ITEM00041</x:v>
      </x:c>
      <x:c r="B45" s="69" t="str">
        <x:v>SRC003</x:v>
      </x:c>
      <x:c r="C45" s="69" t="str">
        <x:v>2023-2024</x:v>
      </x:c>
      <x:c r="D45" s="69" t="str">
        <x:v>line_item</x:v>
      </x:c>
      <x:c r="E45" s="69" t="str">
        <x:v>MD2023_2024_002-T01R009</x:v>
      </x:c>
      <x:c r="F45" s="71" t="str">
        <x:v>三寸薄管取樣壹支</x:v>
      </x:c>
      <x:c r="G45" s="71" t="str">
        <x:v>文件未載明</x:v>
      </x:c>
      <x:c r="H45" s="71" t="str"/>
      <x:c r="I45" s="72"/>
      <x:c r="J45" s="69" t="str"/>
      <x:c r="K45" s="70"/>
      <x:c r="L45" s="69" t="str"/>
      <x:c r="M45" s="70"/>
      <x:c r="N45" s="69" t="str"/>
      <x:c r="O45" s="71" t="str">
        <x:v>來源表頭對應</x:v>
      </x:c>
      <x:c r="P45" s="71" t="str">
        <x:v>HTML表格1／列9</x:v>
      </x:c>
      <x:c r="Q45" s="71" t="str">
        <x:v>5 | 三寸薄管取樣壹支 | | | | |</x:v>
      </x:c>
      <x:c r="R45" s="71" t="str">
        <x:v>各廠商合約&amp; 報價\MD檔案\20230613 地質鑽探.md</x:v>
      </x:c>
    </x:row>
    <x:row r="46">
      <x:c r="A46" s="69" t="str">
        <x:v>ITEM00042</x:v>
      </x:c>
      <x:c r="B46" s="69" t="str">
        <x:v>SRC003</x:v>
      </x:c>
      <x:c r="C46" s="69" t="str">
        <x:v>2023-2024</x:v>
      </x:c>
      <x:c r="D46" s="69" t="str">
        <x:v>line_item</x:v>
      </x:c>
      <x:c r="E46" s="69" t="str">
        <x:v>MD2023_2024_002-T01R010</x:v>
      </x:c>
      <x:c r="F46" s="71" t="str">
        <x:v>移機費</x:v>
      </x:c>
      <x:c r="G46" s="71" t="str">
        <x:v>文件未載明</x:v>
      </x:c>
      <x:c r="H46" s="71" t="str"/>
      <x:c r="I46" s="72"/>
      <x:c r="J46" s="69" t="str"/>
      <x:c r="K46" s="70"/>
      <x:c r="L46" s="69" t="str"/>
      <x:c r="M46" s="70"/>
      <x:c r="N46" s="69" t="str"/>
      <x:c r="O46" s="71" t="str">
        <x:v>來源表頭對應</x:v>
      </x:c>
      <x:c r="P46" s="71" t="str">
        <x:v>HTML表格1／列10</x:v>
      </x:c>
      <x:c r="Q46" s="71" t="str">
        <x:v>6 | 移機費 | | | | |</x:v>
      </x:c>
      <x:c r="R46" s="71" t="str">
        <x:v>各廠商合約&amp; 報價\MD檔案\20230613 地質鑽探.md</x:v>
      </x:c>
    </x:row>
    <x:row r="47">
      <x:c r="A47" s="69" t="str">
        <x:v>ITEM00043</x:v>
      </x:c>
      <x:c r="B47" s="69" t="str">
        <x:v>SRC003</x:v>
      </x:c>
      <x:c r="C47" s="69" t="str">
        <x:v>2023-2024</x:v>
      </x:c>
      <x:c r="D47" s="69" t="str">
        <x:v>line_item</x:v>
      </x:c>
      <x:c r="E47" s="69" t="str">
        <x:v>MD2023_2024_002-T01R011</x:v>
      </x:c>
      <x:c r="F47" s="71" t="str">
        <x:v>給水設備費</x:v>
      </x:c>
      <x:c r="G47" s="71" t="str">
        <x:v>文件未載明</x:v>
      </x:c>
      <x:c r="H47" s="71" t="str"/>
      <x:c r="I47" s="72"/>
      <x:c r="J47" s="69" t="str"/>
      <x:c r="K47" s="70"/>
      <x:c r="L47" s="69" t="str"/>
      <x:c r="M47" s="70"/>
      <x:c r="N47" s="69" t="str"/>
      <x:c r="O47" s="71" t="str">
        <x:v>來源表頭對應</x:v>
      </x:c>
      <x:c r="P47" s="71" t="str">
        <x:v>HTML表格1／列11</x:v>
      </x:c>
      <x:c r="Q47" s="71" t="str">
        <x:v>7 | 給水設備費 | | | | |</x:v>
      </x:c>
      <x:c r="R47" s="71" t="str">
        <x:v>各廠商合約&amp; 報價\MD檔案\20230613 地質鑽探.md</x:v>
      </x:c>
    </x:row>
    <x:row r="48">
      <x:c r="A48" s="69" t="str">
        <x:v>ITEM00044</x:v>
      </x:c>
      <x:c r="B48" s="69" t="str">
        <x:v>SRC003</x:v>
      </x:c>
      <x:c r="C48" s="69" t="str">
        <x:v>2023-2024</x:v>
      </x:c>
      <x:c r="D48" s="69" t="str">
        <x:v>line_item</x:v>
      </x:c>
      <x:c r="E48" s="69" t="str">
        <x:v>MD2023_2024_002-T01R012</x:v>
      </x:c>
      <x:c r="F48" s="71" t="str">
        <x:v>機具搬運費</x:v>
      </x:c>
      <x:c r="G48" s="71" t="str">
        <x:v>文件未載明</x:v>
      </x:c>
      <x:c r="H48" s="71" t="str"/>
      <x:c r="I48" s="72"/>
      <x:c r="J48" s="69" t="str"/>
      <x:c r="K48" s="70"/>
      <x:c r="L48" s="69" t="str"/>
      <x:c r="M48" s="70"/>
      <x:c r="N48" s="69" t="str"/>
      <x:c r="O48" s="71" t="str">
        <x:v>來源表頭對應</x:v>
      </x:c>
      <x:c r="P48" s="71" t="str">
        <x:v>HTML表格1／列12</x:v>
      </x:c>
      <x:c r="Q48" s="71" t="str">
        <x:v>8 | 機具搬運費 | | | | |</x:v>
      </x:c>
      <x:c r="R48" s="71" t="str">
        <x:v>各廠商合約&amp; 報價\MD檔案\20230613 地質鑽探.md</x:v>
      </x:c>
    </x:row>
    <x:row r="49">
      <x:c r="A49" s="69" t="str">
        <x:v>ITEM00045</x:v>
      </x:c>
      <x:c r="B49" s="69" t="str">
        <x:v>SRC003</x:v>
      </x:c>
      <x:c r="C49" s="69" t="str">
        <x:v>2023-2024</x:v>
      </x:c>
      <x:c r="D49" s="69" t="str">
        <x:v>line_item</x:v>
      </x:c>
      <x:c r="E49" s="69" t="str">
        <x:v>MD2023_2024_002-T01R013</x:v>
      </x:c>
      <x:c r="F49" s="71" t="str">
        <x:v>一般物理性試驗</x:v>
      </x:c>
      <x:c r="G49" s="71" t="str">
        <x:v>文件未載明</x:v>
      </x:c>
      <x:c r="H49" s="71" t="str"/>
      <x:c r="I49" s="72"/>
      <x:c r="J49" s="69" t="str"/>
      <x:c r="K49" s="70"/>
      <x:c r="L49" s="69" t="str"/>
      <x:c r="M49" s="70"/>
      <x:c r="N49" s="69" t="str"/>
      <x:c r="O49" s="71" t="str">
        <x:v>來源表頭對應</x:v>
      </x:c>
      <x:c r="P49" s="71" t="str">
        <x:v>HTML表格1／列13</x:v>
      </x:c>
      <x:c r="Q49" s="71" t="str">
        <x:v>9 | 一般物理性試驗 | | | | |</x:v>
      </x:c>
      <x:c r="R49" s="71" t="str">
        <x:v>各廠商合約&amp; 報價\MD檔案\20230613 地質鑽探.md</x:v>
      </x:c>
    </x:row>
    <x:row r="50">
      <x:c r="A50" s="69" t="str">
        <x:v>ITEM00046</x:v>
      </x:c>
      <x:c r="B50" s="69" t="str">
        <x:v>SRC003</x:v>
      </x:c>
      <x:c r="C50" s="69" t="str">
        <x:v>2023-2024</x:v>
      </x:c>
      <x:c r="D50" s="69" t="str">
        <x:v>line_item</x:v>
      </x:c>
      <x:c r="E50" s="69" t="str">
        <x:v>MD2023_2024_002-T01R014</x:v>
      </x:c>
      <x:c r="F50" s="71" t="str">
        <x:v>力學試驗壹組</x:v>
      </x:c>
      <x:c r="G50" s="71" t="str">
        <x:v>文件未載明</x:v>
      </x:c>
      <x:c r="H50" s="71" t="str"/>
      <x:c r="I50" s="72"/>
      <x:c r="J50" s="69" t="str"/>
      <x:c r="K50" s="70"/>
      <x:c r="L50" s="69" t="str"/>
      <x:c r="M50" s="70"/>
      <x:c r="N50" s="69" t="str"/>
      <x:c r="O50" s="71" t="str">
        <x:v>來源表頭對應</x:v>
      </x:c>
      <x:c r="P50" s="71" t="str">
        <x:v>HTML表格1／列14</x:v>
      </x:c>
      <x:c r="Q50" s="71" t="str">
        <x:v>10 | 力學試驗壹組 | | | | |</x:v>
      </x:c>
      <x:c r="R50" s="71" t="str">
        <x:v>各廠商合約&amp; 報價\MD檔案\20230613 地質鑽探.md</x:v>
      </x:c>
    </x:row>
    <x:row r="51">
      <x:c r="A51" s="69" t="str">
        <x:v>ITEM00047</x:v>
      </x:c>
      <x:c r="B51" s="69" t="str">
        <x:v>SRC003</x:v>
      </x:c>
      <x:c r="C51" s="69" t="str">
        <x:v>2023-2024</x:v>
      </x:c>
      <x:c r="D51" s="69" t="str">
        <x:v>line_item</x:v>
      </x:c>
      <x:c r="E51" s="69" t="str">
        <x:v>MD2023_2024_002-T01R015</x:v>
      </x:c>
      <x:c r="F51" s="71" t="str">
        <x:v>承載力分析</x:v>
      </x:c>
      <x:c r="G51" s="71" t="str">
        <x:v>文件未載明</x:v>
      </x:c>
      <x:c r="H51" s="71" t="str"/>
      <x:c r="I51" s="72"/>
      <x:c r="J51" s="69" t="str"/>
      <x:c r="K51" s="70"/>
      <x:c r="L51" s="69" t="str"/>
      <x:c r="M51" s="70"/>
      <x:c r="N51" s="69" t="str"/>
      <x:c r="O51" s="71" t="str">
        <x:v>來源表頭對應</x:v>
      </x:c>
      <x:c r="P51" s="71" t="str">
        <x:v>HTML表格1／列15</x:v>
      </x:c>
      <x:c r="Q51" s="71" t="str">
        <x:v>11 | 承載力分析 | | | | |</x:v>
      </x:c>
      <x:c r="R51" s="71" t="str">
        <x:v>各廠商合約&amp; 報價\MD檔案\20230613 地質鑽探.md</x:v>
      </x:c>
    </x:row>
    <x:row r="52">
      <x:c r="A52" s="69" t="str">
        <x:v>ITEM00048</x:v>
      </x:c>
      <x:c r="B52" s="69" t="str">
        <x:v>SRC003</x:v>
      </x:c>
      <x:c r="C52" s="69" t="str">
        <x:v>2023-2024</x:v>
      </x:c>
      <x:c r="D52" s="69" t="str">
        <x:v>line_item</x:v>
      </x:c>
      <x:c r="E52" s="69" t="str">
        <x:v>MD2023_2024_002-T01R016</x:v>
      </x:c>
      <x:c r="F52" s="71" t="str">
        <x:v>報告書裝訂(簽證)</x:v>
      </x:c>
      <x:c r="G52" s="71" t="str">
        <x:v>文件未載明</x:v>
      </x:c>
      <x:c r="H52" s="71" t="str"/>
      <x:c r="I52" s="72"/>
      <x:c r="J52" s="69" t="str"/>
      <x:c r="K52" s="70"/>
      <x:c r="L52" s="69" t="str"/>
      <x:c r="M52" s="70"/>
      <x:c r="N52" s="69" t="str"/>
      <x:c r="O52" s="71" t="str">
        <x:v>來源表頭對應</x:v>
      </x:c>
      <x:c r="P52" s="71" t="str">
        <x:v>HTML表格1／列16</x:v>
      </x:c>
      <x:c r="Q52" s="71" t="str">
        <x:v>12 | 報告書裝訂(簽證) | | | | |</x:v>
      </x:c>
      <x:c r="R52" s="71" t="str">
        <x:v>各廠商合約&amp; 報價\MD檔案\20230613 地質鑽探.md</x:v>
      </x:c>
    </x:row>
    <x:row r="53">
      <x:c r="A53" s="69" t="str">
        <x:v>ITEM00049</x:v>
      </x:c>
      <x:c r="B53" s="69" t="str">
        <x:v>SRC003</x:v>
      </x:c>
      <x:c r="C53" s="69" t="str">
        <x:v>2023-2024</x:v>
      </x:c>
      <x:c r="D53" s="69" t="str">
        <x:v>total_or_tax</x:v>
      </x:c>
      <x:c r="E53" s="69" t="str">
        <x:v>MD2023_2024_002-T01R017</x:v>
      </x:c>
      <x:c r="F53" s="71" t="str">
        <x:v>小計</x:v>
      </x:c>
      <x:c r="G53" s="71" t="str">
        <x:v>文件未載明</x:v>
      </x:c>
      <x:c r="H53" s="71" t="str"/>
      <x:c r="I53" s="72"/>
      <x:c r="J53" s="69" t="str"/>
      <x:c r="K53" s="70"/>
      <x:c r="L53" s="69" t="str"/>
      <x:c r="M53" s="70" t="n">
        <x:v>35000</x:v>
      </x:c>
      <x:c r="N53" s="69" t="str">
        <x:v>35000</x:v>
      </x:c>
      <x:c r="O53" s="71" t="str">
        <x:v>來源表頭對應</x:v>
      </x:c>
      <x:c r="P53" s="71" t="str">
        <x:v>HTML表格1／列17</x:v>
      </x:c>
      <x:c r="Q53" s="71" t="str">
        <x:v>| 小計 | | | | 35000 |</x:v>
      </x:c>
      <x:c r="R53" s="71" t="str">
        <x:v>各廠商合約&amp; 報價\MD檔案\20230613 地質鑽探.md</x:v>
      </x:c>
    </x:row>
    <x:row r="54">
      <x:c r="A54" s="69" t="str">
        <x:v>ITEM00050</x:v>
      </x:c>
      <x:c r="B54" s="69" t="str">
        <x:v>SRC003</x:v>
      </x:c>
      <x:c r="C54" s="69" t="str">
        <x:v>2023-2024</x:v>
      </x:c>
      <x:c r="D54" s="69" t="str">
        <x:v>total_or_tax</x:v>
      </x:c>
      <x:c r="E54" s="69" t="str">
        <x:v>MD2023_2024_002-T01R018</x:v>
      </x:c>
      <x:c r="F54" s="71" t="str">
        <x:v>營業稅</x:v>
      </x:c>
      <x:c r="G54" s="71" t="str">
        <x:v>文件未載明</x:v>
      </x:c>
      <x:c r="H54" s="71" t="str">
        <x:v>式</x:v>
      </x:c>
      <x:c r="I54" s="72" t="n">
        <x:v>1</x:v>
      </x:c>
      <x:c r="J54" s="69" t="str">
        <x:v>1</x:v>
      </x:c>
      <x:c r="K54" s="70" t="n">
        <x:v>1750</x:v>
      </x:c>
      <x:c r="L54" s="69" t="str">
        <x:v>1750</x:v>
      </x:c>
      <x:c r="M54" s="70" t="n">
        <x:v>1750</x:v>
      </x:c>
      <x:c r="N54" s="69" t="str">
        <x:v>1750</x:v>
      </x:c>
      <x:c r="O54" s="71" t="str">
        <x:v>來源表頭對應</x:v>
      </x:c>
      <x:c r="P54" s="71" t="str">
        <x:v>HTML表格1／列18</x:v>
      </x:c>
      <x:c r="Q54" s="71" t="str">
        <x:v>| 營業稅 | 式 | 1 | 1750 | 1750 |</x:v>
      </x:c>
      <x:c r="R54" s="71" t="str">
        <x:v>各廠商合約&amp; 報價\MD檔案\20230613 地質鑽探.md</x:v>
      </x:c>
    </x:row>
    <x:row r="55">
      <x:c r="A55" s="69" t="str">
        <x:v>ITEM00051</x:v>
      </x:c>
      <x:c r="B55" s="69" t="str">
        <x:v>SRC003</x:v>
      </x:c>
      <x:c r="C55" s="69" t="str">
        <x:v>2023-2024</x:v>
      </x:c>
      <x:c r="D55" s="69" t="str">
        <x:v>total_or_tax</x:v>
      </x:c>
      <x:c r="E55" s="69" t="str">
        <x:v>MD2023_2024_002-T01R019</x:v>
      </x:c>
      <x:c r="F55" s="71" t="str">
        <x:v>合計</x:v>
      </x:c>
      <x:c r="G55" s="71" t="str">
        <x:v>文件未載明</x:v>
      </x:c>
      <x:c r="H55" s="71" t="str"/>
      <x:c r="I55" s="72"/>
      <x:c r="J55" s="69" t="str"/>
      <x:c r="K55" s="70"/>
      <x:c r="L55" s="69" t="str"/>
      <x:c r="M55" s="70" t="n">
        <x:v>36750</x:v>
      </x:c>
      <x:c r="N55" s="69" t="str">
        <x:v>36750</x:v>
      </x:c>
      <x:c r="O55" s="71" t="str">
        <x:v>來源表頭對應</x:v>
      </x:c>
      <x:c r="P55" s="71" t="str">
        <x:v>HTML表格1／列19</x:v>
      </x:c>
      <x:c r="Q55" s="71" t="str">
        <x:v>| 合計 | | | | 36750 |</x:v>
      </x:c>
      <x:c r="R55" s="71" t="str">
        <x:v>各廠商合約&amp; 報價\MD檔案\20230613 地質鑽探.md</x:v>
      </x:c>
    </x:row>
    <x:row r="56">
      <x:c r="A56" s="69" t="str">
        <x:v>ITEM00052</x:v>
      </x:c>
      <x:c r="B56" s="69" t="str">
        <x:v>SRC003</x:v>
      </x:c>
      <x:c r="C56" s="69" t="str">
        <x:v>2023-2024</x:v>
      </x:c>
      <x:c r="D56" s="69" t="str">
        <x:v>note_or_description</x:v>
      </x:c>
      <x:c r="E56" s="69" t="str">
        <x:v>MD2023_2024_002-T01R020</x:v>
      </x:c>
      <x:c r="F56" s="71" t="str">
        <x:v>工程總價::新臺幣叁萬陸仟柒佰伍拾元整</x:v>
      </x:c>
      <x:c r="G56" s="71" t="str">
        <x:v>文件未載明</x:v>
      </x:c>
      <x:c r="H56" s="71" t="str">
        <x:v>工程總價::新臺幣叁萬陸仟柒佰伍拾元整</x:v>
      </x:c>
      <x:c r="I56" s="72"/>
      <x:c r="J56" s="69" t="str">
        <x:v>工程總價::新臺幣叁萬陸仟柒佰伍拾元整</x:v>
      </x:c>
      <x:c r="K56" s="70"/>
      <x:c r="L56" s="69" t="str">
        <x:v>工程總價::新臺幣叁萬陸仟柒佰伍拾元整</x:v>
      </x:c>
      <x:c r="M56" s="70"/>
      <x:c r="N56" s="69" t="str">
        <x:v>工程總價::新臺幣叁萬陸仟柒佰伍拾元整</x:v>
      </x:c>
      <x:c r="O56" s="71" t="str">
        <x:v>來源表頭對應</x:v>
      </x:c>
      <x:c r="P56" s="71" t="str">
        <x:v>HTML表格1／列20</x:v>
      </x:c>
      <x:c r="Q56" s="71" t="str">
        <x:v>工程總價::新臺幣叁萬陸仟柒佰伍拾元整 | 工程總價::新臺幣叁萬陸仟柒佰伍拾元整 | 工程總價::新臺幣叁萬陸仟柒佰伍拾元整 | 工程總價::新臺幣叁萬陸仟柒佰伍拾元整 | 工程總價::新臺幣叁萬陸仟柒佰伍拾元整 | 工程總價::新臺幣叁萬陸仟柒佰伍拾元整 | 工程總價::新臺幣叁萬陸仟柒佰伍拾元整</x:v>
      </x:c>
      <x:c r="R56" s="71" t="str">
        <x:v>各廠商合約&amp; 報價\MD檔案\20230613 地質鑽探.md</x:v>
      </x:c>
    </x:row>
    <x:row r="57">
      <x:c r="A57" s="69" t="str">
        <x:v>ITEM00053</x:v>
      </x:c>
      <x:c r="B57" s="69" t="str">
        <x:v>SRC004</x:v>
      </x:c>
      <x:c r="C57" s="69" t="str">
        <x:v>2023-2024</x:v>
      </x:c>
      <x:c r="D57" s="69" t="str">
        <x:v>other_table_row</x:v>
      </x:c>
      <x:c r="E57" s="69" t="str">
        <x:v>MD2023_2024_003-T01R002</x:v>
      </x:c>
      <x:c r="F57" s="71" t="str">
        <x:v>材料部份:</x:v>
      </x:c>
      <x:c r="G57" s="71" t="str">
        <x:v>文件未載明</x:v>
      </x:c>
      <x:c r="H57" s="71" t="str">
        <x:v>文件未載明</x:v>
      </x:c>
      <x:c r="I57" s="72"/>
      <x:c r="J57" s="69" t="str">
        <x:v>文件未載明</x:v>
      </x:c>
      <x:c r="K57" s="70"/>
      <x:c r="L57" s="69" t="str">
        <x:v>文件未載明</x:v>
      </x:c>
      <x:c r="M57" s="70"/>
      <x:c r="N57" s="69" t="str">
        <x:v>文件未載明</x:v>
      </x:c>
      <x:c r="O57" s="71" t="str">
        <x:v>來源表頭對應</x:v>
      </x:c>
      <x:c r="P57" s="71" t="str">
        <x:v>HTML表格1／列2</x:v>
      </x:c>
      <x:c r="Q57" s="71" t="str">
        <x:v>材料部份: | | | 新悅有限公司</x:v>
      </x:c>
      <x:c r="R57" s="71" t="str">
        <x:v>各廠商合約&amp; 報價\MD檔案\20231212 YKK 鋁門窗.md</x:v>
      </x:c>
    </x:row>
    <x:row r="58">
      <x:c r="A58" s="69" t="str">
        <x:v>ITEM00054</x:v>
      </x:c>
      <x:c r="B58" s="69" t="str">
        <x:v>SRC004</x:v>
      </x:c>
      <x:c r="C58" s="69" t="str">
        <x:v>2023-2024</x:v>
      </x:c>
      <x:c r="D58" s="69" t="str">
        <x:v>note_or_description</x:v>
      </x:c>
      <x:c r="E58" s="69" t="str">
        <x:v>MD2023_2024_003-T01R003</x:v>
      </x:c>
      <x:c r="F58" s="71" t="str">
        <x:v>鋁窗 (YKK產品皆為外框10CM;通風門含定位桿)</x:v>
      </x:c>
      <x:c r="G58" s="71" t="str">
        <x:v>文件未載明</x:v>
      </x:c>
      <x:c r="H58" s="71" t="str">
        <x:v>文件未載明</x:v>
      </x:c>
      <x:c r="I58" s="72"/>
      <x:c r="J58" s="69" t="str">
        <x:v>文件未載明</x:v>
      </x:c>
      <x:c r="K58" s="70"/>
      <x:c r="L58" s="69" t="str">
        <x:v>文件未載明</x:v>
      </x:c>
      <x:c r="M58" s="70"/>
      <x:c r="N58" s="69" t="str">
        <x:v>文件未載明</x:v>
      </x:c>
      <x:c r="O58" s="71" t="str">
        <x:v>來源表頭對應</x:v>
      </x:c>
      <x:c r="P58" s="71" t="str">
        <x:v>HTML表格1／列3</x:v>
      </x:c>
      <x:c r="Q58" s="71" t="str">
        <x:v>鋁窗 (YKK產品皆為外框10CM;通風門含定位桿) | 1,777,023 | | 報價專用章</x:v>
      </x:c>
      <x:c r="R58" s="71" t="str">
        <x:v>各廠商合約&amp; 報價\MD檔案\20231212 YKK 鋁門窗.md</x:v>
      </x:c>
    </x:row>
    <x:row r="59">
      <x:c r="A59" s="69" t="str">
        <x:v>ITEM00055</x:v>
      </x:c>
      <x:c r="B59" s="69" t="str">
        <x:v>SRC004</x:v>
      </x:c>
      <x:c r="C59" s="69" t="str">
        <x:v>2023-2024</x:v>
      </x:c>
      <x:c r="D59" s="69" t="str">
        <x:v>note_or_description</x:v>
      </x:c>
      <x:c r="E59" s="69" t="str">
        <x:v>MD2023_2024_003-T01R004</x:v>
      </x:c>
      <x:c r="F59" s="71" t="str">
        <x:v>紗窗 (採黑色PET+HDPE紗網;推開窗採用自動收納捲軸式紗窗)</x:v>
      </x:c>
      <x:c r="G59" s="71" t="str">
        <x:v>文件未載明</x:v>
      </x:c>
      <x:c r="H59" s="71" t="str">
        <x:v>文件未載明</x:v>
      </x:c>
      <x:c r="I59" s="72"/>
      <x:c r="J59" s="69" t="str">
        <x:v>文件未載明</x:v>
      </x:c>
      <x:c r="K59" s="70"/>
      <x:c r="L59" s="69" t="str">
        <x:v>文件未載明</x:v>
      </x:c>
      <x:c r="M59" s="70"/>
      <x:c r="N59" s="69" t="str">
        <x:v>文件未載明</x:v>
      </x:c>
      <x:c r="O59" s="71" t="str">
        <x:v>來源表頭對應</x:v>
      </x:c>
      <x:c r="P59" s="71" t="str">
        <x:v>HTML表格1／列4</x:v>
      </x:c>
      <x:c r="Q59" s="71" t="str">
        <x:v>紗窗 (採黑色PET+HDPE紗網;推開窗採用自動收納捲軸式紗窗) | 322,965 | | 統一編號:85054879 TEL:(04)2534-6963 FAX:(04)2534-6967 台中市潭子區 興華一路137號 聯絡人:王世佑0932-161530</x:v>
      </x:c>
      <x:c r="R59" s="71" t="str">
        <x:v>各廠商合約&amp; 報價\MD檔案\20231212 YKK 鋁門窗.md</x:v>
      </x:c>
    </x:row>
    <x:row r="60">
      <x:c r="A60" s="69" t="str">
        <x:v>ITEM00056</x:v>
      </x:c>
      <x:c r="B60" s="69" t="str">
        <x:v>SRC004</x:v>
      </x:c>
      <x:c r="C60" s="69" t="str">
        <x:v>2023-2024</x:v>
      </x:c>
      <x:c r="D60" s="69" t="str">
        <x:v>note_or_description</x:v>
      </x:c>
      <x:c r="E60" s="69" t="str">
        <x:v>MD2023_2024_003-T01R005</x:v>
      </x:c>
      <x:c r="F60" s="71" t="str">
        <x:v>玻璃 (除註明外,其餘為22MM開口;不含玻璃,客戶自理)</x:v>
      </x:c>
      <x:c r="G60" s="71" t="str">
        <x:v>文件未載明</x:v>
      </x:c>
      <x:c r="H60" s="71" t="str">
        <x:v>文件未載明</x:v>
      </x:c>
      <x:c r="I60" s="72"/>
      <x:c r="J60" s="69" t="str">
        <x:v>文件未載明</x:v>
      </x:c>
      <x:c r="K60" s="70"/>
      <x:c r="L60" s="69" t="str">
        <x:v>文件未載明</x:v>
      </x:c>
      <x:c r="M60" s="70"/>
      <x:c r="N60" s="69" t="str">
        <x:v>文件未載明</x:v>
      </x:c>
      <x:c r="O60" s="71" t="str">
        <x:v>來源表頭對應</x:v>
      </x:c>
      <x:c r="P60" s="71" t="str">
        <x:v>HTML表格1／列5</x:v>
      </x:c>
      <x:c r="Q60" s="71" t="str">
        <x:v>玻璃 (除註明外,其餘為22MM開口;不含玻璃,客戶自理) | | | 統一編號:85054879 TEL:(04)2534-6963 FAX:(04)2534-6967 台中市潭子區 興華一路137號 聯絡人:王世佑0932-161530</x:v>
      </x:c>
      <x:c r="R60" s="71" t="str">
        <x:v>各廠商合約&amp; 報價\MD檔案\20231212 YKK 鋁門窗.md</x:v>
      </x:c>
    </x:row>
    <x:row r="61">
      <x:c r="A61" s="69" t="str">
        <x:v>ITEM00057</x:v>
      </x:c>
      <x:c r="B61" s="69" t="str">
        <x:v>SRC004</x:v>
      </x:c>
      <x:c r="C61" s="69" t="str">
        <x:v>2023-2024</x:v>
      </x:c>
      <x:c r="D61" s="69" t="str">
        <x:v>other_table_row</x:v>
      </x:c>
      <x:c r="E61" s="69" t="str">
        <x:v>MD2023_2024_003-T01R006</x:v>
      </x:c>
      <x:c r="F61" s="71" t="str">
        <x:v>工資部份:</x:v>
      </x:c>
      <x:c r="G61" s="71" t="str">
        <x:v>文件未載明</x:v>
      </x:c>
      <x:c r="H61" s="71" t="str">
        <x:v>文件未載明</x:v>
      </x:c>
      <x:c r="I61" s="72"/>
      <x:c r="J61" s="69" t="str">
        <x:v>文件未載明</x:v>
      </x:c>
      <x:c r="K61" s="70"/>
      <x:c r="L61" s="69" t="str">
        <x:v>文件未載明</x:v>
      </x:c>
      <x:c r="M61" s="70"/>
      <x:c r="N61" s="69" t="str">
        <x:v>文件未載明</x:v>
      </x:c>
      <x:c r="O61" s="71" t="str">
        <x:v>來源表頭對應</x:v>
      </x:c>
      <x:c r="P61" s="71" t="str">
        <x:v>HTML表格1／列6</x:v>
      </x:c>
      <x:c r="Q61" s="71" t="str">
        <x:v>工資部份: | | |</x:v>
      </x:c>
      <x:c r="R61" s="71" t="str">
        <x:v>各廠商合約&amp; 報價\MD檔案\20231212 YKK 鋁門窗.md</x:v>
      </x:c>
    </x:row>
    <x:row r="62">
      <x:c r="A62" s="69" t="str">
        <x:v>ITEM00058</x:v>
      </x:c>
      <x:c r="B62" s="69" t="str">
        <x:v>SRC004</x:v>
      </x:c>
      <x:c r="C62" s="69" t="str">
        <x:v>2023-2024</x:v>
      </x:c>
      <x:c r="D62" s="69" t="str">
        <x:v>note_or_description</x:v>
      </x:c>
      <x:c r="E62" s="69" t="str">
        <x:v>MD2023_2024_003-T01R007</x:v>
      </x:c>
      <x:c r="F62" s="71" t="str">
        <x:v>按裝 (焊接施工;含膨脹螺絲施作於結構上)</x:v>
      </x:c>
      <x:c r="G62" s="71" t="str">
        <x:v>文件未載明</x:v>
      </x:c>
      <x:c r="H62" s="71" t="str">
        <x:v>文件未載明</x:v>
      </x:c>
      <x:c r="I62" s="72"/>
      <x:c r="J62" s="69" t="str">
        <x:v>文件未載明</x:v>
      </x:c>
      <x:c r="K62" s="70"/>
      <x:c r="L62" s="69" t="str">
        <x:v>文件未載明</x:v>
      </x:c>
      <x:c r="M62" s="70"/>
      <x:c r="N62" s="69" t="str">
        <x:v>文件未載明</x:v>
      </x:c>
      <x:c r="O62" s="71" t="str">
        <x:v>來源表頭對應</x:v>
      </x:c>
      <x:c r="P62" s="71" t="str">
        <x:v>HTML表格1／列7</x:v>
      </x:c>
      <x:c r="Q62" s="71" t="str">
        <x:v>按裝 (焊接施工;含膨脹螺絲施作於結構上) | 181,656 | |</x:v>
      </x:c>
      <x:c r="R62" s="71" t="str">
        <x:v>各廠商合約&amp; 報價\MD檔案\20231212 YKK 鋁門窗.md</x:v>
      </x:c>
    </x:row>
    <x:row r="63">
      <x:c r="A63" s="69" t="str">
        <x:v>ITEM00059</x:v>
      </x:c>
      <x:c r="B63" s="69" t="str">
        <x:v>SRC004</x:v>
      </x:c>
      <x:c r="C63" s="69" t="str">
        <x:v>2023-2024</x:v>
      </x:c>
      <x:c r="D63" s="69" t="str">
        <x:v>note_or_description</x:v>
      </x:c>
      <x:c r="E63" s="69" t="str">
        <x:v>MD2023_2024_003-T01R008</x:v>
      </x:c>
      <x:c r="F63" s="71" t="str">
        <x:v>拆紙 (限乙次,不含清潔)</x:v>
      </x:c>
      <x:c r="G63" s="71" t="str">
        <x:v>文件未載明</x:v>
      </x:c>
      <x:c r="H63" s="71" t="str">
        <x:v>文件未載明</x:v>
      </x:c>
      <x:c r="I63" s="72"/>
      <x:c r="J63" s="69" t="str">
        <x:v>文件未載明</x:v>
      </x:c>
      <x:c r="K63" s="70"/>
      <x:c r="L63" s="69" t="str">
        <x:v>文件未載明</x:v>
      </x:c>
      <x:c r="M63" s="70"/>
      <x:c r="N63" s="69" t="str">
        <x:v>文件未載明</x:v>
      </x:c>
      <x:c r="O63" s="71" t="str">
        <x:v>來源表頭對應</x:v>
      </x:c>
      <x:c r="P63" s="71" t="str">
        <x:v>HTML表格1／列8</x:v>
      </x:c>
      <x:c r="Q63" s="71" t="str">
        <x:v>拆紙 (限乙次,不含清潔) | 13,617 | |</x:v>
      </x:c>
      <x:c r="R63" s="71" t="str">
        <x:v>各廠商合約&amp; 報價\MD檔案\20231212 YKK 鋁門窗.md</x:v>
      </x:c>
    </x:row>
    <x:row r="64">
      <x:c r="A64" s="69" t="str">
        <x:v>ITEM00060</x:v>
      </x:c>
      <x:c r="B64" s="69" t="str">
        <x:v>SRC004</x:v>
      </x:c>
      <x:c r="C64" s="69" t="str">
        <x:v>2023-2024</x:v>
      </x:c>
      <x:c r="D64" s="69" t="str">
        <x:v>note_or_description</x:v>
      </x:c>
      <x:c r="E64" s="69" t="str">
        <x:v>MD2023_2024_003-T01R009</x:v>
      </x:c>
      <x:c r="F64" s="71" t="str">
        <x:v>塞水路 (10*10mm單面施工,道康寧791;現場預留開口尺寸若與報價不符)</x:v>
      </x:c>
      <x:c r="G64" s="71" t="str">
        <x:v>文件未載明</x:v>
      </x:c>
      <x:c r="H64" s="71" t="str">
        <x:v>文件未載明</x:v>
      </x:c>
      <x:c r="I64" s="72"/>
      <x:c r="J64" s="69" t="str">
        <x:v>文件未載明</x:v>
      </x:c>
      <x:c r="K64" s="70"/>
      <x:c r="L64" s="69" t="str">
        <x:v>文件未載明</x:v>
      </x:c>
      <x:c r="M64" s="70"/>
      <x:c r="N64" s="69" t="str">
        <x:v>文件未載明</x:v>
      </x:c>
      <x:c r="O64" s="71" t="str">
        <x:v>來源表頭對應</x:v>
      </x:c>
      <x:c r="P64" s="71" t="str">
        <x:v>HTML表格1／列9</x:v>
      </x:c>
      <x:c r="Q64" s="71" t="str">
        <x:v>塞水路 (10*10mm單面施工,道康寧791;現場預留開口尺寸若與報價不符) | 83,520 | |</x:v>
      </x:c>
      <x:c r="R64" s="71" t="str">
        <x:v>各廠商合約&amp; 報價\MD檔案\20231212 YKK 鋁門窗.md</x:v>
      </x:c>
    </x:row>
    <x:row r="65">
      <x:c r="A65" s="69" t="str">
        <x:v>ITEM00061</x:v>
      </x:c>
      <x:c r="B65" s="69" t="str">
        <x:v>SRC004</x:v>
      </x:c>
      <x:c r="C65" s="69" t="str">
        <x:v>2023-2024</x:v>
      </x:c>
      <x:c r="D65" s="69" t="str">
        <x:v>total_or_tax</x:v>
      </x:c>
      <x:c r="E65" s="69" t="str">
        <x:v>MD2023_2024_003-T01R010</x:v>
      </x:c>
      <x:c r="F65" s="71" t="str">
        <x:v>合計,則價格另議)</x:v>
      </x:c>
      <x:c r="G65" s="71" t="str">
        <x:v>文件未載明</x:v>
      </x:c>
      <x:c r="H65" s="71" t="str">
        <x:v>文件未載明</x:v>
      </x:c>
      <x:c r="I65" s="72"/>
      <x:c r="J65" s="69" t="str">
        <x:v>文件未載明</x:v>
      </x:c>
      <x:c r="K65" s="70"/>
      <x:c r="L65" s="69" t="str">
        <x:v>文件未載明</x:v>
      </x:c>
      <x:c r="M65" s="70"/>
      <x:c r="N65" s="69" t="str">
        <x:v>文件未載明</x:v>
      </x:c>
      <x:c r="O65" s="71" t="str">
        <x:v>來源表頭對應</x:v>
      </x:c>
      <x:c r="P65" s="71" t="str">
        <x:v>HTML表格1／列10</x:v>
      </x:c>
      <x:c r="Q65" s="71" t="str">
        <x:v>合計,則價格另議) | 2,378,781 | (未稅) |</x:v>
      </x:c>
      <x:c r="R65" s="71" t="str">
        <x:v>各廠商合約&amp; 報價\MD檔案\20231212 YKK 鋁門窗.md</x:v>
      </x:c>
    </x:row>
    <x:row r="66">
      <x:c r="A66" s="69" t="str">
        <x:v>ITEM00062</x:v>
      </x:c>
      <x:c r="B66" s="69" t="str">
        <x:v>SRC004</x:v>
      </x:c>
      <x:c r="C66" s="69" t="str">
        <x:v>2023-2024</x:v>
      </x:c>
      <x:c r="D66" s="69" t="str">
        <x:v>total_or_tax</x:v>
      </x:c>
      <x:c r="E66" s="69" t="str">
        <x:v>MD2023_2024_003-T01R011</x:v>
      </x:c>
      <x:c r="F66" s="71" t="str">
        <x:v>5%稅金</x:v>
      </x:c>
      <x:c r="G66" s="71" t="str">
        <x:v>文件未載明</x:v>
      </x:c>
      <x:c r="H66" s="71" t="str">
        <x:v>文件未載明</x:v>
      </x:c>
      <x:c r="I66" s="72"/>
      <x:c r="J66" s="69" t="str">
        <x:v>文件未載明</x:v>
      </x:c>
      <x:c r="K66" s="70"/>
      <x:c r="L66" s="69" t="str">
        <x:v>文件未載明</x:v>
      </x:c>
      <x:c r="M66" s="70"/>
      <x:c r="N66" s="69" t="str">
        <x:v>文件未載明</x:v>
      </x:c>
      <x:c r="O66" s="71" t="str">
        <x:v>來源表頭對應</x:v>
      </x:c>
      <x:c r="P66" s="71" t="str">
        <x:v>HTML表格1／列11</x:v>
      </x:c>
      <x:c r="Q66" s="71" t="str">
        <x:v>5%稅金 | 118,939 | |</x:v>
      </x:c>
      <x:c r="R66" s="71" t="str">
        <x:v>各廠商合約&amp; 報價\MD檔案\20231212 YKK 鋁門窗.md</x:v>
      </x:c>
    </x:row>
    <x:row r="67">
      <x:c r="A67" s="69" t="str">
        <x:v>ITEM00063</x:v>
      </x:c>
      <x:c r="B67" s="69" t="str">
        <x:v>SRC004</x:v>
      </x:c>
      <x:c r="C67" s="69" t="str">
        <x:v>2023-2024</x:v>
      </x:c>
      <x:c r="D67" s="69" t="str">
        <x:v>total_or_tax</x:v>
      </x:c>
      <x:c r="E67" s="69" t="str">
        <x:v>MD2023_2024_003-T01R012</x:v>
      </x:c>
      <x:c r="F67" s="71" t="str">
        <x:v>總計</x:v>
      </x:c>
      <x:c r="G67" s="71" t="str">
        <x:v>文件未載明</x:v>
      </x:c>
      <x:c r="H67" s="71" t="str">
        <x:v>文件未載明</x:v>
      </x:c>
      <x:c r="I67" s="72"/>
      <x:c r="J67" s="69" t="str">
        <x:v>文件未載明</x:v>
      </x:c>
      <x:c r="K67" s="70"/>
      <x:c r="L67" s="69" t="str">
        <x:v>文件未載明</x:v>
      </x:c>
      <x:c r="M67" s="70"/>
      <x:c r="N67" s="69" t="str">
        <x:v>文件未載明</x:v>
      </x:c>
      <x:c r="O67" s="71" t="str">
        <x:v>來源表頭對應</x:v>
      </x:c>
      <x:c r="P67" s="71" t="str">
        <x:v>HTML表格1／列12</x:v>
      </x:c>
      <x:c r="Q67" s="71" t="str">
        <x:v>總計 | 2,497,720 | (含稅、實價) |</x:v>
      </x:c>
      <x:c r="R67" s="71" t="str">
        <x:v>各廠商合約&amp; 報價\MD檔案\20231212 YKK 鋁門窗.md</x:v>
      </x:c>
    </x:row>
    <x:row r="68">
      <x:c r="A68" s="69" t="str">
        <x:v>ITEM00064</x:v>
      </x:c>
      <x:c r="B68" s="69" t="str">
        <x:v>SRC004</x:v>
      </x:c>
      <x:c r="C68" s="69" t="str">
        <x:v>2023-2024</x:v>
      </x:c>
      <x:c r="D68" s="69" t="str">
        <x:v>line_item</x:v>
      </x:c>
      <x:c r="E68" s="69" t="str">
        <x:v>MD2023_2024_003-T02R004</x:v>
      </x:c>
      <x:c r="F68" s="71" t="str">
        <x:v>1</x:v>
      </x:c>
      <x:c r="G68" s="71" t="str">
        <x:v>YRB-A100固定+通風門(外開)/M</x:v>
      </x:c>
      <x:c r="H68" s="71" t="str">
        <x:v>文件未載明</x:v>
      </x:c>
      <x:c r="I68" s="72" t="n">
        <x:v>13</x:v>
      </x:c>
      <x:c r="J68" s="69" t="str">
        <x:v>13</x:v>
      </x:c>
      <x:c r="K68" s="70" t="n">
        <x:v>22502</x:v>
      </x:c>
      <x:c r="L68" s="69" t="str">
        <x:v>22,502</x:v>
      </x:c>
      <x:c r="M68" s="70" t="n">
        <x:v>377156</x:v>
      </x:c>
      <x:c r="N68" s="69" t="str">
        <x:v>377,156</x:v>
      </x:c>
      <x:c r="O68" s="71" t="str">
        <x:v>來源表頭對應</x:v>
      </x:c>
      <x:c r="P68" s="71" t="str">
        <x:v>HTML表格2／列4</x:v>
      </x:c>
      <x:c r="Q68" s="71" t="str">
        <x:v>1 | D4 | YRB-A100固定+通風門(外開)/M | 900 | 2700 | 13 | 22,502 | 3,340 | - | 1,944 | 146 | 1,080 | 29,012 | 377,156 | 18MM</x:v>
      </x:c>
      <x:c r="R68" s="71" t="str">
        <x:v>各廠商合約&amp; 報價\MD檔案\20231212 YKK 鋁門窗.md</x:v>
      </x:c>
    </x:row>
    <x:row r="69">
      <x:c r="A69" s="69" t="str">
        <x:v>ITEM00065</x:v>
      </x:c>
      <x:c r="B69" s="69" t="str">
        <x:v>SRC004</x:v>
      </x:c>
      <x:c r="C69" s="69" t="str">
        <x:v>2023-2024</x:v>
      </x:c>
      <x:c r="D69" s="69" t="str">
        <x:v>line_item</x:v>
      </x:c>
      <x:c r="E69" s="69" t="str">
        <x:v>MD2023_2024_003-T02R005</x:v>
      </x:c>
      <x:c r="F69" s="71" t="str">
        <x:v>2</x:v>
      </x:c>
      <x:c r="G69" s="71" t="str">
        <x:v>YRB-A1002枚橫拉/橫拉段窗/M</x:v>
      </x:c>
      <x:c r="H69" s="71" t="str">
        <x:v>文件未載明</x:v>
      </x:c>
      <x:c r="I69" s="72" t="n">
        <x:v>11</x:v>
      </x:c>
      <x:c r="J69" s="69" t="str">
        <x:v>11</x:v>
      </x:c>
      <x:c r="K69" s="70" t="n">
        <x:v>31088</x:v>
      </x:c>
      <x:c r="L69" s="69" t="str">
        <x:v>31,088</x:v>
      </x:c>
      <x:c r="M69" s="70" t="n">
        <x:v>459514</x:v>
      </x:c>
      <x:c r="N69" s="69" t="str">
        <x:v>459,514</x:v>
      </x:c>
      <x:c r="O69" s="71" t="str">
        <x:v>來源表頭對應</x:v>
      </x:c>
      <x:c r="P69" s="71" t="str">
        <x:v>HTML表格2／列5</x:v>
      </x:c>
      <x:c r="Q69" s="71" t="str">
        <x:v>2 | DW1 | YRB-A1002枚橫拉/橫拉段窗/M | 2200 | 2600 | 11 | 31,088 | 4,327 | - | 4,576 | 343 | 1,440 | 41,774 | 459,514 | 22MM·T3</x:v>
      </x:c>
      <x:c r="R69" s="71" t="str">
        <x:v>各廠商合約&amp; 報價\MD檔案\20231212 YKK 鋁門窗.md</x:v>
      </x:c>
    </x:row>
    <x:row r="70">
      <x:c r="A70" s="69" t="str">
        <x:v>ITEM00066</x:v>
      </x:c>
      <x:c r="B70" s="69" t="str">
        <x:v>SRC004</x:v>
      </x:c>
      <x:c r="C70" s="69" t="str">
        <x:v>2023-2024</x:v>
      </x:c>
      <x:c r="D70" s="69" t="str">
        <x:v>line_item</x:v>
      </x:c>
      <x:c r="E70" s="69" t="str">
        <x:v>MD2023_2024_003-T02R006</x:v>
      </x:c>
      <x:c r="F70" s="71" t="str">
        <x:v>3</x:v>
      </x:c>
      <x:c r="G70" s="71" t="str">
        <x:v>YRB-A1002枚橫拉/橫拉段窗/M</x:v>
      </x:c>
      <x:c r="H70" s="71" t="str">
        <x:v>文件未載明</x:v>
      </x:c>
      <x:c r="I70" s="72" t="n">
        <x:v>6</x:v>
      </x:c>
      <x:c r="J70" s="69" t="str">
        <x:v>6</x:v>
      </x:c>
      <x:c r="K70" s="70" t="n">
        <x:v>27840</x:v>
      </x:c>
      <x:c r="L70" s="69" t="str">
        <x:v>27,840</x:v>
      </x:c>
      <x:c r="M70" s="70" t="n">
        <x:v>220422</x:v>
      </x:c>
      <x:c r="N70" s="69" t="str">
        <x:v>220,422</x:v>
      </x:c>
      <x:c r="O70" s="71" t="str">
        <x:v>來源表頭對應</x:v>
      </x:c>
      <x:c r="P70" s="71" t="str">
        <x:v>HTML表格2／列6</x:v>
      </x:c>
      <x:c r="Q70" s="71" t="str">
        <x:v>3 | DW2 | YRB-A1002枚橫拉/橫拉段窗/M | 1600 | 2600 | 6 | 27,840 | 4,059 | - | 3,328 | 250 | 1,260 | 36,737 | 220,422 | 22MM·T3</x:v>
      </x:c>
      <x:c r="R70" s="71" t="str">
        <x:v>各廠商合約&amp; 報價\MD檔案\20231212 YKK 鋁門窗.md</x:v>
      </x:c>
    </x:row>
    <x:row r="71">
      <x:c r="A71" s="69" t="str">
        <x:v>ITEM00067</x:v>
      </x:c>
      <x:c r="B71" s="69" t="str">
        <x:v>SRC004</x:v>
      </x:c>
      <x:c r="C71" s="69" t="str">
        <x:v>2023-2024</x:v>
      </x:c>
      <x:c r="D71" s="69" t="str">
        <x:v>line_item</x:v>
      </x:c>
      <x:c r="E71" s="69" t="str">
        <x:v>MD2023_2024_003-T02R007</x:v>
      </x:c>
      <x:c r="F71" s="71" t="str">
        <x:v>4</x:v>
      </x:c>
      <x:c r="G71" s="71" t="str">
        <x:v>YRB-A1002枚橫拉/橫拉段窗/M</x:v>
      </x:c>
      <x:c r="H71" s="71" t="str">
        <x:v>文件未載明</x:v>
      </x:c>
      <x:c r="I71" s="72" t="n">
        <x:v>22</x:v>
      </x:c>
      <x:c r="J71" s="69" t="str">
        <x:v>22</x:v>
      </x:c>
      <x:c r="K71" s="70" t="n">
        <x:v>20690</x:v>
      </x:c>
      <x:c r="L71" s="69" t="str">
        <x:v>20,690</x:v>
      </x:c>
      <x:c r="M71" s="70" t="n">
        <x:v>588346</x:v>
      </x:c>
      <x:c r="N71" s="69" t="str">
        <x:v>588,346</x:v>
      </x:c>
      <x:c r="O71" s="71" t="str">
        <x:v>來源表頭對應</x:v>
      </x:c>
      <x:c r="P71" s="71" t="str">
        <x:v>HTML表格2／列7</x:v>
      </x:c>
      <x:c r="Q71" s="71" t="str">
        <x:v>4 | W1 | YRB-A1002枚橫拉/橫拉段窗/M | 1400 | 1600 | 22 | 20,690 | 3,227 | - | 1,792 | 134 | 900 | 26,743 | 588,346 | 22MM·T3</x:v>
      </x:c>
      <x:c r="R71" s="71" t="str">
        <x:v>各廠商合約&amp; 報價\MD檔案\20231212 YKK 鋁門窗.md</x:v>
      </x:c>
    </x:row>
    <x:row r="72">
      <x:c r="A72" s="69" t="str">
        <x:v>ITEM00068</x:v>
      </x:c>
      <x:c r="B72" s="69" t="str">
        <x:v>SRC004</x:v>
      </x:c>
      <x:c r="C72" s="69" t="str">
        <x:v>2023-2024</x:v>
      </x:c>
      <x:c r="D72" s="69" t="str">
        <x:v>line_item</x:v>
      </x:c>
      <x:c r="E72" s="69" t="str">
        <x:v>MD2023_2024_003-T02R008</x:v>
      </x:c>
      <x:c r="F72" s="71" t="str">
        <x:v>5</x:v>
      </x:c>
      <x:c r="G72" s="71" t="str">
        <x:v>YRB-A100推開窗/XMY</x:v>
      </x:c>
      <x:c r="H72" s="71" t="str">
        <x:v>文件未載明</x:v>
      </x:c>
      <x:c r="I72" s="72" t="n">
        <x:v>12</x:v>
      </x:c>
      <x:c r="J72" s="69" t="str">
        <x:v>12</x:v>
      </x:c>
      <x:c r="K72" s="70" t="n">
        <x:v>8628</x:v>
      </x:c>
      <x:c r="L72" s="69" t="str">
        <x:v>8,628</x:v>
      </x:c>
      <x:c r="M72" s="70" t="n">
        <x:v>159420</x:v>
      </x:c>
      <x:c r="N72" s="69" t="str">
        <x:v>159,420</x:v>
      </x:c>
      <x:c r="O72" s="71" t="str">
        <x:v>來源表頭對應</x:v>
      </x:c>
      <x:c r="P72" s="71" t="str">
        <x:v>HTML表格2／列8</x:v>
      </x:c>
      <x:c r="Q72" s="71" t="str">
        <x:v>5 | W2A | YRB-A100推開窗/XMY | 600 | 1100 | 12 | 8,628 | 3,287 | - | 800 | 60 | 510 | 13,285 | 159,420 | 22MM</x:v>
      </x:c>
      <x:c r="R72" s="71" t="str">
        <x:v>各廠商合約&amp; 報價\MD檔案\20231212 YKK 鋁門窗.md</x:v>
      </x:c>
    </x:row>
    <x:row r="73">
      <x:c r="A73" s="69" t="str">
        <x:v>ITEM00069</x:v>
      </x:c>
      <x:c r="B73" s="69" t="str">
        <x:v>SRC004</x:v>
      </x:c>
      <x:c r="C73" s="69" t="str">
        <x:v>2023-2024</x:v>
      </x:c>
      <x:c r="D73" s="69" t="str">
        <x:v>line_item</x:v>
      </x:c>
      <x:c r="E73" s="69" t="str">
        <x:v>MD2023_2024_003-T02R009</x:v>
      </x:c>
      <x:c r="F73" s="71" t="str">
        <x:v>6</x:v>
      </x:c>
      <x:c r="G73" s="71" t="str">
        <x:v>YRB-A100推開窗/XMY</x:v>
      </x:c>
      <x:c r="H73" s="71" t="str">
        <x:v>文件未載明</x:v>
      </x:c>
      <x:c r="I73" s="72" t="n">
        <x:v>15</x:v>
      </x:c>
      <x:c r="J73" s="69" t="str">
        <x:v>15</x:v>
      </x:c>
      <x:c r="K73" s="70" t="n">
        <x:v>8628</x:v>
      </x:c>
      <x:c r="L73" s="69" t="str">
        <x:v>8,628</x:v>
      </x:c>
      <x:c r="M73" s="70" t="n">
        <x:v>199275</x:v>
      </x:c>
      <x:c r="N73" s="69" t="str">
        <x:v>199,275</x:v>
      </x:c>
      <x:c r="O73" s="71" t="str">
        <x:v>來源表頭對應</x:v>
      </x:c>
      <x:c r="P73" s="71" t="str">
        <x:v>HTML表格2／列9</x:v>
      </x:c>
      <x:c r="Q73" s="71" t="str">
        <x:v>6 | W2B | YRB-A100推開窗/XMY | 600 | 1100 | 15 | 8,628 | 3,287 | - | 800 | 60 | 510 | 13,285 | 199,275 | 22MM</x:v>
      </x:c>
      <x:c r="R73" s="71" t="str">
        <x:v>各廠商合約&amp; 報價\MD檔案\20231212 YKK 鋁門窗.md</x:v>
      </x:c>
    </x:row>
    <x:row r="74">
      <x:c r="A74" s="69" t="str">
        <x:v>ITEM00070</x:v>
      </x:c>
      <x:c r="B74" s="69" t="str">
        <x:v>SRC004</x:v>
      </x:c>
      <x:c r="C74" s="69" t="str">
        <x:v>2023-2024</x:v>
      </x:c>
      <x:c r="D74" s="69" t="str">
        <x:v>line_item</x:v>
      </x:c>
      <x:c r="E74" s="69" t="str">
        <x:v>MD2023_2024_003-T02R010</x:v>
      </x:c>
      <x:c r="F74" s="71" t="str">
        <x:v>7</x:v>
      </x:c>
      <x:c r="G74" s="71" t="str">
        <x:v>YRB-A1002枚橫拉段窗/M</x:v>
      </x:c>
      <x:c r="H74" s="71" t="str">
        <x:v>文件未載明</x:v>
      </x:c>
      <x:c r="I74" s="72" t="n">
        <x:v>22</x:v>
      </x:c>
      <x:c r="J74" s="69" t="str">
        <x:v>22</x:v>
      </x:c>
      <x:c r="K74" s="70" t="n">
        <x:v>8273</x:v>
      </x:c>
      <x:c r="L74" s="69" t="str">
        <x:v>8,273</x:v>
      </x:c>
      <x:c r="M74" s="70" t="n">
        <x:v>239404</x:v>
      </x:c>
      <x:c r="N74" s="69" t="str">
        <x:v>239,404</x:v>
      </x:c>
      <x:c r="O74" s="71" t="str">
        <x:v>來源表頭對應</x:v>
      </x:c>
      <x:c r="P74" s="71" t="str">
        <x:v>HTML表格2／列10</x:v>
      </x:c>
      <x:c r="Q74" s="71" t="str">
        <x:v>7 | W3 | YRB-A1002枚橫拉段窗/M | 600 | 600 | 22 | 8,273 | 1,389 | - | 800 | 60 | 360 | 10,882 | 239,404 | 22MM·T3</x:v>
      </x:c>
      <x:c r="R74" s="71" t="str">
        <x:v>各廠商合約&amp; 報價\MD檔案\20231212 YKK 鋁門窗.md</x:v>
      </x:c>
    </x:row>
    <x:row r="75">
      <x:c r="A75" s="69" t="str">
        <x:v>ITEM00071</x:v>
      </x:c>
      <x:c r="B75" s="69" t="str">
        <x:v>SRC004</x:v>
      </x:c>
      <x:c r="C75" s="69" t="str">
        <x:v>2023-2024</x:v>
      </x:c>
      <x:c r="D75" s="69" t="str">
        <x:v>line_item</x:v>
      </x:c>
      <x:c r="E75" s="69" t="str">
        <x:v>MD2023_2024_003-T02R011</x:v>
      </x:c>
      <x:c r="F75" s="71" t="str">
        <x:v>8</x:v>
      </x:c>
      <x:c r="G75" s="71" t="str">
        <x:v>YRB-A1002枚橫拉段窗/M</x:v>
      </x:c>
      <x:c r="H75" s="71" t="str">
        <x:v>文件未載明</x:v>
      </x:c>
      <x:c r="I75" s="72" t="n">
        <x:v>5</x:v>
      </x:c>
      <x:c r="J75" s="69" t="str">
        <x:v>5</x:v>
      </x:c>
      <x:c r="K75" s="70" t="n">
        <x:v>9289</x:v>
      </x:c>
      <x:c r="L75" s="69" t="str">
        <x:v>9,289</x:v>
      </x:c>
      <x:c r="M75" s="70" t="n">
        <x:v>60550</x:v>
      </x:c>
      <x:c r="N75" s="69" t="str">
        <x:v>60,550</x:v>
      </x:c>
      <x:c r="O75" s="71" t="str">
        <x:v>來源表頭對應</x:v>
      </x:c>
      <x:c r="P75" s="71" t="str">
        <x:v>HTML表格2／列11</x:v>
      </x:c>
      <x:c r="Q75" s="71" t="str">
        <x:v>8 | W4 | YRB-A1002枚橫拉段窗/M | 1000 | 600 | 5 | 9,289 | 1,481 | - | 800 | 60 | 480 | 12,110 | 60,550 | 22MM·T3</x:v>
      </x:c>
      <x:c r="R75" s="71" t="str">
        <x:v>各廠商合約&amp; 報價\MD檔案\20231212 YKK 鋁門窗.md</x:v>
      </x:c>
    </x:row>
    <x:row r="76">
      <x:c r="A76" s="69" t="str">
        <x:v>ITEM00072</x:v>
      </x:c>
      <x:c r="B76" s="69" t="str">
        <x:v>SRC004</x:v>
      </x:c>
      <x:c r="C76" s="69" t="str">
        <x:v>2023-2024</x:v>
      </x:c>
      <x:c r="D76" s="69" t="str">
        <x:v>line_item</x:v>
      </x:c>
      <x:c r="E76" s="69" t="str">
        <x:v>MD2023_2024_003-T02R012</x:v>
      </x:c>
      <x:c r="F76" s="71" t="str">
        <x:v>9</x:v>
      </x:c>
      <x:c r="G76" s="71" t="str">
        <x:v>YRB-A100百葉窗(固定/脫著)/MSUS</x:v>
      </x:c>
      <x:c r="H76" s="71" t="str">
        <x:v>文件未載明</x:v>
      </x:c>
      <x:c r="I76" s="72" t="n">
        <x:v>2</x:v>
      </x:c>
      <x:c r="J76" s="69" t="str">
        <x:v>2</x:v>
      </x:c>
      <x:c r="K76" s="70" t="n">
        <x:v>20413</x:v>
      </x:c>
      <x:c r="L76" s="69" t="str">
        <x:v>20,413</x:v>
      </x:c>
      <x:c r="M76" s="70" t="n">
        <x:v>51626</x:v>
      </x:c>
      <x:c r="N76" s="69" t="str">
        <x:v>51,626</x:v>
      </x:c>
      <x:c r="O76" s="71" t="str">
        <x:v>來源表頭對應</x:v>
      </x:c>
      <x:c r="P76" s="71" t="str">
        <x:v>HTML表格2／列12</x:v>
      </x:c>
      <x:c r="Q76" s="71" t="str">
        <x:v>9 | W5 | YRB-A100百葉窗(固定/脫著)/MSUS | 1200 | 1200 | 2 | 20,413 | 3,442 | - | 1,152 | 86 | 720 | 25,813 | 51,626 |</x:v>
      </x:c>
      <x:c r="R76" s="71" t="str">
        <x:v>各廠商合約&amp; 報價\MD檔案\20231212 YKK 鋁門窗.md</x:v>
      </x:c>
    </x:row>
    <x:row r="77">
      <x:c r="A77" s="69" t="str">
        <x:v>ITEM00073</x:v>
      </x:c>
      <x:c r="B77" s="69" t="str">
        <x:v>SRC004</x:v>
      </x:c>
      <x:c r="C77" s="69" t="str">
        <x:v>2023-2024</x:v>
      </x:c>
      <x:c r="D77" s="69" t="str">
        <x:v>line_item</x:v>
      </x:c>
      <x:c r="E77" s="69" t="str">
        <x:v>MD2023_2024_003-T02R013</x:v>
      </x:c>
      <x:c r="F77" s="71" t="str">
        <x:v>10</x:v>
      </x:c>
      <x:c r="G77" s="71" t="str">
        <x:v>YRB-A1002枚橫拉/橫拉段窗/M</x:v>
      </x:c>
      <x:c r="H77" s="71" t="str">
        <x:v>文件未載明</x:v>
      </x:c>
      <x:c r="I77" s="72" t="n">
        <x:v>1</x:v>
      </x:c>
      <x:c r="J77" s="69" t="str">
        <x:v>1</x:v>
      </x:c>
      <x:c r="K77" s="70" t="n">
        <x:v>18076</x:v>
      </x:c>
      <x:c r="L77" s="69" t="str">
        <x:v>18,076</x:v>
      </x:c>
      <x:c r="M77" s="70" t="n">
        <x:v>23068</x:v>
      </x:c>
      <x:c r="N77" s="69" t="str">
        <x:v>23,068</x:v>
      </x:c>
      <x:c r="O77" s="71" t="str">
        <x:v>來源表頭對應</x:v>
      </x:c>
      <x:c r="P77" s="71" t="str">
        <x:v>HTML表格2／列13</x:v>
      </x:c>
      <x:c r="Q77" s="71" t="str">
        <x:v>10 | W6 | YRB-A1002枚橫拉/橫拉段窗/M | 900 | 1600 | 1 | 18,076 | 3,004 | - | 1,152 | 86 | 750 | 23,068 | 23,068 | 22MM·T3</x:v>
      </x:c>
      <x:c r="R77" s="71" t="str">
        <x:v>各廠商合約&amp; 報價\MD檔案\20231212 YKK 鋁門窗.md</x:v>
      </x:c>
    </x:row>
    <x:row r="78">
      <x:c r="A78" s="69" t="str">
        <x:v>ITEM00074</x:v>
      </x:c>
      <x:c r="B78" s="69" t="str">
        <x:v>SRC004</x:v>
      </x:c>
      <x:c r="C78" s="69" t="str">
        <x:v>2023-2024</x:v>
      </x:c>
      <x:c r="D78" s="69" t="str">
        <x:v>total_or_tax</x:v>
      </x:c>
      <x:c r="E78" s="69" t="str">
        <x:v>MD2023_2024_003-T02R014</x:v>
      </x:c>
      <x:c r="F78" s="71" t="str">
        <x:v>本頁小計</x:v>
      </x:c>
      <x:c r="G78" s="71" t="str"/>
      <x:c r="H78" s="71" t="str">
        <x:v>文件未載明</x:v>
      </x:c>
      <x:c r="I78" s="72" t="n">
        <x:v>109</x:v>
      </x:c>
      <x:c r="J78" s="69" t="str">
        <x:v>109</x:v>
      </x:c>
      <x:c r="K78" s="70"/>
      <x:c r="L78" s="69" t="str"/>
      <x:c r="M78" s="70" t="n">
        <x:v>2378781</x:v>
      </x:c>
      <x:c r="N78" s="69" t="str">
        <x:v>$2,378,781</x:v>
      </x:c>
      <x:c r="O78" s="71" t="str">
        <x:v>來源表頭對應</x:v>
      </x:c>
      <x:c r="P78" s="71" t="str">
        <x:v>HTML表格2／列14</x:v>
      </x:c>
      <x:c r="Q78" s="71" t="str">
        <x:v>本頁小計 | 本頁小計 | | | | 109 | | | | | | | | $2,378,781 |</x:v>
      </x:c>
      <x:c r="R78" s="71" t="str">
        <x:v>各廠商合約&amp; 報價\MD檔案\20231212 YKK 鋁門窗.md</x:v>
      </x:c>
    </x:row>
    <x:row r="79">
      <x:c r="A79" s="69" t="str">
        <x:v>ITEM00075</x:v>
      </x:c>
      <x:c r="B79" s="69" t="str">
        <x:v>SRC004</x:v>
      </x:c>
      <x:c r="C79" s="69" t="str">
        <x:v>2023-2024</x:v>
      </x:c>
      <x:c r="D79" s="69" t="str">
        <x:v>line_item</x:v>
      </x:c>
      <x:c r="E79" s="69" t="str">
        <x:v>MD2023_2024_003-T03R003</x:v>
      </x:c>
      <x:c r="F79" s="71" t="str">
        <x:v>WA</x:v>
      </x:c>
      <x:c r="G79" s="71" t="str">
        <x:v>YRB-A1002枚橫拉窗/M</x:v>
      </x:c>
      <x:c r="H79" s="71" t="str">
        <x:v>文件未載明</x:v>
      </x:c>
      <x:c r="I79" s="72" t="n">
        <x:v>0</x:v>
      </x:c>
      <x:c r="J79" s="69" t="str">
        <x:v>0</x:v>
      </x:c>
      <x:c r="K79" s="70" t="n">
        <x:v>8273</x:v>
      </x:c>
      <x:c r="L79" s="69" t="str">
        <x:v>8,273</x:v>
      </x:c>
      <x:c r="M79" s="70"/>
      <x:c r="N79" s="69" t="str">
        <x:v>-</x:v>
      </x:c>
      <x:c r="O79" s="71" t="str">
        <x:v>表頭未能對應品項欄，待確認</x:v>
      </x:c>
      <x:c r="P79" s="71" t="str">
        <x:v>HTML表格3／列3</x:v>
      </x:c>
      <x:c r="Q79" s="71" t="str">
        <x:v>11 | WA | YRB-A1002枚橫拉窗/M | 600 | 600 | 0 | 8,273 | 1,389 | - | 800 | 60 | 360 | 10,882 | - | 22MM·T3無數量</x:v>
      </x:c>
      <x:c r="R79" s="71" t="str">
        <x:v>各廠商合約&amp; 報價\MD檔案\20231212 YKK 鋁門窗.md</x:v>
      </x:c>
    </x:row>
    <x:row r="80">
      <x:c r="A80" s="69" t="str">
        <x:v>ITEM00076</x:v>
      </x:c>
      <x:c r="B80" s="69" t="str">
        <x:v>SRC004</x:v>
      </x:c>
      <x:c r="C80" s="69" t="str">
        <x:v>2023-2024</x:v>
      </x:c>
      <x:c r="D80" s="69" t="str">
        <x:v>line_item</x:v>
      </x:c>
      <x:c r="E80" s="69" t="str">
        <x:v>MD2023_2024_003-T03R004</x:v>
      </x:c>
      <x:c r="F80" s="71" t="str">
        <x:v>WB</x:v>
      </x:c>
      <x:c r="G80" s="71" t="str">
        <x:v>YRB-A1002枚橫拉窗/M</x:v>
      </x:c>
      <x:c r="H80" s="71" t="str">
        <x:v>文件未載明</x:v>
      </x:c>
      <x:c r="I80" s="72" t="n">
        <x:v>0</x:v>
      </x:c>
      <x:c r="J80" s="69" t="str">
        <x:v>0</x:v>
      </x:c>
      <x:c r="K80" s="70" t="n">
        <x:v>8273</x:v>
      </x:c>
      <x:c r="L80" s="69" t="str">
        <x:v>8,273</x:v>
      </x:c>
      <x:c r="M80" s="70"/>
      <x:c r="N80" s="69" t="str">
        <x:v>-</x:v>
      </x:c>
      <x:c r="O80" s="71" t="str">
        <x:v>表頭未能對應品項欄，待確認</x:v>
      </x:c>
      <x:c r="P80" s="71" t="str">
        <x:v>HTML表格3／列4</x:v>
      </x:c>
      <x:c r="Q80" s="71" t="str">
        <x:v>12 | WB | YRB-A1002枚橫拉窗/M | 600 | 600 | 0 | 8,273 | 1,389 | - | 800 | 60 | 360 | 10,882 | - | 22MM·T3無數量</x:v>
      </x:c>
      <x:c r="R80" s="71" t="str">
        <x:v>各廠商合約&amp; 報價\MD檔案\20231212 YKK 鋁門窗.md</x:v>
      </x:c>
    </x:row>
    <x:row r="81">
      <x:c r="A81" s="69" t="str">
        <x:v>ITEM00077</x:v>
      </x:c>
      <x:c r="B81" s="69" t="str">
        <x:v>SRC004</x:v>
      </x:c>
      <x:c r="C81" s="69" t="str">
        <x:v>2023-2024</x:v>
      </x:c>
      <x:c r="D81" s="69" t="str">
        <x:v>line_item</x:v>
      </x:c>
      <x:c r="E81" s="69" t="str">
        <x:v>MD2023_2024_003-T03R005</x:v>
      </x:c>
      <x:c r="F81" s="71" t="str">
        <x:v>文件未載明</x:v>
      </x:c>
      <x:c r="G81" s="71" t="str">
        <x:v>以下空白</x:v>
      </x:c>
      <x:c r="H81" s="71" t="str">
        <x:v>文件未載明</x:v>
      </x:c>
      <x:c r="I81" s="72"/>
      <x:c r="J81" s="69" t="str"/>
      <x:c r="K81" s="70"/>
      <x:c r="L81" s="69" t="str"/>
      <x:c r="M81" s="70"/>
      <x:c r="N81" s="69" t="str"/>
      <x:c r="O81" s="71" t="str">
        <x:v>表頭未能對應品項欄，待確認</x:v>
      </x:c>
      <x:c r="P81" s="71" t="str">
        <x:v>HTML表格3／列5</x:v>
      </x:c>
      <x:c r="Q81" s="71" t="str">
        <x:v>13 | | 以下空白 | | | | | | | | | | | |</x:v>
      </x:c>
      <x:c r="R81" s="71" t="str">
        <x:v>各廠商合約&amp; 報價\MD檔案\20231212 YKK 鋁門窗.md</x:v>
      </x:c>
    </x:row>
    <x:row r="82">
      <x:c r="A82" s="69" t="str">
        <x:v>ITEM00078</x:v>
      </x:c>
      <x:c r="B82" s="69" t="str">
        <x:v>SRC004</x:v>
      </x:c>
      <x:c r="C82" s="69" t="str">
        <x:v>2023-2024</x:v>
      </x:c>
      <x:c r="D82" s="69" t="str">
        <x:v>line_item</x:v>
      </x:c>
      <x:c r="E82" s="69" t="str">
        <x:v>MD2023_2024_003-T03R006</x:v>
      </x:c>
      <x:c r="F82" s="71" t="str">
        <x:v>文件未載明</x:v>
      </x:c>
      <x:c r="G82" s="71" t="str"/>
      <x:c r="H82" s="71" t="str">
        <x:v>文件未載明</x:v>
      </x:c>
      <x:c r="I82" s="72"/>
      <x:c r="J82" s="69" t="str"/>
      <x:c r="K82" s="70"/>
      <x:c r="L82" s="69" t="str"/>
      <x:c r="M82" s="70"/>
      <x:c r="N82" s="69" t="str"/>
      <x:c r="O82" s="71" t="str">
        <x:v>表頭未能對應品項欄，待確認</x:v>
      </x:c>
      <x:c r="P82" s="71" t="str">
        <x:v>HTML表格3／列6</x:v>
      </x:c>
      <x:c r="Q82" s="71" t="str">
        <x:v>14 | | | | | | | | | | | | | |</x:v>
      </x:c>
      <x:c r="R82" s="71" t="str">
        <x:v>各廠商合約&amp; 報價\MD檔案\20231212 YKK 鋁門窗.md</x:v>
      </x:c>
    </x:row>
    <x:row r="83">
      <x:c r="A83" s="69" t="str">
        <x:v>ITEM00079</x:v>
      </x:c>
      <x:c r="B83" s="69" t="str">
        <x:v>SRC004</x:v>
      </x:c>
      <x:c r="C83" s="69" t="str">
        <x:v>2023-2024</x:v>
      </x:c>
      <x:c r="D83" s="69" t="str">
        <x:v>line_item</x:v>
      </x:c>
      <x:c r="E83" s="69" t="str">
        <x:v>MD2023_2024_003-T03R007</x:v>
      </x:c>
      <x:c r="F83" s="71" t="str">
        <x:v>文件未載明</x:v>
      </x:c>
      <x:c r="G83" s="71" t="str"/>
      <x:c r="H83" s="71" t="str">
        <x:v>文件未載明</x:v>
      </x:c>
      <x:c r="I83" s="72"/>
      <x:c r="J83" s="69" t="str"/>
      <x:c r="K83" s="70"/>
      <x:c r="L83" s="69" t="str"/>
      <x:c r="M83" s="70"/>
      <x:c r="N83" s="69" t="str"/>
      <x:c r="O83" s="71" t="str">
        <x:v>表頭未能對應品項欄，待確認</x:v>
      </x:c>
      <x:c r="P83" s="71" t="str">
        <x:v>HTML表格3／列7</x:v>
      </x:c>
      <x:c r="Q83" s="71" t="str">
        <x:v>15 | | | | | | | | | | | | | |</x:v>
      </x:c>
      <x:c r="R83" s="71" t="str">
        <x:v>各廠商合約&amp; 報價\MD檔案\20231212 YKK 鋁門窗.md</x:v>
      </x:c>
    </x:row>
    <x:row r="84">
      <x:c r="A84" s="69" t="str">
        <x:v>ITEM00080</x:v>
      </x:c>
      <x:c r="B84" s="69" t="str">
        <x:v>SRC004</x:v>
      </x:c>
      <x:c r="C84" s="69" t="str">
        <x:v>2023-2024</x:v>
      </x:c>
      <x:c r="D84" s="69" t="str">
        <x:v>line_item</x:v>
      </x:c>
      <x:c r="E84" s="69" t="str">
        <x:v>MD2023_2024_003-T03R008</x:v>
      </x:c>
      <x:c r="F84" s="71" t="str">
        <x:v>文件未載明</x:v>
      </x:c>
      <x:c r="G84" s="71" t="str"/>
      <x:c r="H84" s="71" t="str">
        <x:v>文件未載明</x:v>
      </x:c>
      <x:c r="I84" s="72"/>
      <x:c r="J84" s="69" t="str"/>
      <x:c r="K84" s="70"/>
      <x:c r="L84" s="69" t="str"/>
      <x:c r="M84" s="70"/>
      <x:c r="N84" s="69" t="str"/>
      <x:c r="O84" s="71" t="str">
        <x:v>表頭未能對應品項欄，待確認</x:v>
      </x:c>
      <x:c r="P84" s="71" t="str">
        <x:v>HTML表格3／列8</x:v>
      </x:c>
      <x:c r="Q84" s="71" t="str">
        <x:v>16 | | | | | | | | | | | | | |</x:v>
      </x:c>
      <x:c r="R84" s="71" t="str">
        <x:v>各廠商合約&amp; 報價\MD檔案\20231212 YKK 鋁門窗.md</x:v>
      </x:c>
    </x:row>
    <x:row r="85">
      <x:c r="A85" s="69" t="str">
        <x:v>ITEM00081</x:v>
      </x:c>
      <x:c r="B85" s="69" t="str">
        <x:v>SRC004</x:v>
      </x:c>
      <x:c r="C85" s="69" t="str">
        <x:v>2023-2024</x:v>
      </x:c>
      <x:c r="D85" s="69" t="str">
        <x:v>line_item</x:v>
      </x:c>
      <x:c r="E85" s="69" t="str">
        <x:v>MD2023_2024_003-T03R009</x:v>
      </x:c>
      <x:c r="F85" s="71" t="str">
        <x:v>文件未載明</x:v>
      </x:c>
      <x:c r="G85" s="71" t="str"/>
      <x:c r="H85" s="71" t="str">
        <x:v>文件未載明</x:v>
      </x:c>
      <x:c r="I85" s="72"/>
      <x:c r="J85" s="69" t="str"/>
      <x:c r="K85" s="70"/>
      <x:c r="L85" s="69" t="str"/>
      <x:c r="M85" s="70"/>
      <x:c r="N85" s="69" t="str"/>
      <x:c r="O85" s="71" t="str">
        <x:v>表頭未能對應品項欄，待確認</x:v>
      </x:c>
      <x:c r="P85" s="71" t="str">
        <x:v>HTML表格3／列9</x:v>
      </x:c>
      <x:c r="Q85" s="71" t="str">
        <x:v>17 | | | | | | | | | | | | | |</x:v>
      </x:c>
      <x:c r="R85" s="71" t="str">
        <x:v>各廠商合約&amp; 報價\MD檔案\20231212 YKK 鋁門窗.md</x:v>
      </x:c>
    </x:row>
    <x:row r="86">
      <x:c r="A86" s="69" t="str">
        <x:v>ITEM00082</x:v>
      </x:c>
      <x:c r="B86" s="69" t="str">
        <x:v>SRC004</x:v>
      </x:c>
      <x:c r="C86" s="69" t="str">
        <x:v>2023-2024</x:v>
      </x:c>
      <x:c r="D86" s="69" t="str">
        <x:v>line_item</x:v>
      </x:c>
      <x:c r="E86" s="69" t="str">
        <x:v>MD2023_2024_003-T03R010</x:v>
      </x:c>
      <x:c r="F86" s="71" t="str">
        <x:v>文件未載明</x:v>
      </x:c>
      <x:c r="G86" s="71" t="str"/>
      <x:c r="H86" s="71" t="str">
        <x:v>文件未載明</x:v>
      </x:c>
      <x:c r="I86" s="72"/>
      <x:c r="J86" s="69" t="str"/>
      <x:c r="K86" s="70"/>
      <x:c r="L86" s="69" t="str"/>
      <x:c r="M86" s="70"/>
      <x:c r="N86" s="69" t="str"/>
      <x:c r="O86" s="71" t="str">
        <x:v>表頭未能對應品項欄，待確認</x:v>
      </x:c>
      <x:c r="P86" s="71" t="str">
        <x:v>HTML表格3／列10</x:v>
      </x:c>
      <x:c r="Q86" s="71" t="str">
        <x:v>18 | | | | | | | | | | | | | |</x:v>
      </x:c>
      <x:c r="R86" s="71" t="str">
        <x:v>各廠商合約&amp; 報價\MD檔案\20231212 YKK 鋁門窗.md</x:v>
      </x:c>
    </x:row>
    <x:row r="87">
      <x:c r="A87" s="69" t="str">
        <x:v>ITEM00083</x:v>
      </x:c>
      <x:c r="B87" s="69" t="str">
        <x:v>SRC004</x:v>
      </x:c>
      <x:c r="C87" s="69" t="str">
        <x:v>2023-2024</x:v>
      </x:c>
      <x:c r="D87" s="69" t="str">
        <x:v>line_item</x:v>
      </x:c>
      <x:c r="E87" s="69" t="str">
        <x:v>MD2023_2024_003-T03R011</x:v>
      </x:c>
      <x:c r="F87" s="71" t="str">
        <x:v>文件未載明</x:v>
      </x:c>
      <x:c r="G87" s="71" t="str"/>
      <x:c r="H87" s="71" t="str">
        <x:v>文件未載明</x:v>
      </x:c>
      <x:c r="I87" s="72"/>
      <x:c r="J87" s="69" t="str"/>
      <x:c r="K87" s="70"/>
      <x:c r="L87" s="69" t="str"/>
      <x:c r="M87" s="70"/>
      <x:c r="N87" s="69" t="str"/>
      <x:c r="O87" s="71" t="str">
        <x:v>表頭未能對應品項欄，待確認</x:v>
      </x:c>
      <x:c r="P87" s="71" t="str">
        <x:v>HTML表格3／列11</x:v>
      </x:c>
      <x:c r="Q87" s="71" t="str">
        <x:v>19 | | | | | | | | | | | | | |</x:v>
      </x:c>
      <x:c r="R87" s="71" t="str">
        <x:v>各廠商合約&amp; 報價\MD檔案\20231212 YKK 鋁門窗.md</x:v>
      </x:c>
    </x:row>
    <x:row r="88">
      <x:c r="A88" s="69" t="str">
        <x:v>ITEM00084</x:v>
      </x:c>
      <x:c r="B88" s="69" t="str">
        <x:v>SRC004</x:v>
      </x:c>
      <x:c r="C88" s="69" t="str">
        <x:v>2023-2024</x:v>
      </x:c>
      <x:c r="D88" s="69" t="str">
        <x:v>line_item</x:v>
      </x:c>
      <x:c r="E88" s="69" t="str">
        <x:v>MD2023_2024_003-T03R012</x:v>
      </x:c>
      <x:c r="F88" s="71" t="str">
        <x:v>文件未載明</x:v>
      </x:c>
      <x:c r="G88" s="71" t="str"/>
      <x:c r="H88" s="71" t="str">
        <x:v>文件未載明</x:v>
      </x:c>
      <x:c r="I88" s="72"/>
      <x:c r="J88" s="69" t="str"/>
      <x:c r="K88" s="70"/>
      <x:c r="L88" s="69" t="str"/>
      <x:c r="M88" s="70"/>
      <x:c r="N88" s="69" t="str"/>
      <x:c r="O88" s="71" t="str">
        <x:v>表頭未能對應品項欄，待確認</x:v>
      </x:c>
      <x:c r="P88" s="71" t="str">
        <x:v>HTML表格3／列12</x:v>
      </x:c>
      <x:c r="Q88" s="71" t="str">
        <x:v>20 | | | | | | | | | | | | | |</x:v>
      </x:c>
      <x:c r="R88" s="71" t="str">
        <x:v>各廠商合約&amp; 報價\MD檔案\20231212 YKK 鋁門窗.md</x:v>
      </x:c>
    </x:row>
    <x:row r="89">
      <x:c r="A89" s="69" t="str">
        <x:v>ITEM00085</x:v>
      </x:c>
      <x:c r="B89" s="69" t="str">
        <x:v>SRC004</x:v>
      </x:c>
      <x:c r="C89" s="69" t="str">
        <x:v>2023-2024</x:v>
      </x:c>
      <x:c r="D89" s="69" t="str">
        <x:v>total_or_tax</x:v>
      </x:c>
      <x:c r="E89" s="69" t="str">
        <x:v>MD2023_2024_003-T03R013</x:v>
      </x:c>
      <x:c r="F89" s="71" t="str">
        <x:v>文件未載明</x:v>
      </x:c>
      <x:c r="G89" s="71" t="str"/>
      <x:c r="H89" s="71" t="str">
        <x:v>文件未載明</x:v>
      </x:c>
      <x:c r="I89" s="72" t="n">
        <x:v>0</x:v>
      </x:c>
      <x:c r="J89" s="69" t="str">
        <x:v>0</x:v>
      </x:c>
      <x:c r="K89" s="70"/>
      <x:c r="L89" s="69" t="str"/>
      <x:c r="M89" s="70"/>
      <x:c r="N89" s="69" t="str">
        <x:v>$ -</x:v>
      </x:c>
      <x:c r="O89" s="71" t="str">
        <x:v>表頭未能對應品項欄，待確認</x:v>
      </x:c>
      <x:c r="P89" s="71" t="str">
        <x:v>HTML表格3／列13</x:v>
      </x:c>
      <x:c r="Q89" s="71" t="str">
        <x:v>本頁小計 | 本頁小計 | | | | 0 | | | | | | | | $ - |</x:v>
      </x:c>
      <x:c r="R89" s="71" t="str">
        <x:v>各廠商合約&amp; 報價\MD檔案\20231212 YKK 鋁門窗.md</x:v>
      </x:c>
    </x:row>
    <x:row r="90">
      <x:c r="A90" s="69" t="str">
        <x:v>ITEM00086</x:v>
      </x:c>
      <x:c r="B90" s="69" t="str">
        <x:v>SRC005</x:v>
      </x:c>
      <x:c r="C90" s="69" t="str">
        <x:v>2023-2024</x:v>
      </x:c>
      <x:c r="D90" s="69" t="str">
        <x:v>note_or_description</x:v>
      </x:c>
      <x:c r="E90" s="69" t="str">
        <x:v>MD2023_2024_004-T01R003</x:v>
      </x:c>
      <x:c r="F90" s="71" t="str">
        <x:v>聯絡人:洪建豪先生</x:v>
      </x:c>
      <x:c r="G90" s="71" t="str">
        <x:v>文件未載明</x:v>
      </x:c>
      <x:c r="H90" s="71" t="str">
        <x:v>文件未載明</x:v>
      </x:c>
      <x:c r="I90" s="72"/>
      <x:c r="J90" s="69" t="str">
        <x:v>文件未載明</x:v>
      </x:c>
      <x:c r="K90" s="70"/>
      <x:c r="L90" s="69" t="str">
        <x:v>文件未載明</x:v>
      </x:c>
      <x:c r="M90" s="70"/>
      <x:c r="N90" s="69" t="str">
        <x:v>文件未載明</x:v>
      </x:c>
      <x:c r="O90" s="71" t="str">
        <x:v>來源表頭對應</x:v>
      </x:c>
      <x:c r="P90" s="71" t="str">
        <x:v>HTML表格1／列3</x:v>
      </x:c>
      <x:c r="Q90" s="71" t="str">
        <x:v>聯絡人:洪建豪先生 | 聯絡人:洪建豪先生 | 聯絡人:洪建豪先生 | 傳真: | 傳真: | 傳真: | 傳真:</x:v>
      </x:c>
      <x:c r="R90" s="71" t="str">
        <x:v>各廠商合約&amp; 報價\MD檔案\20231226 TOTO衛浴.md</x:v>
      </x:c>
    </x:row>
    <x:row r="91">
      <x:c r="A91" s="69" t="str">
        <x:v>ITEM00087</x:v>
      </x:c>
      <x:c r="B91" s="69" t="str">
        <x:v>SRC005</x:v>
      </x:c>
      <x:c r="C91" s="69" t="str">
        <x:v>2023-2024</x:v>
      </x:c>
      <x:c r="D91" s="69" t="str">
        <x:v>note_or_description</x:v>
      </x:c>
      <x:c r="E91" s="69" t="str">
        <x:v>MD2023_2024_004-T01R004</x:v>
      </x:c>
      <x:c r="F91" s="71" t="str">
        <x:v>項次</x:v>
      </x:c>
      <x:c r="G91" s="71" t="str">
        <x:v>文件未載明</x:v>
      </x:c>
      <x:c r="H91" s="71" t="str">
        <x:v>文件未載明</x:v>
      </x:c>
      <x:c r="I91" s="72"/>
      <x:c r="J91" s="69" t="str">
        <x:v>文件未載明</x:v>
      </x:c>
      <x:c r="K91" s="70"/>
      <x:c r="L91" s="69" t="str">
        <x:v>文件未載明</x:v>
      </x:c>
      <x:c r="M91" s="70"/>
      <x:c r="N91" s="69" t="str">
        <x:v>文件未載明</x:v>
      </x:c>
      <x:c r="O91" s="71" t="str">
        <x:v>來源表頭對應</x:v>
      </x:c>
      <x:c r="P91" s="71" t="str">
        <x:v>HTML表格1／列4</x:v>
      </x:c>
      <x:c r="Q91" s="71" t="str">
        <x:v>項次 | 品名 | 規格 | 數量 | 單價 | 金額 | 備註</x:v>
      </x:c>
      <x:c r="R91" s="71" t="str">
        <x:v>各廠商合約&amp; 報價\MD檔案\20231226 TOTO衛浴.md</x:v>
      </x:c>
    </x:row>
    <x:row r="92">
      <x:c r="A92" s="69" t="str">
        <x:v>ITEM00088</x:v>
      </x:c>
      <x:c r="B92" s="69" t="str">
        <x:v>SRC005</x:v>
      </x:c>
      <x:c r="C92" s="69" t="str">
        <x:v>2023-2024</x:v>
      </x:c>
      <x:c r="D92" s="69" t="str">
        <x:v>line_item</x:v>
      </x:c>
      <x:c r="E92" s="69" t="str">
        <x:v>MD2023_2024_004-T01R005</x:v>
      </x:c>
      <x:c r="F92" s="71" t="str">
        <x:v>1</x:v>
      </x:c>
      <x:c r="G92" s="71" t="str">
        <x:v>文件未載明</x:v>
      </x:c>
      <x:c r="H92" s="71" t="str">
        <x:v>文件未載明</x:v>
      </x:c>
      <x:c r="I92" s="72"/>
      <x:c r="J92" s="69" t="str">
        <x:v>文件未載明</x:v>
      </x:c>
      <x:c r="K92" s="70"/>
      <x:c r="L92" s="69" t="str">
        <x:v>文件未載明</x:v>
      </x:c>
      <x:c r="M92" s="70"/>
      <x:c r="N92" s="69" t="str">
        <x:v>文件未載明</x:v>
      </x:c>
      <x:c r="O92" s="71" t="str">
        <x:v>來源表頭對應</x:v>
      </x:c>
      <x:c r="P92" s="71" t="str">
        <x:v>HTML表格1／列5</x:v>
      </x:c>
      <x:c r="Q92" s="71" t="str">
        <x:v>1 | 單體馬桶 | CW288SGUR | 11 | 13,620 | 149,820 |</x:v>
      </x:c>
      <x:c r="R92" s="71" t="str">
        <x:v>各廠商合約&amp; 報價\MD檔案\20231226 TOTO衛浴.md</x:v>
      </x:c>
    </x:row>
    <x:row r="93">
      <x:c r="A93" s="69" t="str">
        <x:v>ITEM00089</x:v>
      </x:c>
      <x:c r="B93" s="69" t="str">
        <x:v>SRC005</x:v>
      </x:c>
      <x:c r="C93" s="69" t="str">
        <x:v>2023-2024</x:v>
      </x:c>
      <x:c r="D93" s="69" t="str">
        <x:v>line_item</x:v>
      </x:c>
      <x:c r="E93" s="69" t="str">
        <x:v>MD2023_2024_004-T01R006</x:v>
      </x:c>
      <x:c r="F93" s="71" t="str">
        <x:v>2</x:v>
      </x:c>
      <x:c r="G93" s="71" t="str">
        <x:v>文件未載明</x:v>
      </x:c>
      <x:c r="H93" s="71" t="str">
        <x:v>文件未載明</x:v>
      </x:c>
      <x:c r="I93" s="72"/>
      <x:c r="J93" s="69" t="str">
        <x:v>文件未載明</x:v>
      </x:c>
      <x:c r="K93" s="70"/>
      <x:c r="L93" s="69" t="str">
        <x:v>文件未載明</x:v>
      </x:c>
      <x:c r="M93" s="70"/>
      <x:c r="N93" s="69" t="str">
        <x:v>文件未載明</x:v>
      </x:c>
      <x:c r="O93" s="71" t="str">
        <x:v>來源表頭對應</x:v>
      </x:c>
      <x:c r="P93" s="71" t="str">
        <x:v>HTML表格1／列6</x:v>
      </x:c>
      <x:c r="Q93" s="71" t="str">
        <x:v>2 | 單體馬桶 | CW889CDRTW | 11 | 12,300 | 135,300 |</x:v>
      </x:c>
      <x:c r="R93" s="71" t="str">
        <x:v>各廠商合約&amp; 報價\MD檔案\20231226 TOTO衛浴.md</x:v>
      </x:c>
    </x:row>
    <x:row r="94">
      <x:c r="A94" s="69" t="str">
        <x:v>ITEM00090</x:v>
      </x:c>
      <x:c r="B94" s="69" t="str">
        <x:v>SRC005</x:v>
      </x:c>
      <x:c r="C94" s="69" t="str">
        <x:v>2023-2024</x:v>
      </x:c>
      <x:c r="D94" s="69" t="str">
        <x:v>line_item</x:v>
      </x:c>
      <x:c r="E94" s="69" t="str">
        <x:v>MD2023_2024_004-T01R007</x:v>
      </x:c>
      <x:c r="F94" s="71" t="str">
        <x:v>3</x:v>
      </x:c>
      <x:c r="G94" s="71" t="str">
        <x:v>文件未載明</x:v>
      </x:c>
      <x:c r="H94" s="71" t="str">
        <x:v>文件未載明</x:v>
      </x:c>
      <x:c r="I94" s="72"/>
      <x:c r="J94" s="69" t="str">
        <x:v>文件未載明</x:v>
      </x:c>
      <x:c r="K94" s="70"/>
      <x:c r="L94" s="69" t="str">
        <x:v>文件未載明</x:v>
      </x:c>
      <x:c r="M94" s="70"/>
      <x:c r="N94" s="69" t="str">
        <x:v>文件未載明</x:v>
      </x:c>
      <x:c r="O94" s="71" t="str">
        <x:v>來源表頭對應</x:v>
      </x:c>
      <x:c r="P94" s="71" t="str">
        <x:v>HTML表格1／列7</x:v>
      </x:c>
      <x:c r="Q94" s="71" t="str">
        <x:v>3 | 溫水洗淨便座 | TCF4911ETR | 11 | 31,410 | 345,510 | 特惠價</x:v>
      </x:c>
      <x:c r="R94" s="71" t="str">
        <x:v>各廠商合約&amp; 報價\MD檔案\20231226 TOTO衛浴.md</x:v>
      </x:c>
    </x:row>
    <x:row r="95">
      <x:c r="A95" s="69" t="str">
        <x:v>ITEM00091</x:v>
      </x:c>
      <x:c r="B95" s="69" t="str">
        <x:v>SRC005</x:v>
      </x:c>
      <x:c r="C95" s="69" t="str">
        <x:v>2023-2024</x:v>
      </x:c>
      <x:c r="D95" s="69" t="str">
        <x:v>line_item</x:v>
      </x:c>
      <x:c r="E95" s="69" t="str">
        <x:v>MD2023_2024_004-T01R008</x:v>
      </x:c>
      <x:c r="F95" s="71" t="str">
        <x:v>4</x:v>
      </x:c>
      <x:c r="G95" s="71" t="str">
        <x:v>文件未載明</x:v>
      </x:c>
      <x:c r="H95" s="71" t="str">
        <x:v>文件未載明</x:v>
      </x:c>
      <x:c r="I95" s="72"/>
      <x:c r="J95" s="69" t="str">
        <x:v>文件未載明</x:v>
      </x:c>
      <x:c r="K95" s="70"/>
      <x:c r="L95" s="69" t="str">
        <x:v>文件未載明</x:v>
      </x:c>
      <x:c r="M95" s="70"/>
      <x:c r="N95" s="69" t="str">
        <x:v>文件未載明</x:v>
      </x:c>
      <x:c r="O95" s="71" t="str">
        <x:v>來源表頭對應</x:v>
      </x:c>
      <x:c r="P95" s="71" t="str">
        <x:v>HTML表格1／列8</x:v>
      </x:c>
      <x:c r="Q95" s="71" t="str">
        <x:v>4 | 溫水洗淨便座 | TCF23360ATW | 11 | 11,160 | 122,760 | 特惠價</x:v>
      </x:c>
      <x:c r="R95" s="71" t="str">
        <x:v>各廠商合約&amp; 報價\MD檔案\20231226 TOTO衛浴.md</x:v>
      </x:c>
    </x:row>
    <x:row r="96">
      <x:c r="A96" s="69" t="str">
        <x:v>ITEM00092</x:v>
      </x:c>
      <x:c r="B96" s="69" t="str">
        <x:v>SRC005</x:v>
      </x:c>
      <x:c r="C96" s="69" t="str">
        <x:v>2023-2024</x:v>
      </x:c>
      <x:c r="D96" s="69" t="str">
        <x:v>line_item</x:v>
      </x:c>
      <x:c r="E96" s="69" t="str">
        <x:v>MD2023_2024_004-T01R009</x:v>
      </x:c>
      <x:c r="F96" s="71" t="str">
        <x:v>5</x:v>
      </x:c>
      <x:c r="G96" s="71" t="str">
        <x:v>文件未載明</x:v>
      </x:c>
      <x:c r="H96" s="71" t="str">
        <x:v>文件未載明</x:v>
      </x:c>
      <x:c r="I96" s="72"/>
      <x:c r="J96" s="69" t="str">
        <x:v>文件未載明</x:v>
      </x:c>
      <x:c r="K96" s="70"/>
      <x:c r="L96" s="69" t="str">
        <x:v>文件未載明</x:v>
      </x:c>
      <x:c r="M96" s="70"/>
      <x:c r="N96" s="69" t="str">
        <x:v>文件未載明</x:v>
      </x:c>
      <x:c r="O96" s="71" t="str">
        <x:v>來源表頭對應</x:v>
      </x:c>
      <x:c r="P96" s="71" t="str">
        <x:v>HTML表格1／列9</x:v>
      </x:c>
      <x:c r="Q96" s="71" t="str">
        <x:v>5 | 檯面盆 | LW1615CTW | 22 | 8,220 | 180,840 |</x:v>
      </x:c>
      <x:c r="R96" s="71" t="str">
        <x:v>各廠商合約&amp; 報價\MD檔案\20231226 TOTO衛浴.md</x:v>
      </x:c>
    </x:row>
    <x:row r="97">
      <x:c r="A97" s="69" t="str">
        <x:v>ITEM00093</x:v>
      </x:c>
      <x:c r="B97" s="69" t="str">
        <x:v>SRC005</x:v>
      </x:c>
      <x:c r="C97" s="69" t="str">
        <x:v>2023-2024</x:v>
      </x:c>
      <x:c r="D97" s="69" t="str">
        <x:v>line_item</x:v>
      </x:c>
      <x:c r="E97" s="69" t="str">
        <x:v>MD2023_2024_004-T01R010</x:v>
      </x:c>
      <x:c r="F97" s="71" t="str">
        <x:v>6</x:v>
      </x:c>
      <x:c r="G97" s="71" t="str">
        <x:v>文件未載明</x:v>
      </x:c>
      <x:c r="H97" s="71" t="str">
        <x:v>文件未載明</x:v>
      </x:c>
      <x:c r="I97" s="72"/>
      <x:c r="J97" s="69" t="str">
        <x:v>文件未載明</x:v>
      </x:c>
      <x:c r="K97" s="70"/>
      <x:c r="L97" s="69" t="str">
        <x:v>文件未載明</x:v>
      </x:c>
      <x:c r="M97" s="70"/>
      <x:c r="N97" s="69" t="str">
        <x:v>文件未載明</x:v>
      </x:c>
      <x:c r="O97" s="71" t="str">
        <x:v>來源表頭對應</x:v>
      </x:c>
      <x:c r="P97" s="71" t="str">
        <x:v>HTML表格1／列10</x:v>
      </x:c>
      <x:c r="Q97" s="71" t="str">
        <x:v>6 | 白色浴櫃 | C-1615 | 22 | 6,500 | 143,000 | 需開衛生紙孔</x:v>
      </x:c>
      <x:c r="R97" s="71" t="str">
        <x:v>各廠商合約&amp; 報價\MD檔案\20231226 TOTO衛浴.md</x:v>
      </x:c>
    </x:row>
    <x:row r="98">
      <x:c r="A98" s="69" t="str">
        <x:v>ITEM00094</x:v>
      </x:c>
      <x:c r="B98" s="69" t="str">
        <x:v>SRC005</x:v>
      </x:c>
      <x:c r="C98" s="69" t="str">
        <x:v>2023-2024</x:v>
      </x:c>
      <x:c r="D98" s="69" t="str">
        <x:v>line_item</x:v>
      </x:c>
      <x:c r="E98" s="69" t="str">
        <x:v>MD2023_2024_004-T01R011</x:v>
      </x:c>
      <x:c r="F98" s="71" t="str">
        <x:v>7</x:v>
      </x:c>
      <x:c r="G98" s="71" t="str">
        <x:v>文件未載明</x:v>
      </x:c>
      <x:c r="H98" s="71" t="str">
        <x:v>文件未載明</x:v>
      </x:c>
      <x:c r="I98" s="72"/>
      <x:c r="J98" s="69" t="str">
        <x:v>文件未載明</x:v>
      </x:c>
      <x:c r="K98" s="70"/>
      <x:c r="L98" s="69" t="str">
        <x:v>文件未載明</x:v>
      </x:c>
      <x:c r="M98" s="70"/>
      <x:c r="N98" s="69" t="str">
        <x:v>文件未載明</x:v>
      </x:c>
      <x:c r="O98" s="71" t="str">
        <x:v>來源表頭對應</x:v>
      </x:c>
      <x:c r="P98" s="71" t="str">
        <x:v>HTML表格1／列11</x:v>
      </x:c>
      <x:c r="Q98" s="71" t="str">
        <x:v>7 | 面盆龍頭 | TLG02301PC | 22 | 6,780 | 149,160 |</x:v>
      </x:c>
      <x:c r="R98" s="71" t="str">
        <x:v>各廠商合約&amp; 報價\MD檔案\20231226 TOTO衛浴.md</x:v>
      </x:c>
    </x:row>
    <x:row r="99">
      <x:c r="A99" s="69" t="str">
        <x:v>ITEM00095</x:v>
      </x:c>
      <x:c r="B99" s="69" t="str">
        <x:v>SRC005</x:v>
      </x:c>
      <x:c r="C99" s="69" t="str">
        <x:v>2023-2024</x:v>
      </x:c>
      <x:c r="D99" s="69" t="str">
        <x:v>line_item</x:v>
      </x:c>
      <x:c r="E99" s="69" t="str">
        <x:v>MD2023_2024_004-T01R012</x:v>
      </x:c>
      <x:c r="F99" s="71" t="str">
        <x:v>8</x:v>
      </x:c>
      <x:c r="G99" s="71" t="str">
        <x:v>文件未載明</x:v>
      </x:c>
      <x:c r="H99" s="71" t="str">
        <x:v>文件未載明</x:v>
      </x:c>
      <x:c r="I99" s="72"/>
      <x:c r="J99" s="69" t="str">
        <x:v>文件未載明</x:v>
      </x:c>
      <x:c r="K99" s="70"/>
      <x:c r="L99" s="69" t="str">
        <x:v>文件未載明</x:v>
      </x:c>
      <x:c r="M99" s="70"/>
      <x:c r="N99" s="69" t="str">
        <x:v>文件未載明</x:v>
      </x:c>
      <x:c r="O99" s="71" t="str">
        <x:v>來源表頭對應</x:v>
      </x:c>
      <x:c r="P99" s="71" t="str">
        <x:v>HTML表格1／列12</x:v>
      </x:c>
      <x:c r="Q99" s="71" t="str">
        <x:v>8 | 淋浴控溫龍頭 | TBV03426P-S2 | 22 | 8,160 | 179,520 |</x:v>
      </x:c>
      <x:c r="R99" s="71" t="str">
        <x:v>各廠商合約&amp; 報價\MD檔案\20231226 TOTO衛浴.md</x:v>
      </x:c>
    </x:row>
    <x:row r="100">
      <x:c r="A100" s="69" t="str">
        <x:v>ITEM00096</x:v>
      </x:c>
      <x:c r="B100" s="69" t="str">
        <x:v>SRC005</x:v>
      </x:c>
      <x:c r="C100" s="69" t="str">
        <x:v>2023-2024</x:v>
      </x:c>
      <x:c r="D100" s="69" t="str">
        <x:v>line_item</x:v>
      </x:c>
      <x:c r="E100" s="69" t="str">
        <x:v>MD2023_2024_004-T01R013</x:v>
      </x:c>
      <x:c r="F100" s="71" t="str">
        <x:v>9</x:v>
      </x:c>
      <x:c r="G100" s="71" t="str">
        <x:v>文件未載明</x:v>
      </x:c>
      <x:c r="H100" s="71" t="str">
        <x:v>文件未載明</x:v>
      </x:c>
      <x:c r="I100" s="72"/>
      <x:c r="J100" s="69" t="str">
        <x:v>文件未載明</x:v>
      </x:c>
      <x:c r="K100" s="70"/>
      <x:c r="L100" s="69" t="str">
        <x:v>文件未載明</x:v>
      </x:c>
      <x:c r="M100" s="70"/>
      <x:c r="N100" s="69" t="str">
        <x:v>文件未載明</x:v>
      </x:c>
      <x:c r="O100" s="71" t="str">
        <x:v>來源表頭對應</x:v>
      </x:c>
      <x:c r="P100" s="71" t="str">
        <x:v>HTML表格1／列13</x:v>
      </x:c>
      <x:c r="Q100" s="71" t="str">
        <x:v>9 | 蓮蓬頭一段 | 9A519RY-1 | 11 | 2,160 | 23,760 |</x:v>
      </x:c>
      <x:c r="R100" s="71" t="str">
        <x:v>各廠商合約&amp; 報價\MD檔案\20231226 TOTO衛浴.md</x:v>
      </x:c>
    </x:row>
    <x:row r="101">
      <x:c r="A101" s="69" t="str">
        <x:v>ITEM00097</x:v>
      </x:c>
      <x:c r="B101" s="69" t="str">
        <x:v>SRC005</x:v>
      </x:c>
      <x:c r="C101" s="69" t="str">
        <x:v>2023-2024</x:v>
      </x:c>
      <x:c r="D101" s="69" t="str">
        <x:v>line_item</x:v>
      </x:c>
      <x:c r="E101" s="69" t="str">
        <x:v>MD2023_2024_004-T01R014</x:v>
      </x:c>
      <x:c r="F101" s="71" t="str">
        <x:v>10</x:v>
      </x:c>
      <x:c r="G101" s="71" t="str">
        <x:v>文件未載明</x:v>
      </x:c>
      <x:c r="H101" s="71" t="str">
        <x:v>文件未載明</x:v>
      </x:c>
      <x:c r="I101" s="72"/>
      <x:c r="J101" s="69" t="str">
        <x:v>文件未載明</x:v>
      </x:c>
      <x:c r="K101" s="70"/>
      <x:c r="L101" s="69" t="str">
        <x:v>文件未載明</x:v>
      </x:c>
      <x:c r="M101" s="70"/>
      <x:c r="N101" s="69" t="str">
        <x:v>文件未載明</x:v>
      </x:c>
      <x:c r="O101" s="71" t="str">
        <x:v>來源表頭對應</x:v>
      </x:c>
      <x:c r="P101" s="71" t="str">
        <x:v>HTML表格1／列14</x:v>
      </x:c>
      <x:c r="Q101" s="71" t="str">
        <x:v>10 | 蓮蓬頭三段 | 9A520SY-1 | 11 | 3,520 | 38,720 |</x:v>
      </x:c>
      <x:c r="R101" s="71" t="str">
        <x:v>各廠商合約&amp; 報價\MD檔案\20231226 TOTO衛浴.md</x:v>
      </x:c>
    </x:row>
    <x:row r="102">
      <x:c r="A102" s="69" t="str">
        <x:v>ITEM00098</x:v>
      </x:c>
      <x:c r="B102" s="69" t="str">
        <x:v>SRC005</x:v>
      </x:c>
      <x:c r="C102" s="69" t="str">
        <x:v>2023-2024</x:v>
      </x:c>
      <x:c r="D102" s="69" t="str">
        <x:v>line_item</x:v>
      </x:c>
      <x:c r="E102" s="69" t="str">
        <x:v>MD2023_2024_004-T01R015</x:v>
      </x:c>
      <x:c r="F102" s="71" t="str">
        <x:v>11</x:v>
      </x:c>
      <x:c r="G102" s="71" t="str">
        <x:v>文件未載明</x:v>
      </x:c>
      <x:c r="H102" s="71" t="str">
        <x:v>文件未載明</x:v>
      </x:c>
      <x:c r="I102" s="72"/>
      <x:c r="J102" s="69" t="str">
        <x:v>文件未載明</x:v>
      </x:c>
      <x:c r="K102" s="70"/>
      <x:c r="L102" s="69" t="str">
        <x:v>文件未載明</x:v>
      </x:c>
      <x:c r="M102" s="70"/>
      <x:c r="N102" s="69" t="str">
        <x:v>文件未載明</x:v>
      </x:c>
      <x:c r="O102" s="71" t="str">
        <x:v>來源表頭對應</x:v>
      </x:c>
      <x:c r="P102" s="71" t="str">
        <x:v>HTML表格1／列15</x:v>
      </x:c>
      <x:c r="Q102" s="71" t="str">
        <x:v>11 | 升降桿 | TBW01016P | 22 | 1,560 | 34,320 |</x:v>
      </x:c>
      <x:c r="R102" s="71" t="str">
        <x:v>各廠商合約&amp; 報價\MD檔案\20231226 TOTO衛浴.md</x:v>
      </x:c>
    </x:row>
    <x:row r="103">
      <x:c r="A103" s="69" t="str">
        <x:v>ITEM00099</x:v>
      </x:c>
      <x:c r="B103" s="69" t="str">
        <x:v>SRC005</x:v>
      </x:c>
      <x:c r="C103" s="69" t="str">
        <x:v>2023-2024</x:v>
      </x:c>
      <x:c r="D103" s="69" t="str">
        <x:v>line_item</x:v>
      </x:c>
      <x:c r="E103" s="69" t="str">
        <x:v>MD2023_2024_004-T01R016</x:v>
      </x:c>
      <x:c r="F103" s="71" t="str">
        <x:v>12</x:v>
      </x:c>
      <x:c r="G103" s="71" t="str">
        <x:v>文件未載明</x:v>
      </x:c>
      <x:c r="H103" s="71" t="str">
        <x:v>文件未載明</x:v>
      </x:c>
      <x:c r="I103" s="72"/>
      <x:c r="J103" s="69" t="str">
        <x:v>文件未載明</x:v>
      </x:c>
      <x:c r="K103" s="70"/>
      <x:c r="L103" s="69" t="str">
        <x:v>文件未載明</x:v>
      </x:c>
      <x:c r="M103" s="70"/>
      <x:c r="N103" s="69" t="str">
        <x:v>文件未載明</x:v>
      </x:c>
      <x:c r="O103" s="71" t="str">
        <x:v>來源表頭對應</x:v>
      </x:c>
      <x:c r="P103" s="71" t="str">
        <x:v>HTML表格1／列16</x:v>
      </x:c>
      <x:c r="Q103" s="71" t="str">
        <x:v>12 | 暖風乾燥機(線控220V) | TYB3151AAR | 22 | 9,700 | 213,400 |</x:v>
      </x:c>
      <x:c r="R103" s="71" t="str">
        <x:v>各廠商合約&amp; 報價\MD檔案\20231226 TOTO衛浴.md</x:v>
      </x:c>
    </x:row>
    <x:row r="104">
      <x:c r="A104" s="69" t="str">
        <x:v>ITEM00100</x:v>
      </x:c>
      <x:c r="B104" s="69" t="str">
        <x:v>SRC005</x:v>
      </x:c>
      <x:c r="C104" s="69" t="str">
        <x:v>2023-2024</x:v>
      </x:c>
      <x:c r="D104" s="69" t="str">
        <x:v>line_item</x:v>
      </x:c>
      <x:c r="E104" s="69" t="str">
        <x:v>MD2023_2024_004-T01R017</x:v>
      </x:c>
      <x:c r="F104" s="71" t="str">
        <x:v>13</x:v>
      </x:c>
      <x:c r="G104" s="71" t="str">
        <x:v>文件未載明</x:v>
      </x:c>
      <x:c r="H104" s="71" t="str">
        <x:v>文件未載明</x:v>
      </x:c>
      <x:c r="I104" s="72"/>
      <x:c r="J104" s="69" t="str">
        <x:v>文件未載明</x:v>
      </x:c>
      <x:c r="K104" s="70"/>
      <x:c r="L104" s="69" t="str">
        <x:v>文件未載明</x:v>
      </x:c>
      <x:c r="M104" s="70"/>
      <x:c r="N104" s="69" t="str">
        <x:v>文件未載明</x:v>
      </x:c>
      <x:c r="O104" s="71" t="str">
        <x:v>來源表頭對應</x:v>
      </x:c>
      <x:c r="P104" s="71" t="str">
        <x:v>HTML表格1／列17</x:v>
      </x:c>
      <x:c r="Q104" s="71" t="str">
        <x:v>13 | 安裝費 | | 1 | 132,000 | 132,000 | 訂金40萬元</x:v>
      </x:c>
      <x:c r="R104" s="71" t="str">
        <x:v>各廠商合約&amp; 報價\MD檔案\20231226 TOTO衛浴.md</x:v>
      </x:c>
    </x:row>
    <x:row r="105">
      <x:c r="A105" s="69" t="str">
        <x:v>ITEM00101</x:v>
      </x:c>
      <x:c r="B105" s="69" t="str">
        <x:v>SRC005</x:v>
      </x:c>
      <x:c r="C105" s="69" t="str">
        <x:v>2023-2024</x:v>
      </x:c>
      <x:c r="D105" s="69" t="str">
        <x:v>line_item</x:v>
      </x:c>
      <x:c r="E105" s="69" t="str">
        <x:v>MD2023_2024_004-T01R018</x:v>
      </x:c>
      <x:c r="F105" s="71" t="str">
        <x:v>14</x:v>
      </x:c>
      <x:c r="G105" s="71" t="str">
        <x:v>文件未載明</x:v>
      </x:c>
      <x:c r="H105" s="71" t="str">
        <x:v>文件未載明</x:v>
      </x:c>
      <x:c r="I105" s="72"/>
      <x:c r="J105" s="69" t="str">
        <x:v>文件未載明</x:v>
      </x:c>
      <x:c r="K105" s="70"/>
      <x:c r="L105" s="69" t="str">
        <x:v>文件未載明</x:v>
      </x:c>
      <x:c r="M105" s="70"/>
      <x:c r="N105" s="69" t="str">
        <x:v>文件未載明</x:v>
      </x:c>
      <x:c r="O105" s="71" t="str">
        <x:v>來源表頭對應</x:v>
      </x:c>
      <x:c r="P105" s="71" t="str">
        <x:v>HTML表格1／列18</x:v>
      </x:c>
      <x:c r="Q105" s="71" t="str">
        <x:v>14 | | | | | |</x:v>
      </x:c>
      <x:c r="R105" s="71" t="str">
        <x:v>各廠商合約&amp; 報價\MD檔案\20231226 TOTO衛浴.md</x:v>
      </x:c>
    </x:row>
    <x:row r="106">
      <x:c r="A106" s="69" t="str">
        <x:v>ITEM00102</x:v>
      </x:c>
      <x:c r="B106" s="69" t="str">
        <x:v>SRC005</x:v>
      </x:c>
      <x:c r="C106" s="69" t="str">
        <x:v>2023-2024</x:v>
      </x:c>
      <x:c r="D106" s="69" t="str">
        <x:v>total_or_tax</x:v>
      </x:c>
      <x:c r="E106" s="69" t="str">
        <x:v>MD2023_2024_004-T01R019</x:v>
      </x:c>
      <x:c r="F106" s="71" t="str">
        <x:v>15</x:v>
      </x:c>
      <x:c r="G106" s="71" t="str">
        <x:v>文件未載明</x:v>
      </x:c>
      <x:c r="H106" s="71" t="str">
        <x:v>文件未載明</x:v>
      </x:c>
      <x:c r="I106" s="72"/>
      <x:c r="J106" s="69" t="str">
        <x:v>文件未載明</x:v>
      </x:c>
      <x:c r="K106" s="70"/>
      <x:c r="L106" s="69" t="str">
        <x:v>文件未載明</x:v>
      </x:c>
      <x:c r="M106" s="70"/>
      <x:c r="N106" s="69" t="str">
        <x:v>文件未載明</x:v>
      </x:c>
      <x:c r="O106" s="71" t="str">
        <x:v>來源表頭對應</x:v>
      </x:c>
      <x:c r="P106" s="71" t="str">
        <x:v>HTML表格1／列19</x:v>
      </x:c>
      <x:c r="Q106" s="71" t="str">
        <x:v>15 | | | | | | 實收1,907,330元含稅價</x:v>
      </x:c>
      <x:c r="R106" s="71" t="str">
        <x:v>各廠商合約&amp; 報價\MD檔案\20231226 TOTO衛浴.md</x:v>
      </x:c>
    </x:row>
    <x:row r="107">
      <x:c r="A107" s="69" t="str">
        <x:v>ITEM00103</x:v>
      </x:c>
      <x:c r="B107" s="69" t="str">
        <x:v>SRC005</x:v>
      </x:c>
      <x:c r="C107" s="69" t="str">
        <x:v>2023-2024</x:v>
      </x:c>
      <x:c r="D107" s="69" t="str">
        <x:v>total_or_tax</x:v>
      </x:c>
      <x:c r="E107" s="69" t="str">
        <x:v>MD2023_2024_004-T01R020</x:v>
      </x:c>
      <x:c r="F107" s="71" t="str">
        <x:v>16</x:v>
      </x:c>
      <x:c r="G107" s="71" t="str">
        <x:v>文件未載明</x:v>
      </x:c>
      <x:c r="H107" s="71" t="str">
        <x:v>文件未載明</x:v>
      </x:c>
      <x:c r="I107" s="72"/>
      <x:c r="J107" s="69" t="str">
        <x:v>文件未載明</x:v>
      </x:c>
      <x:c r="K107" s="70"/>
      <x:c r="L107" s="69" t="str">
        <x:v>文件未載明</x:v>
      </x:c>
      <x:c r="M107" s="70"/>
      <x:c r="N107" s="69" t="str">
        <x:v>文件未載明</x:v>
      </x:c>
      <x:c r="O107" s="71" t="str">
        <x:v>來源表頭對應</x:v>
      </x:c>
      <x:c r="P107" s="71" t="str">
        <x:v>HTML表格1／列20</x:v>
      </x:c>
      <x:c r="Q107" s="71" t="str">
        <x:v>16 | | | 小計 1,848,110 | 小計 1,848,110 | 小計 1,848,110 | 元整</x:v>
      </x:c>
      <x:c r="R107" s="71" t="str">
        <x:v>各廠商合約&amp; 報價\MD檔案\20231226 TOTO衛浴.md</x:v>
      </x:c>
    </x:row>
    <x:row r="108">
      <x:c r="A108" s="69" t="str">
        <x:v>ITEM00104</x:v>
      </x:c>
      <x:c r="B108" s="69" t="str">
        <x:v>SRC005</x:v>
      </x:c>
      <x:c r="C108" s="69" t="str">
        <x:v>2023-2024</x:v>
      </x:c>
      <x:c r="D108" s="69" t="str">
        <x:v>total_or_tax</x:v>
      </x:c>
      <x:c r="E108" s="69" t="str">
        <x:v>MD2023_2024_004-T01R021</x:v>
      </x:c>
      <x:c r="F108" s="71" t="str">
        <x:v>17</x:v>
      </x:c>
      <x:c r="G108" s="71" t="str">
        <x:v>文件未載明</x:v>
      </x:c>
      <x:c r="H108" s="71" t="str">
        <x:v>文件未載明</x:v>
      </x:c>
      <x:c r="I108" s="72"/>
      <x:c r="J108" s="69" t="str">
        <x:v>文件未載明</x:v>
      </x:c>
      <x:c r="K108" s="70"/>
      <x:c r="L108" s="69" t="str">
        <x:v>文件未載明</x:v>
      </x:c>
      <x:c r="M108" s="70"/>
      <x:c r="N108" s="69" t="str">
        <x:v>文件未載明</x:v>
      </x:c>
      <x:c r="O108" s="71" t="str">
        <x:v>來源表頭對應</x:v>
      </x:c>
      <x:c r="P108" s="71" t="str">
        <x:v>HTML表格1／列21</x:v>
      </x:c>
      <x:c r="Q108" s="71" t="str">
        <x:v>17 | | | 稅額 92,406 | 稅額 92,406 | 稅額 92,406 | 元整</x:v>
      </x:c>
      <x:c r="R108" s="71" t="str">
        <x:v>各廠商合約&amp; 報價\MD檔案\20231226 TOTO衛浴.md</x:v>
      </x:c>
    </x:row>
    <x:row r="109">
      <x:c r="A109" s="69" t="str">
        <x:v>ITEM00105</x:v>
      </x:c>
      <x:c r="B109" s="69" t="str">
        <x:v>SRC005</x:v>
      </x:c>
      <x:c r="C109" s="69" t="str">
        <x:v>2023-2024</x:v>
      </x:c>
      <x:c r="D109" s="69" t="str">
        <x:v>total_or_tax</x:v>
      </x:c>
      <x:c r="E109" s="69" t="str">
        <x:v>MD2023_2024_004-T01R022</x:v>
      </x:c>
      <x:c r="F109" s="71" t="str">
        <x:v>18</x:v>
      </x:c>
      <x:c r="G109" s="71" t="str">
        <x:v>文件未載明</x:v>
      </x:c>
      <x:c r="H109" s="71" t="str">
        <x:v>文件未載明</x:v>
      </x:c>
      <x:c r="I109" s="72"/>
      <x:c r="J109" s="69" t="str">
        <x:v>文件未載明</x:v>
      </x:c>
      <x:c r="K109" s="70"/>
      <x:c r="L109" s="69" t="str">
        <x:v>文件未載明</x:v>
      </x:c>
      <x:c r="M109" s="70"/>
      <x:c r="N109" s="69" t="str">
        <x:v>文件未載明</x:v>
      </x:c>
      <x:c r="O109" s="71" t="str">
        <x:v>來源表頭對應</x:v>
      </x:c>
      <x:c r="P109" s="71" t="str">
        <x:v>HTML表格1／列22</x:v>
      </x:c>
      <x:c r="Q109" s="71" t="str">
        <x:v>18 | | | 總計 1,940,516 | 總計 1,940,516 | 總計 1,940,516 | 元整</x:v>
      </x:c>
      <x:c r="R109" s="71" t="str">
        <x:v>各廠商合約&amp; 報價\MD檔案\20231226 TOTO衛浴.md</x:v>
      </x:c>
    </x:row>
    <x:row r="110">
      <x:c r="A110" s="69" t="str">
        <x:v>ITEM00106</x:v>
      </x:c>
      <x:c r="B110" s="69" t="str">
        <x:v>SRC005</x:v>
      </x:c>
      <x:c r="C110" s="69" t="str">
        <x:v>2023-2024</x:v>
      </x:c>
      <x:c r="D110" s="69" t="str">
        <x:v>note_or_description</x:v>
      </x:c>
      <x:c r="E110" s="69" t="str">
        <x:v>MD2023_2024_004-T01R023</x:v>
      </x:c>
      <x:c r="F110" s="71" t="str">
        <x:v>1.本報價單在有效期限內使生效.有效期限至 113年1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詳原文索引）</x:v>
      </x:c>
      <x:c r="G110" s="71" t="str">
        <x:v>文件未載明</x:v>
      </x:c>
      <x:c r="H110" s="71" t="str">
        <x:v>文件未載明</x:v>
      </x:c>
      <x:c r="I110" s="72"/>
      <x:c r="J110" s="69" t="str">
        <x:v>文件未載明</x:v>
      </x:c>
      <x:c r="K110" s="70"/>
      <x:c r="L110" s="69" t="str">
        <x:v>文件未載明</x:v>
      </x:c>
      <x:c r="M110" s="70"/>
      <x:c r="N110" s="69" t="str">
        <x:v>文件未載明</x:v>
      </x:c>
      <x:c r="O110" s="71" t="str">
        <x:v>來源表頭對應</x:v>
      </x:c>
      <x:c r="P110" s="71" t="str">
        <x:v>HTML表格1／列23</x:v>
      </x:c>
      <x:c r="Q110" s="71" t="str">
        <x:v>1.本報價單在有效期限內使生效.有效期限至 113年1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6.本報價單僅限本案使用,不得挪為其他案件使用。7.基於誠信保密原則,本報價單均不得揭露予第三人知悉。8.如因天災或不可抗力之事由,供應商之產線匱乏,致本契約產品不能繼續供應時,雙方得同意更換其它產品取代之。 | 1.本報價單在有效期限內使生效.有效期限至 113年1月2日2…（詳原文索引）</x:v>
      </x:c>
      <x:c r="R110" s="71" t="str">
        <x:v>各廠商合約&amp; 報價\MD檔案\20231226 TOTO衛浴.md</x:v>
      </x:c>
    </x:row>
    <x:row r="111">
      <x:c r="A111" s="69" t="str">
        <x:v>ITEM00107</x:v>
      </x:c>
      <x:c r="B111" s="69" t="str">
        <x:v>SRC006</x:v>
      </x:c>
      <x:c r="C111" s="69" t="str">
        <x:v>2023-2024</x:v>
      </x:c>
      <x:c r="D111" s="69" t="str">
        <x:v>line_item</x:v>
      </x:c>
      <x:c r="E111" s="69" t="str">
        <x:v>MD2023_2024_005-T01R002</x:v>
      </x:c>
      <x:c r="F111" s="71" t="str">
        <x:v>H086710U</x:v>
      </x:c>
      <x:c r="G111" s="71" t="str">
        <x:v>6*22.7</x:v>
      </x:c>
      <x:c r="H111" s="71" t="str">
        <x:v>片</x:v>
      </x:c>
      <x:c r="I111" s="72"/>
      <x:c r="J111" s="69" t="str">
        <x:v>文件未載明</x:v>
      </x:c>
      <x:c r="K111" s="70" t="n">
        <x:v>3.2</x:v>
      </x:c>
      <x:c r="L111" s="69" t="str">
        <x:v>$3.2</x:v>
      </x:c>
      <x:c r="M111" s="70"/>
      <x:c r="N111" s="69" t="str">
        <x:v>文件未載明</x:v>
      </x:c>
      <x:c r="O111" s="71" t="str">
        <x:v>來源表頭對應</x:v>
      </x:c>
      <x:c r="P111" s="71" t="str">
        <x:v>HTML表格1／列2</x:v>
      </x:c>
      <x:c r="Q111" s="71" t="str">
        <x:v>1 | H086710U | 6*22.7 | 片 | $3.2 | 外牆磚</x:v>
      </x:c>
      <x:c r="R111" s="71" t="str">
        <x:v>各廠商合約&amp; 報價\MD檔案\20240326 國璽寶 磁磚.md</x:v>
      </x:c>
    </x:row>
    <x:row r="112">
      <x:c r="A112" s="69" t="str">
        <x:v>ITEM00108</x:v>
      </x:c>
      <x:c r="B112" s="69" t="str">
        <x:v>SRC006</x:v>
      </x:c>
      <x:c r="C112" s="69" t="str">
        <x:v>2023-2024</x:v>
      </x:c>
      <x:c r="D112" s="69" t="str">
        <x:v>line_item</x:v>
      </x:c>
      <x:c r="E112" s="69" t="str">
        <x:v>MD2023_2024_005-T01R003</x:v>
      </x:c>
      <x:c r="F112" s="71" t="str">
        <x:v>DB6F02.25</x:v>
      </x:c>
      <x:c r="G112" s="71" t="str">
        <x:v>60*60</x:v>
      </x:c>
      <x:c r="H112" s="71" t="str">
        <x:v>片</x:v>
      </x:c>
      <x:c r="I112" s="72"/>
      <x:c r="J112" s="69" t="str">
        <x:v>文件未載明</x:v>
      </x:c>
      <x:c r="K112" s="70" t="n">
        <x:v>135</x:v>
      </x:c>
      <x:c r="L112" s="69" t="str">
        <x:v>$135</x:v>
      </x:c>
      <x:c r="M112" s="70"/>
      <x:c r="N112" s="69" t="str">
        <x:v>文件未載明</x:v>
      </x:c>
      <x:c r="O112" s="71" t="str">
        <x:v>來源表頭對應</x:v>
      </x:c>
      <x:c r="P112" s="71" t="str">
        <x:v>HTML表格1／列3</x:v>
      </x:c>
      <x:c r="Q112" s="71" t="str">
        <x:v>2 | DB6F02.25 | 60*60 | 片 | $135 | 客餐廳</x:v>
      </x:c>
      <x:c r="R112" s="71" t="str">
        <x:v>各廠商合約&amp; 報價\MD檔案\20240326 國璽寶 磁磚.md</x:v>
      </x:c>
    </x:row>
    <x:row r="113">
      <x:c r="A113" s="69" t="str">
        <x:v>ITEM00109</x:v>
      </x:c>
      <x:c r="B113" s="69" t="str">
        <x:v>SRC006</x:v>
      </x:c>
      <x:c r="C113" s="69" t="str">
        <x:v>2023-2024</x:v>
      </x:c>
      <x:c r="D113" s="69" t="str">
        <x:v>line_item</x:v>
      </x:c>
      <x:c r="E113" s="69" t="str">
        <x:v>MD2023_2024_005-T01R004</x:v>
      </x:c>
      <x:c r="F113" s="71" t="str">
        <x:v>JH36M302.304</x:v>
      </x:c>
      <x:c r="G113" s="71" t="str">
        <x:v>30*60</x:v>
      </x:c>
      <x:c r="H113" s="71" t="str">
        <x:v>片</x:v>
      </x:c>
      <x:c r="I113" s="72"/>
      <x:c r="J113" s="69" t="str">
        <x:v>文件未載明</x:v>
      </x:c>
      <x:c r="K113" s="70" t="n">
        <x:v>58</x:v>
      </x:c>
      <x:c r="L113" s="69" t="str">
        <x:v>$58</x:v>
      </x:c>
      <x:c r="M113" s="70"/>
      <x:c r="N113" s="69" t="str">
        <x:v>文件未載明</x:v>
      </x:c>
      <x:c r="O113" s="71" t="str">
        <x:v>來源表頭對應</x:v>
      </x:c>
      <x:c r="P113" s="71" t="str">
        <x:v>HTML表格1／列4</x:v>
      </x:c>
      <x:c r="Q113" s="71" t="str">
        <x:v>3 | JH36M302.304 | 30*60 | 片 | $58 | 浴室壁地</x:v>
      </x:c>
      <x:c r="R113" s="71" t="str">
        <x:v>各廠商合約&amp; 報價\MD檔案\20240326 國璽寶 磁磚.md</x:v>
      </x:c>
    </x:row>
    <x:row r="114">
      <x:c r="A114" s="69" t="str">
        <x:v>ITEM00110</x:v>
      </x:c>
      <x:c r="B114" s="69" t="str">
        <x:v>SRC006</x:v>
      </x:c>
      <x:c r="C114" s="69" t="str">
        <x:v>2023-2024</x:v>
      </x:c>
      <x:c r="D114" s="69" t="str">
        <x:v>line_item</x:v>
      </x:c>
      <x:c r="E114" s="69" t="str">
        <x:v>MD2023_2024_005-T01R005</x:v>
      </x:c>
      <x:c r="F114" s="71" t="str">
        <x:v>JH36A915C</x:v>
      </x:c>
      <x:c r="G114" s="71" t="str">
        <x:v>30*60</x:v>
      </x:c>
      <x:c r="H114" s="71" t="str">
        <x:v>片</x:v>
      </x:c>
      <x:c r="I114" s="72"/>
      <x:c r="J114" s="69" t="str">
        <x:v>文件未載明</x:v>
      </x:c>
      <x:c r="K114" s="70" t="n">
        <x:v>75</x:v>
      </x:c>
      <x:c r="L114" s="69" t="str">
        <x:v>$75</x:v>
      </x:c>
      <x:c r="M114" s="70"/>
      <x:c r="N114" s="69" t="str">
        <x:v>文件未載明</x:v>
      </x:c>
      <x:c r="O114" s="71" t="str">
        <x:v>來源表頭對應</x:v>
      </x:c>
      <x:c r="P114" s="71" t="str">
        <x:v>HTML表格1／列5</x:v>
      </x:c>
      <x:c r="Q114" s="71" t="str">
        <x:v>4 | JH36A915C | 30*60 | 片 | $75 | 浴室花磚</x:v>
      </x:c>
      <x:c r="R114" s="71" t="str">
        <x:v>各廠商合約&amp; 報價\MD檔案\20240326 國璽寶 磁磚.md</x:v>
      </x:c>
    </x:row>
    <x:row r="115">
      <x:c r="A115" s="69" t="str">
        <x:v>ITEM00111</x:v>
      </x:c>
      <x:c r="B115" s="69" t="str">
        <x:v>SRC006</x:v>
      </x:c>
      <x:c r="C115" s="69" t="str">
        <x:v>2023-2024</x:v>
      </x:c>
      <x:c r="D115" s="69" t="str">
        <x:v>line_item</x:v>
      </x:c>
      <x:c r="E115" s="69" t="str">
        <x:v>MD2023_2024_005-T01R006</x:v>
      </x:c>
      <x:c r="F115" s="71" t="str">
        <x:v>2713</x:v>
      </x:c>
      <x:c r="G115" s="71" t="str">
        <x:v>20*27</x:v>
      </x:c>
      <x:c r="H115" s="71" t="str">
        <x:v>片</x:v>
      </x:c>
      <x:c r="I115" s="72"/>
      <x:c r="J115" s="69" t="str">
        <x:v>文件未載明</x:v>
      </x:c>
      <x:c r="K115" s="70" t="n">
        <x:v>20</x:v>
      </x:c>
      <x:c r="L115" s="69" t="str">
        <x:v>$20</x:v>
      </x:c>
      <x:c r="M115" s="70"/>
      <x:c r="N115" s="69" t="str">
        <x:v>文件未載明</x:v>
      </x:c>
      <x:c r="O115" s="71" t="str">
        <x:v>來源表頭對應</x:v>
      </x:c>
      <x:c r="P115" s="71" t="str">
        <x:v>HTML表格1／列6</x:v>
      </x:c>
      <x:c r="Q115" s="71" t="str">
        <x:v>5 | 2713 | 20*27 | 片 | $20 | 樓梯</x:v>
      </x:c>
      <x:c r="R115" s="71" t="str">
        <x:v>各廠商合約&amp; 報價\MD檔案\20240326 國璽寶 磁磚.md</x:v>
      </x:c>
    </x:row>
    <x:row r="116">
      <x:c r="A116" s="69" t="str">
        <x:v>ITEM00112</x:v>
      </x:c>
      <x:c r="B116" s="69" t="str">
        <x:v>SRC006</x:v>
      </x:c>
      <x:c r="C116" s="69" t="str">
        <x:v>2023-2024</x:v>
      </x:c>
      <x:c r="D116" s="69" t="str">
        <x:v>line_item</x:v>
      </x:c>
      <x:c r="E116" s="69" t="str">
        <x:v>MD2023_2024_005-T01R007</x:v>
      </x:c>
      <x:c r="F116" s="71" t="str">
        <x:v>2003</x:v>
      </x:c>
      <x:c r="G116" s="71" t="str">
        <x:v>20*20</x:v>
      </x:c>
      <x:c r="H116" s="71" t="str">
        <x:v>片</x:v>
      </x:c>
      <x:c r="I116" s="72"/>
      <x:c r="J116" s="69" t="str">
        <x:v>文件未載明</x:v>
      </x:c>
      <x:c r="K116" s="70" t="n">
        <x:v>11</x:v>
      </x:c>
      <x:c r="L116" s="69" t="str">
        <x:v>$11</x:v>
      </x:c>
      <x:c r="M116" s="70"/>
      <x:c r="N116" s="69" t="str">
        <x:v>文件未載明</x:v>
      </x:c>
      <x:c r="O116" s="71" t="str">
        <x:v>來源表頭對應</x:v>
      </x:c>
      <x:c r="P116" s="71" t="str">
        <x:v>HTML表格1／列7</x:v>
      </x:c>
      <x:c r="Q116" s="71" t="str">
        <x:v>6 | 2003 | 20*20 | 片 | $11 | 樓梯</x:v>
      </x:c>
      <x:c r="R116" s="71" t="str">
        <x:v>各廠商合約&amp; 報價\MD檔案\20240326 國璽寶 磁磚.md</x:v>
      </x:c>
    </x:row>
    <x:row r="117">
      <x:c r="A117" s="69" t="str">
        <x:v>ITEM00113</x:v>
      </x:c>
      <x:c r="B117" s="69" t="str">
        <x:v>SRC006</x:v>
      </x:c>
      <x:c r="C117" s="69" t="str">
        <x:v>2023-2024</x:v>
      </x:c>
      <x:c r="D117" s="69" t="str">
        <x:v>line_item</x:v>
      </x:c>
      <x:c r="E117" s="69" t="str">
        <x:v>MD2023_2024_005-T01R008</x:v>
      </x:c>
      <x:c r="F117" s="71" t="str">
        <x:v>2005</x:v>
      </x:c>
      <x:c r="G117" s="71" t="str">
        <x:v>20*20</x:v>
      </x:c>
      <x:c r="H117" s="71" t="str">
        <x:v>片</x:v>
      </x:c>
      <x:c r="I117" s="72"/>
      <x:c r="J117" s="69" t="str">
        <x:v>文件未載明</x:v>
      </x:c>
      <x:c r="K117" s="70" t="n">
        <x:v>11</x:v>
      </x:c>
      <x:c r="L117" s="69" t="str">
        <x:v>$11</x:v>
      </x:c>
      <x:c r="M117" s="70"/>
      <x:c r="N117" s="69" t="str">
        <x:v>文件未載明</x:v>
      </x:c>
      <x:c r="O117" s="71" t="str">
        <x:v>來源表頭對應</x:v>
      </x:c>
      <x:c r="P117" s="71" t="str">
        <x:v>HTML表格1／列8</x:v>
      </x:c>
      <x:c r="Q117" s="71" t="str">
        <x:v>7 | 2005 | 20*20 | 片 | $11 | 陽台</x:v>
      </x:c>
      <x:c r="R117" s="71" t="str">
        <x:v>各廠商合約&amp; 報價\MD檔案\20240326 國璽寶 磁磚.md</x:v>
      </x:c>
    </x:row>
    <x:row r="118">
      <x:c r="A118" s="69" t="str">
        <x:v>ITEM00114</x:v>
      </x:c>
      <x:c r="B118" s="69" t="str">
        <x:v>SRC006</x:v>
      </x:c>
      <x:c r="C118" s="69" t="str">
        <x:v>2023-2024</x:v>
      </x:c>
      <x:c r="D118" s="69" t="str">
        <x:v>line_item</x:v>
      </x:c>
      <x:c r="E118" s="69" t="str">
        <x:v>MD2023_2024_005-T01R009</x:v>
      </x:c>
      <x:c r="F118" s="71" t="str">
        <x:v>TS2306</x:v>
      </x:c>
      <x:c r="G118" s="71" t="str">
        <x:v>20*20</x:v>
      </x:c>
      <x:c r="H118" s="71" t="str">
        <x:v>片</x:v>
      </x:c>
      <x:c r="I118" s="72"/>
      <x:c r="J118" s="69" t="str">
        <x:v>文件未載明</x:v>
      </x:c>
      <x:c r="K118" s="70" t="n">
        <x:v>12</x:v>
      </x:c>
      <x:c r="L118" s="69" t="str">
        <x:v>$12</x:v>
      </x:c>
      <x:c r="M118" s="70"/>
      <x:c r="N118" s="69" t="str">
        <x:v>文件未載明</x:v>
      </x:c>
      <x:c r="O118" s="71" t="str">
        <x:v>來源表頭對應</x:v>
      </x:c>
      <x:c r="P118" s="71" t="str">
        <x:v>HTML表格1／列9</x:v>
      </x:c>
      <x:c r="Q118" s="71" t="str">
        <x:v>8 | TS2306 | 20*20 | 片 | $12 | 陽台(不退貨)</x:v>
      </x:c>
      <x:c r="R118" s="71" t="str">
        <x:v>各廠商合約&amp; 報價\MD檔案\20240326 國璽寶 磁磚.md</x:v>
      </x:c>
    </x:row>
    <x:row r="119">
      <x:c r="A119" s="69" t="str">
        <x:v>ITEM00115</x:v>
      </x:c>
      <x:c r="B119" s="69" t="str">
        <x:v>SRC006</x:v>
      </x:c>
      <x:c r="C119" s="69" t="str">
        <x:v>2023-2024</x:v>
      </x:c>
      <x:c r="D119" s="69" t="str">
        <x:v>line_item</x:v>
      </x:c>
      <x:c r="E119" s="69" t="str">
        <x:v>MD2023_2024_005-T01R010</x:v>
      </x:c>
      <x:c r="F119" s="71" t="str">
        <x:v>3005</x:v>
      </x:c>
      <x:c r="G119" s="71" t="str">
        <x:v>30*30</x:v>
      </x:c>
      <x:c r="H119" s="71" t="str">
        <x:v>片</x:v>
      </x:c>
      <x:c r="I119" s="72"/>
      <x:c r="J119" s="69" t="str">
        <x:v>文件未載明</x:v>
      </x:c>
      <x:c r="K119" s="70" t="n">
        <x:v>28</x:v>
      </x:c>
      <x:c r="L119" s="69" t="str">
        <x:v>$28</x:v>
      </x:c>
      <x:c r="M119" s="70"/>
      <x:c r="N119" s="69" t="str">
        <x:v>文件未載明</x:v>
      </x:c>
      <x:c r="O119" s="71" t="str">
        <x:v>來源表頭對應</x:v>
      </x:c>
      <x:c r="P119" s="71" t="str">
        <x:v>HTML表格1／列10</x:v>
      </x:c>
      <x:c r="Q119" s="71" t="str">
        <x:v>9 | 3005 | 30*30 | 片 | $28 | 露臺</x:v>
      </x:c>
      <x:c r="R119" s="71" t="str">
        <x:v>各廠商合約&amp; 報價\MD檔案\20240326 國璽寶 磁磚.md</x:v>
      </x:c>
    </x:row>
    <x:row r="120">
      <x:c r="A120" s="69" t="str">
        <x:v>ITEM00116</x:v>
      </x:c>
      <x:c r="B120" s="69" t="str">
        <x:v>SRC006</x:v>
      </x:c>
      <x:c r="C120" s="69" t="str">
        <x:v>2023-2024</x:v>
      </x:c>
      <x:c r="D120" s="69" t="str">
        <x:v>line_item</x:v>
      </x:c>
      <x:c r="E120" s="69" t="str">
        <x:v>MD2023_2024_005-T01R011</x:v>
      </x:c>
      <x:c r="F120" s="71" t="str">
        <x:v>60702</x:v>
      </x:c>
      <x:c r="G120" s="71" t="str">
        <x:v>60*60</x:v>
      </x:c>
      <x:c r="H120" s="71" t="str">
        <x:v>片</x:v>
      </x:c>
      <x:c r="I120" s="72"/>
      <x:c r="J120" s="69" t="str">
        <x:v>文件未載明</x:v>
      </x:c>
      <x:c r="K120" s="70" t="n">
        <x:v>95</x:v>
      </x:c>
      <x:c r="L120" s="69" t="str">
        <x:v>$95</x:v>
      </x:c>
      <x:c r="M120" s="70"/>
      <x:c r="N120" s="69" t="str">
        <x:v>文件未載明</x:v>
      </x:c>
      <x:c r="O120" s="71" t="str">
        <x:v>來源表頭對應</x:v>
      </x:c>
      <x:c r="P120" s="71" t="str">
        <x:v>HTML表格1／列11</x:v>
      </x:c>
      <x:c r="Q120" s="71" t="str">
        <x:v>10 | 60702 | 60*60 | 片 | $95 | 梯間地</x:v>
      </x:c>
      <x:c r="R120" s="71" t="str">
        <x:v>各廠商合約&amp; 報價\MD檔案\20240326 國璽寶 磁磚.md</x:v>
      </x:c>
    </x:row>
    <x:row r="121">
      <x:c r="A121" s="69" t="str">
        <x:v>ITEM00117</x:v>
      </x:c>
      <x:c r="B121" s="69" t="str">
        <x:v>SRC006</x:v>
      </x:c>
      <x:c r="C121" s="69" t="str">
        <x:v>2023-2024</x:v>
      </x:c>
      <x:c r="D121" s="69" t="str">
        <x:v>line_item</x:v>
      </x:c>
      <x:c r="E121" s="69" t="str">
        <x:v>MD2023_2024_005-T01R012</x:v>
      </x:c>
      <x:c r="F121" s="71" t="str">
        <x:v>96012</x:v>
      </x:c>
      <x:c r="G121" s="71" t="str">
        <x:v>30*60</x:v>
      </x:c>
      <x:c r="H121" s="71" t="str">
        <x:v>片</x:v>
      </x:c>
      <x:c r="I121" s="72"/>
      <x:c r="J121" s="69" t="str">
        <x:v>文件未載明</x:v>
      </x:c>
      <x:c r="K121" s="70" t="n">
        <x:v>58</x:v>
      </x:c>
      <x:c r="L121" s="69" t="str">
        <x:v>$58</x:v>
      </x:c>
      <x:c r="M121" s="70"/>
      <x:c r="N121" s="69" t="str">
        <x:v>文件未載明</x:v>
      </x:c>
      <x:c r="O121" s="71" t="str">
        <x:v>來源表頭對應</x:v>
      </x:c>
      <x:c r="P121" s="71" t="str">
        <x:v>HTML表格1／列12</x:v>
      </x:c>
      <x:c r="Q121" s="71" t="str">
        <x:v>11 | 96012 | 30*60 | 片 | $58 | 電梯壁</x:v>
      </x:c>
      <x:c r="R121" s="71" t="str">
        <x:v>各廠商合約&amp; 報價\MD檔案\20240326 國璽寶 磁磚.md</x:v>
      </x:c>
    </x:row>
    <x:row r="122">
      <x:c r="A122" s="69" t="str">
        <x:v>ITEM00118</x:v>
      </x:c>
      <x:c r="B122" s="69" t="str">
        <x:v>SRC006</x:v>
      </x:c>
      <x:c r="C122" s="69" t="str">
        <x:v>2023-2024</x:v>
      </x:c>
      <x:c r="D122" s="69" t="str">
        <x:v>line_item</x:v>
      </x:c>
      <x:c r="E122" s="69" t="str">
        <x:v>MD2023_2024_005-T01R013</x:v>
      </x:c>
      <x:c r="F122" s="71" t="str">
        <x:v>加工費</x:v>
      </x:c>
      <x:c r="G122" s="71" t="str">
        <x:v>30*60</x:v>
      </x:c>
      <x:c r="H122" s="71" t="str">
        <x:v>每公分</x:v>
      </x:c>
      <x:c r="I122" s="72"/>
      <x:c r="J122" s="69" t="str">
        <x:v>文件未載明</x:v>
      </x:c>
      <x:c r="K122" s="70" t="n">
        <x:v>0.5</x:v>
      </x:c>
      <x:c r="L122" s="69" t="str">
        <x:v>$0.5</x:v>
      </x:c>
      <x:c r="M122" s="70"/>
      <x:c r="N122" s="69" t="str">
        <x:v>文件未載明</x:v>
      </x:c>
      <x:c r="O122" s="71" t="str">
        <x:v>來源表頭對應</x:v>
      </x:c>
      <x:c r="P122" s="71" t="str">
        <x:v>HTML表格1／列13</x:v>
      </x:c>
      <x:c r="Q122" s="71" t="str">
        <x:v>12 | 加工費 | 30*60 | 每公分 | $0.5 |</x:v>
      </x:c>
      <x:c r="R122" s="71" t="str">
        <x:v>各廠商合約&amp; 報價\MD檔案\20240326 國璽寶 磁磚.md</x:v>
      </x:c>
    </x:row>
    <x:row r="123">
      <x:c r="A123" s="69" t="str">
        <x:v>ITEM00119</x:v>
      </x:c>
      <x:c r="B123" s="69" t="str">
        <x:v>SRC006</x:v>
      </x:c>
      <x:c r="C123" s="69" t="str">
        <x:v>2023-2024</x:v>
      </x:c>
      <x:c r="D123" s="69" t="str">
        <x:v>total_or_tax</x:v>
      </x:c>
      <x:c r="E123" s="69" t="str">
        <x:v>MD2023_2024_005-T01R014</x:v>
      </x:c>
      <x:c r="F123" s="71" t="str">
        <x:v>(1)以上報價均不含5%營業稅 (2)電匯 (3)本報價單有效期間自即日起至113年05月30日 (4)庫存品.二丁掛.異形磚.拆箱不退貨 (5)以上報價若無誤 本報價單視同合約草書煩請用印回傳 謝謝!</x:v>
      </x:c>
      <x:c r="G123" s="71" t="str">
        <x:v>(1)以上報價均不含5%營業稅 (2)電匯 (3)本報價單有效期間自即日起至113年05月30日 (4)庫存品.二丁掛.異形磚.拆箱不退貨 (5)以上報價若無誤 本報價單視同合約草書煩請用印回傳 謝謝!</x:v>
      </x:c>
      <x:c r="H123" s="71" t="str">
        <x:v>(1)以上報價均不含5%營業稅 (2)電匯 (3)本報價單有效期間自即日起至113年05月30日 (4)庫存品.二丁掛.異形磚.拆箱不退貨 (5)以上報價若無誤 本報價單視同合約草書煩請用印回傳 謝謝!</x:v>
      </x:c>
      <x:c r="I123" s="72"/>
      <x:c r="J123" s="69" t="str">
        <x:v>文件未載明</x:v>
      </x:c>
      <x:c r="K123" s="70"/>
      <x:c r="L123" s="69" t="str">
        <x:v>(1)以上報價均不含5%營業稅 (2)電匯 (3)本報價單有效期間自即日起至113年05月30日 (4)庫存品.二丁掛.異形磚.拆箱不退貨 (5)以上報價若無誤 本報價單視同合約草書煩請用印回傳 謝謝!</x:v>
      </x:c>
      <x:c r="M123" s="70"/>
      <x:c r="N123" s="69" t="str">
        <x:v>文件未載明</x:v>
      </x:c>
      <x:c r="O123" s="71" t="str">
        <x:v>來源表頭對應</x:v>
      </x:c>
      <x:c r="P123" s="71" t="str">
        <x:v>HTML表格1／列14</x:v>
      </x:c>
      <x:c r="Q123" s="71" t="str">
        <x:v>備註 | (1)以上報價均不含5%營業稅 (2)電匯 (3)本報價單有效期間自即日起至113年05月30日 (4)庫存品.二丁掛.異形磚.拆箱不退貨 (5)以上報價若無誤 本報價單視同合約草書煩請用印回傳 謝謝! | (1)以上報價均不含5%營業稅 (2)電匯 (3)本報價單有效期間自即日起至113年05月30日 (4)庫存品.二丁掛.異形磚.拆箱不退貨 (5)以上報價若無誤 本報價單視同合約草書煩請用印回傳 謝謝! | (1)以上報價均不含5%營業稅 (2)電匯 (3)本報價單有效期間自即日起至113年05月30日 (4)庫存品.二丁掛.異形磚.拆箱不退貨 (5)以上報價若無誤 本報價單視同…（詳原文索引）</x:v>
      </x:c>
      <x:c r="R123" s="71" t="str">
        <x:v>各廠商合約&amp; 報價\MD檔案\20240326 國璽寶 磁磚.md</x:v>
      </x:c>
    </x:row>
    <x:row r="124">
      <x:c r="A124" s="69" t="str">
        <x:v>ITEM00120</x:v>
      </x:c>
      <x:c r="B124" s="69" t="str">
        <x:v>SRC007</x:v>
      </x:c>
      <x:c r="C124" s="69" t="str">
        <x:v>2023-2024</x:v>
      </x:c>
      <x:c r="D124" s="69" t="str">
        <x:v>line_item</x:v>
      </x:c>
      <x:c r="E124" s="69" t="str">
        <x:v>MD2023_2024_006-T01R002</x:v>
      </x:c>
      <x:c r="F124" s="71" t="str">
        <x:v>1</x:v>
      </x:c>
      <x:c r="G124" s="71" t="str">
        <x:v>文件未載明</x:v>
      </x:c>
      <x:c r="H124" s="71" t="str">
        <x:v>文件未載明</x:v>
      </x:c>
      <x:c r="I124" s="72" t="n">
        <x:v>1</x:v>
      </x:c>
      <x:c r="J124" s="69" t="str">
        <x:v>1</x:v>
      </x:c>
      <x:c r="K124" s="70" t="n">
        <x:v>11800</x:v>
      </x:c>
      <x:c r="L124" s="69" t="str">
        <x:v>11,800</x:v>
      </x:c>
      <x:c r="M124" s="70"/>
      <x:c r="N124" s="69" t="str">
        <x:v>文件未載明</x:v>
      </x:c>
      <x:c r="O124" s="71" t="str">
        <x:v>來源表頭對應</x:v>
      </x:c>
      <x:c r="P124" s="71" t="str">
        <x:v>HTML表格1／列2</x:v>
      </x:c>
      <x:c r="Q124" s="71" t="str">
        <x:v>1 | 台熱牌TCM-210BS | 遙控升降/LED照明 | 1 | 11,800 | 10620</x:v>
      </x:c>
      <x:c r="R124" s="71" t="str">
        <x:v>各廠商合約&amp; 報價\MD檔案\20240506 鎖庫 智能衣架.md</x:v>
      </x:c>
    </x:row>
    <x:row r="125">
      <x:c r="A125" s="69" t="str">
        <x:v>ITEM00121</x:v>
      </x:c>
      <x:c r="B125" s="69" t="str">
        <x:v>SRC007</x:v>
      </x:c>
      <x:c r="C125" s="69" t="str">
        <x:v>2023-2024</x:v>
      </x:c>
      <x:c r="D125" s="69" t="str">
        <x:v>line_item</x:v>
      </x:c>
      <x:c r="E125" s="69" t="str">
        <x:v>MD2023_2024_006-T01R003</x:v>
      </x:c>
      <x:c r="F125" s="71" t="str">
        <x:v>2</x:v>
      </x:c>
      <x:c r="G125" s="71" t="str">
        <x:v>文件未載明</x:v>
      </x:c>
      <x:c r="H125" s="71" t="str">
        <x:v>文件未載明</x:v>
      </x:c>
      <x:c r="I125" s="72"/>
      <x:c r="J125" s="69" t="str"/>
      <x:c r="K125" s="70"/>
      <x:c r="L125" s="69" t="str"/>
      <x:c r="M125" s="70"/>
      <x:c r="N125" s="69" t="str">
        <x:v>文件未載明</x:v>
      </x:c>
      <x:c r="O125" s="71" t="str">
        <x:v>來源表頭對應</x:v>
      </x:c>
      <x:c r="P125" s="71" t="str">
        <x:v>HTML表格1／列3</x:v>
      </x:c>
      <x:c r="Q125" s="71" t="str">
        <x:v>2 | | | | |</x:v>
      </x:c>
      <x:c r="R125" s="71" t="str">
        <x:v>各廠商合約&amp; 報價\MD檔案\20240506 鎖庫 智能衣架.md</x:v>
      </x:c>
    </x:row>
    <x:row r="126">
      <x:c r="A126" s="69" t="str">
        <x:v>ITEM00122</x:v>
      </x:c>
      <x:c r="B126" s="69" t="str">
        <x:v>SRC007</x:v>
      </x:c>
      <x:c r="C126" s="69" t="str">
        <x:v>2023-2024</x:v>
      </x:c>
      <x:c r="D126" s="69" t="str">
        <x:v>line_item</x:v>
      </x:c>
      <x:c r="E126" s="69" t="str">
        <x:v>MD2023_2024_006-T01R004</x:v>
      </x:c>
      <x:c r="F126" s="71" t="str">
        <x:v>3</x:v>
      </x:c>
      <x:c r="G126" s="71" t="str">
        <x:v>文件未載明</x:v>
      </x:c>
      <x:c r="H126" s="71" t="str">
        <x:v>文件未載明</x:v>
      </x:c>
      <x:c r="I126" s="72"/>
      <x:c r="J126" s="69" t="str"/>
      <x:c r="K126" s="70"/>
      <x:c r="L126" s="69" t="str"/>
      <x:c r="M126" s="70"/>
      <x:c r="N126" s="69" t="str">
        <x:v>文件未載明</x:v>
      </x:c>
      <x:c r="O126" s="71" t="str">
        <x:v>來源表頭對應</x:v>
      </x:c>
      <x:c r="P126" s="71" t="str">
        <x:v>HTML表格1／列4</x:v>
      </x:c>
      <x:c r="Q126" s="71" t="str">
        <x:v>3 | | | | |</x:v>
      </x:c>
      <x:c r="R126" s="71" t="str">
        <x:v>各廠商合約&amp; 報價\MD檔案\20240506 鎖庫 智能衣架.md</x:v>
      </x:c>
    </x:row>
    <x:row r="127">
      <x:c r="A127" s="69" t="str">
        <x:v>ITEM00123</x:v>
      </x:c>
      <x:c r="B127" s="69" t="str">
        <x:v>SRC007</x:v>
      </x:c>
      <x:c r="C127" s="69" t="str">
        <x:v>2023-2024</x:v>
      </x:c>
      <x:c r="D127" s="69" t="str">
        <x:v>line_item</x:v>
      </x:c>
      <x:c r="E127" s="69" t="str">
        <x:v>MD2023_2024_006-T01R005</x:v>
      </x:c>
      <x:c r="F127" s="71" t="str">
        <x:v>4</x:v>
      </x:c>
      <x:c r="G127" s="71" t="str">
        <x:v>文件未載明</x:v>
      </x:c>
      <x:c r="H127" s="71" t="str">
        <x:v>文件未載明</x:v>
      </x:c>
      <x:c r="I127" s="72"/>
      <x:c r="J127" s="69" t="str"/>
      <x:c r="K127" s="70"/>
      <x:c r="L127" s="69" t="str"/>
      <x:c r="M127" s="70"/>
      <x:c r="N127" s="69" t="str">
        <x:v>文件未載明</x:v>
      </x:c>
      <x:c r="O127" s="71" t="str">
        <x:v>來源表頭對應</x:v>
      </x:c>
      <x:c r="P127" s="71" t="str">
        <x:v>HTML表格1／列5</x:v>
      </x:c>
      <x:c r="Q127" s="71" t="str">
        <x:v>4 | | | | |</x:v>
      </x:c>
      <x:c r="R127" s="71" t="str">
        <x:v>各廠商合約&amp; 報價\MD檔案\20240506 鎖庫 智能衣架.md</x:v>
      </x:c>
    </x:row>
    <x:row r="128">
      <x:c r="A128" s="69" t="str">
        <x:v>ITEM00124</x:v>
      </x:c>
      <x:c r="B128" s="69" t="str">
        <x:v>SRC007</x:v>
      </x:c>
      <x:c r="C128" s="69" t="str">
        <x:v>2023-2024</x:v>
      </x:c>
      <x:c r="D128" s="69" t="str">
        <x:v>line_item</x:v>
      </x:c>
      <x:c r="E128" s="69" t="str">
        <x:v>MD2023_2024_006-T01R006</x:v>
      </x:c>
      <x:c r="F128" s="71" t="str">
        <x:v>5</x:v>
      </x:c>
      <x:c r="G128" s="71" t="str">
        <x:v>文件未載明</x:v>
      </x:c>
      <x:c r="H128" s="71" t="str">
        <x:v>文件未載明</x:v>
      </x:c>
      <x:c r="I128" s="72"/>
      <x:c r="J128" s="69" t="str"/>
      <x:c r="K128" s="70"/>
      <x:c r="L128" s="69" t="str"/>
      <x:c r="M128" s="70"/>
      <x:c r="N128" s="69" t="str">
        <x:v>文件未載明</x:v>
      </x:c>
      <x:c r="O128" s="71" t="str">
        <x:v>來源表頭對應</x:v>
      </x:c>
      <x:c r="P128" s="71" t="str">
        <x:v>HTML表格1／列6</x:v>
      </x:c>
      <x:c r="Q128" s="71" t="str">
        <x:v>5 | | | | |</x:v>
      </x:c>
      <x:c r="R128" s="71" t="str">
        <x:v>各廠商合約&amp; 報價\MD檔案\20240506 鎖庫 智能衣架.md</x:v>
      </x:c>
    </x:row>
    <x:row r="129">
      <x:c r="A129" s="69" t="str">
        <x:v>ITEM00125</x:v>
      </x:c>
      <x:c r="B129" s="69" t="str">
        <x:v>SRC007</x:v>
      </x:c>
      <x:c r="C129" s="69" t="str">
        <x:v>2023-2024</x:v>
      </x:c>
      <x:c r="D129" s="69" t="str">
        <x:v>other_table_row</x:v>
      </x:c>
      <x:c r="E129" s="69" t="str">
        <x:v>MD2023_2024_006-T01R007</x:v>
      </x:c>
      <x:c r="F129" s="71" t="str">
        <x:v>文件未載明</x:v>
      </x:c>
      <x:c r="G129" s="71" t="str">
        <x:v>文件未載明</x:v>
      </x:c>
      <x:c r="H129" s="71" t="str">
        <x:v>文件未載明</x:v>
      </x:c>
      <x:c r="I129" s="72"/>
      <x:c r="J129" s="69" t="str"/>
      <x:c r="K129" s="70"/>
      <x:c r="L129" s="69" t="str">
        <x:v>總價未稅</x:v>
      </x:c>
      <x:c r="M129" s="70"/>
      <x:c r="N129" s="69" t="str">
        <x:v>文件未載明</x:v>
      </x:c>
      <x:c r="O129" s="71" t="str">
        <x:v>來源表頭對應</x:v>
      </x:c>
      <x:c r="P129" s="71" t="str">
        <x:v>HTML表格1／列7</x:v>
      </x:c>
      <x:c r="Q129" s="71" t="str">
        <x:v>| | | | 總價未稅 | 10620</x:v>
      </x:c>
      <x:c r="R129" s="71" t="str">
        <x:v>各廠商合約&amp; 報價\MD檔案\20240506 鎖庫 智能衣架.md</x:v>
      </x:c>
    </x:row>
    <x:row r="130">
      <x:c r="A130" s="69" t="str">
        <x:v>ITEM00126</x:v>
      </x:c>
      <x:c r="B130" s="69" t="str">
        <x:v>SRC008</x:v>
      </x:c>
      <x:c r="C130" s="69" t="str">
        <x:v>2023-2024</x:v>
      </x:c>
      <x:c r="D130" s="69" t="str">
        <x:v>line_item</x:v>
      </x:c>
      <x:c r="E130" s="69" t="str">
        <x:v>MD2023_2024_007-T01R002</x:v>
      </x:c>
      <x:c r="F130" s="71" t="str">
        <x:v>1</x:v>
      </x:c>
      <x:c r="G130" s="71" t="str">
        <x:v>文件未載明</x:v>
      </x:c>
      <x:c r="H130" s="71" t="str">
        <x:v>文件未載明</x:v>
      </x:c>
      <x:c r="I130" s="72" t="n">
        <x:v>1</x:v>
      </x:c>
      <x:c r="J130" s="69" t="str">
        <x:v>1</x:v>
      </x:c>
      <x:c r="K130" s="70" t="n">
        <x:v>22000</x:v>
      </x:c>
      <x:c r="L130" s="69" t="str">
        <x:v>22,000</x:v>
      </x:c>
      <x:c r="M130" s="70"/>
      <x:c r="N130" s="69" t="str">
        <x:v>文件未載明</x:v>
      </x:c>
      <x:c r="O130" s="71" t="str">
        <x:v>來源表頭對應</x:v>
      </x:c>
      <x:c r="P130" s="71" t="str">
        <x:v>HTML表格1／列2</x:v>
      </x:c>
      <x:c r="Q130" s="71" t="str">
        <x:v>1 | 飛利浦7300 | 指紋/密碼/卡片/鑰匙/藍芽 | 1 | 22,000 | 13500</x:v>
      </x:c>
      <x:c r="R130" s="71" t="str">
        <x:v>各廠商合約&amp; 報價\MD檔案\20240506 鎖庫 電子門鎖.md</x:v>
      </x:c>
    </x:row>
    <x:row r="131">
      <x:c r="A131" s="69" t="str">
        <x:v>ITEM00127</x:v>
      </x:c>
      <x:c r="B131" s="69" t="str">
        <x:v>SRC008</x:v>
      </x:c>
      <x:c r="C131" s="69" t="str">
        <x:v>2023-2024</x:v>
      </x:c>
      <x:c r="D131" s="69" t="str">
        <x:v>line_item</x:v>
      </x:c>
      <x:c r="E131" s="69" t="str">
        <x:v>MD2023_2024_007-T01R003</x:v>
      </x:c>
      <x:c r="F131" s="71" t="str">
        <x:v>2</x:v>
      </x:c>
      <x:c r="G131" s="71" t="str">
        <x:v>文件未載明</x:v>
      </x:c>
      <x:c r="H131" s="71" t="str">
        <x:v>文件未載明</x:v>
      </x:c>
      <x:c r="I131" s="72" t="n">
        <x:v>1</x:v>
      </x:c>
      <x:c r="J131" s="69" t="str">
        <x:v>1</x:v>
      </x:c>
      <x:c r="K131" s="70" t="n">
        <x:v>27000</x:v>
      </x:c>
      <x:c r="L131" s="69" t="str">
        <x:v>27,000</x:v>
      </x:c>
      <x:c r="M131" s="70"/>
      <x:c r="N131" s="69" t="str">
        <x:v>文件未載明</x:v>
      </x:c>
      <x:c r="O131" s="71" t="str">
        <x:v>來源表頭對應</x:v>
      </x:c>
      <x:c r="P131" s="71" t="str">
        <x:v>HTML表格1／列3</x:v>
      </x:c>
      <x:c r="Q131" s="71" t="str">
        <x:v>2 | 耶魯7216A | 指紋/密碼/卡片/鑰匙/ | 1 | 27,000 | 16000</x:v>
      </x:c>
      <x:c r="R131" s="71" t="str">
        <x:v>各廠商合約&amp; 報價\MD檔案\20240506 鎖庫 電子門鎖.md</x:v>
      </x:c>
    </x:row>
    <x:row r="132">
      <x:c r="A132" s="69" t="str">
        <x:v>ITEM00128</x:v>
      </x:c>
      <x:c r="B132" s="69" t="str">
        <x:v>SRC008</x:v>
      </x:c>
      <x:c r="C132" s="69" t="str">
        <x:v>2023-2024</x:v>
      </x:c>
      <x:c r="D132" s="69" t="str">
        <x:v>line_item</x:v>
      </x:c>
      <x:c r="E132" s="69" t="str">
        <x:v>MD2023_2024_007-T01R004</x:v>
      </x:c>
      <x:c r="F132" s="71" t="str">
        <x:v>3</x:v>
      </x:c>
      <x:c r="G132" s="71" t="str">
        <x:v>文件未載明</x:v>
      </x:c>
      <x:c r="H132" s="71" t="str">
        <x:v>文件未載明</x:v>
      </x:c>
      <x:c r="I132" s="72"/>
      <x:c r="J132" s="69" t="str"/>
      <x:c r="K132" s="70"/>
      <x:c r="L132" s="69" t="str"/>
      <x:c r="M132" s="70"/>
      <x:c r="N132" s="69" t="str">
        <x:v>文件未載明</x:v>
      </x:c>
      <x:c r="O132" s="71" t="str">
        <x:v>來源表頭對應</x:v>
      </x:c>
      <x:c r="P132" s="71" t="str">
        <x:v>HTML表格1／列4</x:v>
      </x:c>
      <x:c r="Q132" s="71" t="str">
        <x:v>3 | | | | |</x:v>
      </x:c>
      <x:c r="R132" s="71" t="str">
        <x:v>各廠商合約&amp; 報價\MD檔案\20240506 鎖庫 電子門鎖.md</x:v>
      </x:c>
    </x:row>
    <x:row r="133">
      <x:c r="A133" s="69" t="str">
        <x:v>ITEM00129</x:v>
      </x:c>
      <x:c r="B133" s="69" t="str">
        <x:v>SRC008</x:v>
      </x:c>
      <x:c r="C133" s="69" t="str">
        <x:v>2023-2024</x:v>
      </x:c>
      <x:c r="D133" s="69" t="str">
        <x:v>line_item</x:v>
      </x:c>
      <x:c r="E133" s="69" t="str">
        <x:v>MD2023_2024_007-T01R005</x:v>
      </x:c>
      <x:c r="F133" s="71" t="str">
        <x:v>4</x:v>
      </x:c>
      <x:c r="G133" s="71" t="str">
        <x:v>文件未載明</x:v>
      </x:c>
      <x:c r="H133" s="71" t="str">
        <x:v>文件未載明</x:v>
      </x:c>
      <x:c r="I133" s="72"/>
      <x:c r="J133" s="69" t="str"/>
      <x:c r="K133" s="70"/>
      <x:c r="L133" s="69" t="str"/>
      <x:c r="M133" s="70"/>
      <x:c r="N133" s="69" t="str">
        <x:v>文件未載明</x:v>
      </x:c>
      <x:c r="O133" s="71" t="str">
        <x:v>來源表頭對應</x:v>
      </x:c>
      <x:c r="P133" s="71" t="str">
        <x:v>HTML表格1／列5</x:v>
      </x:c>
      <x:c r="Q133" s="71" t="str">
        <x:v>4 | | | | |</x:v>
      </x:c>
      <x:c r="R133" s="71" t="str">
        <x:v>各廠商合約&amp; 報價\MD檔案\20240506 鎖庫 電子門鎖.md</x:v>
      </x:c>
    </x:row>
    <x:row r="134">
      <x:c r="A134" s="69" t="str">
        <x:v>ITEM00130</x:v>
      </x:c>
      <x:c r="B134" s="69" t="str">
        <x:v>SRC008</x:v>
      </x:c>
      <x:c r="C134" s="69" t="str">
        <x:v>2023-2024</x:v>
      </x:c>
      <x:c r="D134" s="69" t="str">
        <x:v>line_item</x:v>
      </x:c>
      <x:c r="E134" s="69" t="str">
        <x:v>MD2023_2024_007-T01R006</x:v>
      </x:c>
      <x:c r="F134" s="71" t="str">
        <x:v>5</x:v>
      </x:c>
      <x:c r="G134" s="71" t="str">
        <x:v>文件未載明</x:v>
      </x:c>
      <x:c r="H134" s="71" t="str">
        <x:v>文件未載明</x:v>
      </x:c>
      <x:c r="I134" s="72"/>
      <x:c r="J134" s="69" t="str"/>
      <x:c r="K134" s="70"/>
      <x:c r="L134" s="69" t="str"/>
      <x:c r="M134" s="70"/>
      <x:c r="N134" s="69" t="str">
        <x:v>文件未載明</x:v>
      </x:c>
      <x:c r="O134" s="71" t="str">
        <x:v>來源表頭對應</x:v>
      </x:c>
      <x:c r="P134" s="71" t="str">
        <x:v>HTML表格1／列6</x:v>
      </x:c>
      <x:c r="Q134" s="71" t="str">
        <x:v>5 | | | | |</x:v>
      </x:c>
      <x:c r="R134" s="71" t="str">
        <x:v>各廠商合約&amp; 報價\MD檔案\20240506 鎖庫 電子門鎖.md</x:v>
      </x:c>
    </x:row>
    <x:row r="135">
      <x:c r="A135" s="69" t="str">
        <x:v>ITEM00131</x:v>
      </x:c>
      <x:c r="B135" s="69" t="str">
        <x:v>SRC008</x:v>
      </x:c>
      <x:c r="C135" s="69" t="str">
        <x:v>2023-2024</x:v>
      </x:c>
      <x:c r="D135" s="69" t="str">
        <x:v>other_table_row</x:v>
      </x:c>
      <x:c r="E135" s="69" t="str">
        <x:v>MD2023_2024_007-T01R007</x:v>
      </x:c>
      <x:c r="F135" s="71" t="str">
        <x:v>文件未載明</x:v>
      </x:c>
      <x:c r="G135" s="71" t="str">
        <x:v>文件未載明</x:v>
      </x:c>
      <x:c r="H135" s="71" t="str">
        <x:v>文件未載明</x:v>
      </x:c>
      <x:c r="I135" s="72"/>
      <x:c r="J135" s="69" t="str"/>
      <x:c r="K135" s="70"/>
      <x:c r="L135" s="69" t="str">
        <x:v>總價未稅</x:v>
      </x:c>
      <x:c r="M135" s="70"/>
      <x:c r="N135" s="69" t="str">
        <x:v>文件未載明</x:v>
      </x:c>
      <x:c r="O135" s="71" t="str">
        <x:v>來源表頭對應</x:v>
      </x:c>
      <x:c r="P135" s="71" t="str">
        <x:v>HTML表格1／列7</x:v>
      </x:c>
      <x:c r="Q135" s="71" t="str">
        <x:v>| | | | 總價未稅 |</x:v>
      </x:c>
      <x:c r="R135" s="71" t="str">
        <x:v>各廠商合約&amp; 報價\MD檔案\20240506 鎖庫 電子門鎖.md</x:v>
      </x:c>
    </x:row>
    <x:row r="136">
      <x:c r="A136" s="69" t="str">
        <x:v>ITEM00132</x:v>
      </x:c>
      <x:c r="B136" s="69" t="str">
        <x:v>SRC009</x:v>
      </x:c>
      <x:c r="C136" s="69" t="str">
        <x:v>2023-2024</x:v>
      </x:c>
      <x:c r="D136" s="69" t="str">
        <x:v>note_or_description</x:v>
      </x:c>
      <x:c r="E136" s="69" t="str">
        <x:v>MD2023_2024_008-T01R002</x:v>
      </x:c>
      <x:c r="F136" s="71" t="str">
        <x:v>固多多-窗角結構壁面防裂元件</x:v>
      </x:c>
      <x:c r="G136" s="71" t="str">
        <x:v>冷轧鋼板用料15cm(2片式)</x:v>
      </x:c>
      <x:c r="H136" s="71" t="str">
        <x:v>文件未載明</x:v>
      </x:c>
      <x:c r="I136" s="72"/>
      <x:c r="J136" s="69" t="str">
        <x:v>267枚</x:v>
      </x:c>
      <x:c r="K136" s="70" t="n">
        <x:v>420</x:v>
      </x:c>
      <x:c r="L136" s="69" t="str">
        <x:v>420元</x:v>
      </x:c>
      <x:c r="M136" s="70"/>
      <x:c r="N136" s="69" t="str">
        <x:v>112.140元</x:v>
      </x:c>
      <x:c r="O136" s="71" t="str">
        <x:v>來源表頭對應</x:v>
      </x:c>
      <x:c r="P136" s="71" t="str">
        <x:v>HTML表格1／列2</x:v>
      </x:c>
      <x:c r="Q136" s="71" t="str">
        <x:v>固多多-窗角結構壁面防裂元件 | 冷轧鋼板用料15cm(2片式) | B152(第9代) | 267枚 | 420元 | 稅外 | 112.140元</x:v>
      </x:c>
      <x:c r="R136" s="71" t="str">
        <x:v>各廠商合約&amp; 報價\MD檔案\20240507 固多多.md</x:v>
      </x:c>
    </x:row>
    <x:row r="137">
      <x:c r="A137" s="69" t="str">
        <x:v>ITEM00133</x:v>
      </x:c>
      <x:c r="B137" s="69" t="str">
        <x:v>SRC010</x:v>
      </x:c>
      <x:c r="C137" s="69" t="str">
        <x:v>2023-2024</x:v>
      </x:c>
      <x:c r="D137" s="69" t="str">
        <x:v>line_item</x:v>
      </x:c>
      <x:c r="E137" s="69" t="str">
        <x:v>MD2023_2024_009-T01R003</x:v>
      </x:c>
      <x:c r="F137" s="71" t="str">
        <x:v>一字三門5mm透明強化玻璃橫拉門-W160*H185CM以內</x:v>
      </x:c>
      <x:c r="G137" s="71" t="str">
        <x:v>9K3300G-160</x:v>
      </x:c>
      <x:c r="H137" s="71" t="str">
        <x:v>文件未載明</x:v>
      </x:c>
      <x:c r="I137" s="72" t="n">
        <x:v>18</x:v>
      </x:c>
      <x:c r="J137" s="69" t="str">
        <x:v>18</x:v>
      </x:c>
      <x:c r="K137" s="70" t="n">
        <x:v>7900</x:v>
      </x:c>
      <x:c r="L137" s="69" t="str">
        <x:v>$ 7,900</x:v>
      </x:c>
      <x:c r="M137" s="70" t="n">
        <x:v>142200</x:v>
      </x:c>
      <x:c r="N137" s="69" t="str">
        <x:v>$ 142,200</x:v>
      </x:c>
      <x:c r="O137" s="71" t="str">
        <x:v>來源表頭對應</x:v>
      </x:c>
      <x:c r="P137" s="71" t="str">
        <x:v>HTML表格1／列3</x:v>
      </x:c>
      <x:c r="Q137" s="71" t="str">
        <x:v>1 | 9K3300G-160 | 白框 | 一字三門5mm透明強化玻璃橫拉門-W160*H185CM以內 | 18 | $ 7,900 | $ 142,200 | 附門檻請泥作預埋/含拉門安裝</x:v>
      </x:c>
      <x:c r="R137" s="71" t="str">
        <x:v>各廠商合約&amp; 報價\MD檔案\20240515 Derek 白框淋浴拉門.md</x:v>
      </x:c>
    </x:row>
    <x:row r="138">
      <x:c r="A138" s="69" t="str">
        <x:v>ITEM00134</x:v>
      </x:c>
      <x:c r="B138" s="69" t="str">
        <x:v>SRC010</x:v>
      </x:c>
      <x:c r="C138" s="69" t="str">
        <x:v>2023-2024</x:v>
      </x:c>
      <x:c r="D138" s="69" t="str">
        <x:v>line_item</x:v>
      </x:c>
      <x:c r="E138" s="69" t="str">
        <x:v>MD2023_2024_009-T01R004</x:v>
      </x:c>
      <x:c r="F138" s="71" t="str">
        <x:v>自由夾具一字型8mm強化玻璃-W160*H190CM</x:v>
      </x:c>
      <x:c r="G138" s="71" t="str">
        <x:v>9KH8100-160</x:v>
      </x:c>
      <x:c r="H138" s="71" t="str">
        <x:v>文件未載明</x:v>
      </x:c>
      <x:c r="I138" s="72" t="n">
        <x:v>18</x:v>
      </x:c>
      <x:c r="J138" s="69" t="str">
        <x:v>18</x:v>
      </x:c>
      <x:c r="K138" s="70" t="n">
        <x:v>11000</x:v>
      </x:c>
      <x:c r="L138" s="69" t="str">
        <x:v>$ 11,000</x:v>
      </x:c>
      <x:c r="M138" s="70" t="n">
        <x:v>198000</x:v>
      </x:c>
      <x:c r="N138" s="69" t="str">
        <x:v>$ 198,000</x:v>
      </x:c>
      <x:c r="O138" s="71" t="str">
        <x:v>來源表頭對應</x:v>
      </x:c>
      <x:c r="P138" s="71" t="str">
        <x:v>HTML表格1／列4</x:v>
      </x:c>
      <x:c r="Q138" s="71" t="str">
        <x:v>2 | 9KH8100-160 | 無框 | 自由夾具一字型8mm強化玻璃-W160*H190CM | 18 | $ 11,000 | $ 198,000 | 附門檻請泥作預埋/含拉門安裝</x:v>
      </x:c>
      <x:c r="R138" s="71" t="str">
        <x:v>各廠商合約&amp; 報價\MD檔案\20240515 Derek 白框淋浴拉門.md</x:v>
      </x:c>
    </x:row>
    <x:row r="139">
      <x:c r="A139" s="69" t="str">
        <x:v>ITEM00135</x:v>
      </x:c>
      <x:c r="B139" s="69" t="str">
        <x:v>SRC010</x:v>
      </x:c>
      <x:c r="C139" s="69" t="str">
        <x:v>2023-2024</x:v>
      </x:c>
      <x:c r="D139" s="69" t="str">
        <x:v>note_or_description</x:v>
      </x:c>
      <x:c r="E139" s="69" t="str">
        <x:v>MD2023_2024_009-T01R005</x:v>
      </x:c>
      <x:c r="F139" s="71" t="str">
        <x:v>此圖僅供參考 9K3300G-160 白框一字三門 5mm強化玻璃-W160*H185CM內 此圖僅供參考 9KH8100-160 無框自由夾具一字形 8mm強化玻璃-W160*H190CM內</x:v>
      </x:c>
      <x:c r="G139" s="71" t="str">
        <x:v>此圖僅供參考 9K3300G-160 白框一字三門 5mm強化玻璃-W160*H185CM內 此圖僅供參考 9KH8100-160 無框自由夾具一字形 8mm強化玻璃-W160*H190CM內</x:v>
      </x:c>
      <x:c r="H139" s="71" t="str">
        <x:v>文件未載明</x:v>
      </x:c>
      <x:c r="I139" s="72"/>
      <x:c r="J139" s="69" t="str">
        <x:v>此圖僅供參考 9K3300G-160 白框一字三門 5mm強化玻璃-W160*H185CM內 此圖僅供參考 9KH8100-160 無框自由夾具一字形 8mm強化玻璃-W160*H190CM內</x:v>
      </x:c>
      <x:c r="K139" s="70"/>
      <x:c r="L139" s="69" t="str">
        <x:v>此圖僅供參考 9K3300G-160 白框一字三門 5mm強化玻璃-W160*H185CM內 此圖僅供參考 9KH8100-160 無框自由夾具一字形 8mm強化玻璃-W160*H190CM內</x:v>
      </x:c>
      <x:c r="M139" s="70"/>
      <x:c r="N139" s="69" t="str">
        <x:v>此圖僅供參考 9K3300G-160 白框一字三門 5mm強化玻璃-W160*H185CM內 此圖僅供參考 9KH8100-160 無框自由夾具一字形 8mm強化玻璃-W160*H190CM內</x:v>
      </x:c>
      <x:c r="O139" s="71" t="str">
        <x:v>來源表頭對應</x:v>
      </x:c>
      <x:c r="P139" s="71" t="str">
        <x:v>HTML表格1／列5</x:v>
      </x:c>
      <x:c r="Q139" s="71" t="str">
        <x:v>此圖僅供參考 9K3300G-160 白框一字三門 5mm強化玻璃-W160*H185CM內 此圖僅供參考 9KH8100-160 無框自由夾具一字形 8mm強化玻璃-W160*H190CM內 | 此圖僅供參考 9K3300G-160 白框一字三門 5mm強化玻璃-W160*H185CM內 此圖僅供參考 9KH8100-160 無框自由夾具一字形 8mm強化玻璃-W160*H190CM內 | 此圖僅供參考 9K3300G-160 白框一字三門 5mm強化玻璃-W160*H185CM內 此圖僅供參考 9KH8100-160 無框自由夾具一字形 8mm強化玻璃-W160*H190CM內 | 此圖僅…（詳原文索引）</x:v>
      </x:c>
      <x:c r="R139" s="71" t="str">
        <x:v>各廠商合約&amp; 報價\MD檔案\20240515 Derek 白框淋浴拉門.md</x:v>
      </x:c>
    </x:row>
    <x:row r="140">
      <x:c r="A140" s="69" t="str">
        <x:v>ITEM00136</x:v>
      </x:c>
      <x:c r="B140" s="69" t="str">
        <x:v>SRC010</x:v>
      </x:c>
      <x:c r="C140" s="69" t="str">
        <x:v>2023-2024</x:v>
      </x:c>
      <x:c r="D140" s="69" t="str">
        <x:v>note_or_description</x:v>
      </x:c>
      <x:c r="E140" s="69" t="str">
        <x:v>MD2023_2024_009-T01R006</x:v>
      </x:c>
      <x:c r="F140" s="71" t="str">
        <x:v>主管: 經辦: 蘇彥齊 0912-236-790</x:v>
      </x:c>
      <x:c r="G140" s="71" t="str">
        <x:v>主管: 經辦: 蘇彥齊 0912-236-790</x:v>
      </x:c>
      <x:c r="H140" s="71" t="str">
        <x:v>文件未載明</x:v>
      </x:c>
      <x:c r="I140" s="72"/>
      <x:c r="J140" s="69" t="str">
        <x:v>主管: 經辦: 蘇彥齊 0912-236-790</x:v>
      </x:c>
      <x:c r="K140" s="70"/>
      <x:c r="L140" s="69" t="str">
        <x:v>主管: 經辦: 蘇彥齊 0912-236-790</x:v>
      </x:c>
      <x:c r="M140" s="70"/>
      <x:c r="N140" s="69" t="str">
        <x:v>未稅總價:</x:v>
      </x:c>
      <x:c r="O140" s="71" t="str">
        <x:v>來源表頭對應</x:v>
      </x:c>
      <x:c r="P140" s="71" t="str">
        <x:v>HTML表格1／列6</x:v>
      </x:c>
      <x:c r="Q140" s="71" t="str">
        <x:v>主管: 經辦: 蘇彥齊 0912-236-790 | 主管: 經辦: 蘇彥齊 0912-236-790 | 主管: 經辦: 蘇彥齊 0912-236-790 | 主管: 經辦: 蘇彥齊 0912-236-790 | 主管: 經辦: 蘇彥齊 0912-236-790 | 主管: 經辦: 蘇彥齊 0912-236-790 | 未稅總價: | $340,200</x:v>
      </x:c>
      <x:c r="R140" s="71" t="str">
        <x:v>各廠商合約&amp; 報價\MD檔案\20240515 Derek 白框淋浴拉門.md</x:v>
      </x:c>
    </x:row>
    <x:row r="141">
      <x:c r="A141" s="69" t="str">
        <x:v>ITEM00137</x:v>
      </x:c>
      <x:c r="B141" s="69" t="str">
        <x:v>SRC010</x:v>
      </x:c>
      <x:c r="C141" s="69" t="str">
        <x:v>2023-2024</x:v>
      </x:c>
      <x:c r="D141" s="69" t="str">
        <x:v>total_or_tax</x:v>
      </x:c>
      <x:c r="E141" s="69" t="str">
        <x:v>MD2023_2024_009-T01R007</x:v>
      </x:c>
      <x:c r="F141" s="71" t="str">
        <x:v>主管: 經辦: 蘇彥齊 0912-236-790</x:v>
      </x:c>
      <x:c r="G141" s="71" t="str">
        <x:v>主管: 經辦: 蘇彥齊 0912-236-790</x:v>
      </x:c>
      <x:c r="H141" s="71" t="str">
        <x:v>文件未載明</x:v>
      </x:c>
      <x:c r="I141" s="72"/>
      <x:c r="J141" s="69" t="str">
        <x:v>主管: 經辦: 蘇彥齊 0912-236-790</x:v>
      </x:c>
      <x:c r="K141" s="70"/>
      <x:c r="L141" s="69" t="str">
        <x:v>主管: 經辦: 蘇彥齊 0912-236-790</x:v>
      </x:c>
      <x:c r="M141" s="70"/>
      <x:c r="N141" s="69" t="str">
        <x:v>5%營業稅:</x:v>
      </x:c>
      <x:c r="O141" s="71" t="str">
        <x:v>來源表頭對應</x:v>
      </x:c>
      <x:c r="P141" s="71" t="str">
        <x:v>HTML表格1／列7</x:v>
      </x:c>
      <x:c r="Q141" s="71" t="str">
        <x:v>主管: 經辦: 蘇彥齊 0912-236-790 | 主管: 經辦: 蘇彥齊 0912-236-790 | 主管: 經辦: 蘇彥齊 0912-236-790 | 主管: 經辦: 蘇彥齊 0912-236-790 | 主管: 經辦: 蘇彥齊 0912-236-790 | 主管: 經辦: 蘇彥齊 0912-236-790 | 5%營業稅: | $17,010</x:v>
      </x:c>
      <x:c r="R141" s="71" t="str">
        <x:v>各廠商合約&amp; 報價\MD檔案\20240515 Derek 白框淋浴拉門.md</x:v>
      </x:c>
    </x:row>
    <x:row r="142">
      <x:c r="A142" s="69" t="str">
        <x:v>ITEM00138</x:v>
      </x:c>
      <x:c r="B142" s="69" t="str">
        <x:v>SRC010</x:v>
      </x:c>
      <x:c r="C142" s="69" t="str">
        <x:v>2023-2024</x:v>
      </x:c>
      <x:c r="D142" s="69" t="str">
        <x:v>note_or_description</x:v>
      </x:c>
      <x:c r="E142" s="69" t="str">
        <x:v>MD2023_2024_009-T01R008</x:v>
      </x:c>
      <x:c r="F142" s="71" t="str">
        <x:v>主管: 經辦: 蘇彥齊 0912-236-790</x:v>
      </x:c>
      <x:c r="G142" s="71" t="str">
        <x:v>主管: 經辦: 蘇彥齊 0912-236-790</x:v>
      </x:c>
      <x:c r="H142" s="71" t="str">
        <x:v>文件未載明</x:v>
      </x:c>
      <x:c r="I142" s="72"/>
      <x:c r="J142" s="69" t="str">
        <x:v>主管: 經辦: 蘇彥齊 0912-236-790</x:v>
      </x:c>
      <x:c r="K142" s="70"/>
      <x:c r="L142" s="69" t="str">
        <x:v>主管: 經辦: 蘇彥齊 0912-236-790</x:v>
      </x:c>
      <x:c r="M142" s="70"/>
      <x:c r="N142" s="69" t="str">
        <x:v>含稅總價:</x:v>
      </x:c>
      <x:c r="O142" s="71" t="str">
        <x:v>來源表頭對應</x:v>
      </x:c>
      <x:c r="P142" s="71" t="str">
        <x:v>HTML表格1／列8</x:v>
      </x:c>
      <x:c r="Q142" s="71" t="str">
        <x:v>主管: 經辦: 蘇彥齊 0912-236-790 | 主管: 經辦: 蘇彥齊 0912-236-790 | 主管: 經辦: 蘇彥齊 0912-236-790 | 主管: 經辦: 蘇彥齊 0912-236-790 | 主管: 經辦: 蘇彥齊 0912-236-790 | 主管: 經辦: 蘇彥齊 0912-236-790 | 含稅總價: | $357,210</x:v>
      </x:c>
      <x:c r="R142" s="71" t="str">
        <x:v>各廠商合約&amp; 報價\MD檔案\20240515 Derek 白框淋浴拉門.md</x:v>
      </x:c>
    </x:row>
    <x:row r="143">
      <x:c r="A143" s="69" t="str">
        <x:v>ITEM00139</x:v>
      </x:c>
      <x:c r="B143" s="69" t="str">
        <x:v>SRC011</x:v>
      </x:c>
      <x:c r="C143" s="69" t="str">
        <x:v>2023-2024</x:v>
      </x:c>
      <x:c r="D143" s="69" t="str">
        <x:v>line_item</x:v>
      </x:c>
      <x:c r="E143" s="69" t="str">
        <x:v>MD2023_2024_010-T01R003</x:v>
      </x:c>
      <x:c r="F143" s="71" t="str">
        <x:v>一字型自由夾具8mm透明強化玻璃橫拉門-W160*H190CM以內</x:v>
      </x:c>
      <x:c r="G143" s="71" t="str">
        <x:v>9K8100G-160</x:v>
      </x:c>
      <x:c r="H143" s="71" t="str">
        <x:v>文件未載明</x:v>
      </x:c>
      <x:c r="I143" s="72" t="n">
        <x:v>18</x:v>
      </x:c>
      <x:c r="J143" s="69" t="str">
        <x:v>18</x:v>
      </x:c>
      <x:c r="K143" s="70" t="n">
        <x:v>14000</x:v>
      </x:c>
      <x:c r="L143" s="69" t="str">
        <x:v>$ 14,000</x:v>
      </x:c>
      <x:c r="M143" s="70" t="n">
        <x:v>252000</x:v>
      </x:c>
      <x:c r="N143" s="69" t="str">
        <x:v>$ 252,000</x:v>
      </x:c>
      <x:c r="O143" s="71" t="str">
        <x:v>來源表頭對應</x:v>
      </x:c>
      <x:c r="P143" s="71" t="str">
        <x:v>HTML表格1／列3</x:v>
      </x:c>
      <x:c r="Q143" s="71" t="str">
        <x:v>1 | 9K8100G-160 | 黑框 | 一字型自由夾具8mm透明強化玻璃橫拉門-W160*H190CM以內 | 18 | $ 14,000 | $ 252,000 | 附門檻請泥作預埋/含拉門安裝</x:v>
      </x:c>
      <x:c r="R143" s="71" t="str">
        <x:v>各廠商合約&amp; 報價\MD檔案\20240515 Derek黑框淋浴拉門.md</x:v>
      </x:c>
    </x:row>
    <x:row r="144">
      <x:c r="A144" s="69" t="str">
        <x:v>ITEM00140</x:v>
      </x:c>
      <x:c r="B144" s="69" t="str">
        <x:v>SRC011</x:v>
      </x:c>
      <x:c r="C144" s="69" t="str">
        <x:v>2023-2024</x:v>
      </x:c>
      <x:c r="D144" s="69" t="str">
        <x:v>note_or_description</x:v>
      </x:c>
      <x:c r="E144" s="69" t="str">
        <x:v>MD2023_2024_010-T01R004</x:v>
      </x:c>
      <x:c r="F144" s="71" t="str">
        <x:v>此圖僅供參考9KH8100-160黑框自由夾具一字形8mm強化玻璃-W160*H190CM內</x:v>
      </x:c>
      <x:c r="G144" s="71" t="str">
        <x:v>此圖僅供參考9KH8100-160黑框自由夾具一字形8mm強化玻璃-W160*H190CM內</x:v>
      </x:c>
      <x:c r="H144" s="71" t="str">
        <x:v>文件未載明</x:v>
      </x:c>
      <x:c r="I144" s="72"/>
      <x:c r="J144" s="69" t="str">
        <x:v>此圖僅供參考9KH8100-160黑框自由夾具一字形8mm強化玻璃-W160*H190CM內</x:v>
      </x:c>
      <x:c r="K144" s="70"/>
      <x:c r="L144" s="69" t="str">
        <x:v>此圖僅供參考9KH8100-160黑框自由夾具一字形8mm強化玻璃-W160*H190CM內</x:v>
      </x:c>
      <x:c r="M144" s="70"/>
      <x:c r="N144" s="69" t="str">
        <x:v>此圖僅供參考9KH8100-160黑框自由夾具一字形8mm強化玻璃-W160*H190CM內</x:v>
      </x:c>
      <x:c r="O144" s="71" t="str">
        <x:v>來源表頭對應</x:v>
      </x:c>
      <x:c r="P144" s="71" t="str">
        <x:v>HTML表格1／列4</x:v>
      </x:c>
      <x:c r="Q144" s="71" t="str">
        <x:v>此圖僅供參考9KH8100-160黑框自由夾具一字形8mm強化玻璃-W160*H190CM內 | 此圖僅供參考9KH8100-160黑框自由夾具一字形8mm強化玻璃-W160*H190CM內 | 此圖僅供參考9KH8100-160黑框自由夾具一字形8mm強化玻璃-W160*H190CM內 | 此圖僅供參考9KH8100-160黑框自由夾具一字形8mm強化玻璃-W160*H190CM內 | 此圖僅供參考9KH8100-160黑框自由夾具一字形8mm強化玻璃-W160*H190CM內 | 此圖僅供參考9KH8100-160黑框自由夾具一字形8mm強化玻璃-W160*H190CM內 | 此圖僅供參考…（詳原文索引）</x:v>
      </x:c>
      <x:c r="R144" s="71" t="str">
        <x:v>各廠商合約&amp; 報價\MD檔案\20240515 Derek黑框淋浴拉門.md</x:v>
      </x:c>
    </x:row>
    <x:row r="145">
      <x:c r="A145" s="69" t="str">
        <x:v>ITEM00141</x:v>
      </x:c>
      <x:c r="B145" s="69" t="str">
        <x:v>SRC011</x:v>
      </x:c>
      <x:c r="C145" s="69" t="str">
        <x:v>2023-2024</x:v>
      </x:c>
      <x:c r="D145" s="69" t="str">
        <x:v>note_or_description</x:v>
      </x:c>
      <x:c r="E145" s="69" t="str">
        <x:v>MD2023_2024_010-T01R005</x:v>
      </x:c>
      <x:c r="F145" s="71" t="str">
        <x:v>主管: 經辦: 蘇彥齊 0912-236-790</x:v>
      </x:c>
      <x:c r="G145" s="71" t="str">
        <x:v>主管: 經辦: 蘇彥齊 0912-236-790</x:v>
      </x:c>
      <x:c r="H145" s="71" t="str">
        <x:v>文件未載明</x:v>
      </x:c>
      <x:c r="I145" s="72"/>
      <x:c r="J145" s="69" t="str">
        <x:v>主管: 經辦: 蘇彥齊 0912-236-790</x:v>
      </x:c>
      <x:c r="K145" s="70"/>
      <x:c r="L145" s="69" t="str">
        <x:v>主管: 經辦: 蘇彥齊 0912-236-790</x:v>
      </x:c>
      <x:c r="M145" s="70"/>
      <x:c r="N145" s="69" t="str">
        <x:v>未稅總價:</x:v>
      </x:c>
      <x:c r="O145" s="71" t="str">
        <x:v>來源表頭對應</x:v>
      </x:c>
      <x:c r="P145" s="71" t="str">
        <x:v>HTML表格1／列5</x:v>
      </x:c>
      <x:c r="Q145" s="71" t="str">
        <x:v>主管: 經辦: 蘇彥齊 0912-236-790 | 主管: 經辦: 蘇彥齊 0912-236-790 | 主管: 經辦: 蘇彥齊 0912-236-790 | 主管: 經辦: 蘇彥齊 0912-236-790 | 主管: 經辦: 蘇彥齊 0912-236-790 | 主管: 經辦: 蘇彥齊 0912-236-790 | 未稅總價: | $252,000</x:v>
      </x:c>
      <x:c r="R145" s="71" t="str">
        <x:v>各廠商合約&amp; 報價\MD檔案\20240515 Derek黑框淋浴拉門.md</x:v>
      </x:c>
    </x:row>
    <x:row r="146">
      <x:c r="A146" s="69" t="str">
        <x:v>ITEM00142</x:v>
      </x:c>
      <x:c r="B146" s="69" t="str">
        <x:v>SRC011</x:v>
      </x:c>
      <x:c r="C146" s="69" t="str">
        <x:v>2023-2024</x:v>
      </x:c>
      <x:c r="D146" s="69" t="str">
        <x:v>total_or_tax</x:v>
      </x:c>
      <x:c r="E146" s="69" t="str">
        <x:v>MD2023_2024_010-T01R006</x:v>
      </x:c>
      <x:c r="F146" s="71" t="str">
        <x:v>主管: 經辦: 蘇彥齊 0912-236-790</x:v>
      </x:c>
      <x:c r="G146" s="71" t="str">
        <x:v>主管: 經辦: 蘇彥齊 0912-236-790</x:v>
      </x:c>
      <x:c r="H146" s="71" t="str">
        <x:v>文件未載明</x:v>
      </x:c>
      <x:c r="I146" s="72"/>
      <x:c r="J146" s="69" t="str">
        <x:v>主管: 經辦: 蘇彥齊 0912-236-790</x:v>
      </x:c>
      <x:c r="K146" s="70"/>
      <x:c r="L146" s="69" t="str">
        <x:v>主管: 經辦: 蘇彥齊 0912-236-790</x:v>
      </x:c>
      <x:c r="M146" s="70"/>
      <x:c r="N146" s="69" t="str">
        <x:v>5%營業稅:</x:v>
      </x:c>
      <x:c r="O146" s="71" t="str">
        <x:v>來源表頭對應</x:v>
      </x:c>
      <x:c r="P146" s="71" t="str">
        <x:v>HTML表格1／列6</x:v>
      </x:c>
      <x:c r="Q146" s="71" t="str">
        <x:v>主管: 經辦: 蘇彥齊 0912-236-790 | 主管: 經辦: 蘇彥齊 0912-236-790 | 主管: 經辦: 蘇彥齊 0912-236-790 | 主管: 經辦: 蘇彥齊 0912-236-790 | 主管: 經辦: 蘇彥齊 0912-236-790 | 主管: 經辦: 蘇彥齊 0912-236-790 | 5%營業稅: | $12,600</x:v>
      </x:c>
      <x:c r="R146" s="71" t="str">
        <x:v>各廠商合約&amp; 報價\MD檔案\20240515 Derek黑框淋浴拉門.md</x:v>
      </x:c>
    </x:row>
    <x:row r="147">
      <x:c r="A147" s="69" t="str">
        <x:v>ITEM00143</x:v>
      </x:c>
      <x:c r="B147" s="69" t="str">
        <x:v>SRC011</x:v>
      </x:c>
      <x:c r="C147" s="69" t="str">
        <x:v>2023-2024</x:v>
      </x:c>
      <x:c r="D147" s="69" t="str">
        <x:v>note_or_description</x:v>
      </x:c>
      <x:c r="E147" s="69" t="str">
        <x:v>MD2023_2024_010-T01R007</x:v>
      </x:c>
      <x:c r="F147" s="71" t="str">
        <x:v>主管: 經辦: 蘇彥齊 0912-236-790</x:v>
      </x:c>
      <x:c r="G147" s="71" t="str">
        <x:v>主管: 經辦: 蘇彥齊 0912-236-790</x:v>
      </x:c>
      <x:c r="H147" s="71" t="str">
        <x:v>文件未載明</x:v>
      </x:c>
      <x:c r="I147" s="72"/>
      <x:c r="J147" s="69" t="str">
        <x:v>主管: 經辦: 蘇彥齊 0912-236-790</x:v>
      </x:c>
      <x:c r="K147" s="70"/>
      <x:c r="L147" s="69" t="str">
        <x:v>主管: 經辦: 蘇彥齊 0912-236-790</x:v>
      </x:c>
      <x:c r="M147" s="70"/>
      <x:c r="N147" s="69" t="str">
        <x:v>含稅總價:</x:v>
      </x:c>
      <x:c r="O147" s="71" t="str">
        <x:v>來源表頭對應</x:v>
      </x:c>
      <x:c r="P147" s="71" t="str">
        <x:v>HTML表格1／列7</x:v>
      </x:c>
      <x:c r="Q147" s="71" t="str">
        <x:v>主管: 經辦: 蘇彥齊 0912-236-790 | 主管: 經辦: 蘇彥齊 0912-236-790 | 主管: 經辦: 蘇彥齊 0912-236-790 | 主管: 經辦: 蘇彥齊 0912-236-790 | 主管: 經辦: 蘇彥齊 0912-236-790 | 主管: 經辦: 蘇彥齊 0912-236-790 | 含稅總價: | $264,600</x:v>
      </x:c>
      <x:c r="R147" s="71" t="str">
        <x:v>各廠商合約&amp; 報價\MD檔案\20240515 Derek黑框淋浴拉門.md</x:v>
      </x:c>
    </x:row>
    <x:row r="148">
      <x:c r="A148" s="69" t="str">
        <x:v>ITEM00144</x:v>
      </x:c>
      <x:c r="B148" s="69" t="str">
        <x:v>SRC012</x:v>
      </x:c>
      <x:c r="C148" s="69" t="str">
        <x:v>2023-2024</x:v>
      </x:c>
      <x:c r="D148" s="69" t="str">
        <x:v>note_or_description</x:v>
      </x:c>
      <x:c r="E148" s="69" t="str">
        <x:v>MD2023_2024_011-T01R002</x:v>
      </x:c>
      <x:c r="F148" s="71" t="str">
        <x:v>文件未載明</x:v>
      </x:c>
      <x:c r="G148" s="71" t="str">
        <x:v>5*10*21</x:v>
      </x:c>
      <x:c r="H148" s="71" t="str"/>
      <x:c r="I148" s="72"/>
      <x:c r="J148" s="69" t="str">
        <x:v>文件未載明</x:v>
      </x:c>
      <x:c r="K148" s="70" t="n">
        <x:v>2.5</x:v>
      </x:c>
      <x:c r="L148" s="69" t="str">
        <x:v>2.5</x:v>
      </x:c>
      <x:c r="M148" s="70"/>
      <x:c r="N148" s="69" t="str">
        <x:v>文件未載明</x:v>
      </x:c>
      <x:c r="O148" s="71" t="str">
        <x:v>表頭未能對應品項欄，待確認</x:v>
      </x:c>
      <x:c r="P148" s="71" t="str">
        <x:v>HTML表格1／列2</x:v>
      </x:c>
      <x:c r="Q148" s="71" t="str">
        <x:v>紅磚 | 竹東磚 | 5*10*21 | | 塊 | 2.5 | 10000磚以上 拖車送到</x:v>
      </x:c>
      <x:c r="R148" s="71" t="str">
        <x:v>各廠商合約&amp; 報價\MD檔案\20240620 協力建材行.md</x:v>
      </x:c>
    </x:row>
    <x:row r="149">
      <x:c r="A149" s="69" t="str">
        <x:v>ITEM00145</x:v>
      </x:c>
      <x:c r="B149" s="69" t="str">
        <x:v>SRC012</x:v>
      </x:c>
      <x:c r="C149" s="69" t="str">
        <x:v>2023-2024</x:v>
      </x:c>
      <x:c r="D149" s="69" t="str">
        <x:v>note_or_description</x:v>
      </x:c>
      <x:c r="E149" s="69" t="str">
        <x:v>MD2023_2024_011-T01R003</x:v>
      </x:c>
      <x:c r="F149" s="71" t="str">
        <x:v>文件未載明</x:v>
      </x:c>
      <x:c r="G149" s="71" t="str">
        <x:v>5*10*21</x:v>
      </x:c>
      <x:c r="H149" s="71" t="str"/>
      <x:c r="I149" s="72"/>
      <x:c r="J149" s="69" t="str">
        <x:v>文件未載明</x:v>
      </x:c>
      <x:c r="K149" s="70" t="n">
        <x:v>3.3</x:v>
      </x:c>
      <x:c r="L149" s="69" t="str">
        <x:v>3.3</x:v>
      </x:c>
      <x:c r="M149" s="70"/>
      <x:c r="N149" s="69" t="str">
        <x:v>文件未載明</x:v>
      </x:c>
      <x:c r="O149" s="71" t="str">
        <x:v>表頭未能對應品項欄，待確認</x:v>
      </x:c>
      <x:c r="P149" s="71" t="str">
        <x:v>HTML表格1／列3</x:v>
      </x:c>
      <x:c r="Q149" s="71" t="str">
        <x:v>紅磚 | 竹東磚 | 5*10*21 | | 塊 | 3.3 | 店出</x:v>
      </x:c>
      <x:c r="R149" s="71" t="str">
        <x:v>各廠商合約&amp; 報價\MD檔案\20240620 協力建材行.md</x:v>
      </x:c>
    </x:row>
    <x:row r="150">
      <x:c r="A150" s="69" t="str">
        <x:v>ITEM00146</x:v>
      </x:c>
      <x:c r="B150" s="69" t="str">
        <x:v>SRC012</x:v>
      </x:c>
      <x:c r="C150" s="69" t="str">
        <x:v>2023-2024</x:v>
      </x:c>
      <x:c r="D150" s="69" t="str">
        <x:v>note_or_description</x:v>
      </x:c>
      <x:c r="E150" s="69" t="str">
        <x:v>MD2023_2024_011-T01R004</x:v>
      </x:c>
      <x:c r="F150" s="71" t="str">
        <x:v>文件未載明</x:v>
      </x:c>
      <x:c r="G150" s="71" t="str"/>
      <x:c r="H150" s="71" t="str"/>
      <x:c r="I150" s="72"/>
      <x:c r="J150" s="69" t="str">
        <x:v>文件未載明</x:v>
      </x:c>
      <x:c r="K150" s="70" t="n">
        <x:v>1100</x:v>
      </x:c>
      <x:c r="L150" s="69" t="str">
        <x:v>1100</x:v>
      </x:c>
      <x:c r="M150" s="70"/>
      <x:c r="N150" s="69" t="str">
        <x:v>文件未載明</x:v>
      </x:c>
      <x:c r="O150" s="71" t="str">
        <x:v>表頭未能對應品項欄，待確認</x:v>
      </x:c>
      <x:c r="P150" s="71" t="str">
        <x:v>HTML表格1／列4</x:v>
      </x:c>
      <x:c r="Q150" s="71" t="str">
        <x:v>砂 | 粗砂 | | | 米 | 1100 | 地板料</x:v>
      </x:c>
      <x:c r="R150" s="71" t="str">
        <x:v>各廠商合約&amp; 報價\MD檔案\20240620 協力建材行.md</x:v>
      </x:c>
    </x:row>
    <x:row r="151">
      <x:c r="A151" s="69" t="str">
        <x:v>ITEM00147</x:v>
      </x:c>
      <x:c r="B151" s="69" t="str">
        <x:v>SRC012</x:v>
      </x:c>
      <x:c r="C151" s="69" t="str">
        <x:v>2023-2024</x:v>
      </x:c>
      <x:c r="D151" s="69" t="str">
        <x:v>note_or_description</x:v>
      </x:c>
      <x:c r="E151" s="69" t="str">
        <x:v>MD2023_2024_011-T01R005</x:v>
      </x:c>
      <x:c r="F151" s="71" t="str">
        <x:v>文件未載明</x:v>
      </x:c>
      <x:c r="G151" s="71" t="str"/>
      <x:c r="H151" s="71" t="str"/>
      <x:c r="I151" s="72"/>
      <x:c r="J151" s="69" t="str">
        <x:v>文件未載明</x:v>
      </x:c>
      <x:c r="K151" s="70" t="n">
        <x:v>1100</x:v>
      </x:c>
      <x:c r="L151" s="69" t="str">
        <x:v>1100</x:v>
      </x:c>
      <x:c r="M151" s="70"/>
      <x:c r="N151" s="69" t="str">
        <x:v>文件未載明</x:v>
      </x:c>
      <x:c r="O151" s="71" t="str">
        <x:v>表頭未能對應品項欄，待確認</x:v>
      </x:c>
      <x:c r="P151" s="71" t="str">
        <x:v>HTML表格1／列5</x:v>
      </x:c>
      <x:c r="Q151" s="71" t="str">
        <x:v>砂 | 細砂 | | | 米 | 1100 | 部分高屏砂</x:v>
      </x:c>
      <x:c r="R151" s="71" t="str">
        <x:v>各廠商合約&amp; 報價\MD檔案\20240620 協力建材行.md</x:v>
      </x:c>
    </x:row>
    <x:row r="152">
      <x:c r="A152" s="69" t="str">
        <x:v>ITEM00148</x:v>
      </x:c>
      <x:c r="B152" s="69" t="str">
        <x:v>SRC012</x:v>
      </x:c>
      <x:c r="C152" s="69" t="str">
        <x:v>2023-2024</x:v>
      </x:c>
      <x:c r="D152" s="69" t="str">
        <x:v>note_or_description</x:v>
      </x:c>
      <x:c r="E152" s="69" t="str">
        <x:v>MD2023_2024_011-T01R006</x:v>
      </x:c>
      <x:c r="F152" s="71" t="str">
        <x:v>文件未載明</x:v>
      </x:c>
      <x:c r="G152" s="71" t="str"/>
      <x:c r="H152" s="71" t="str"/>
      <x:c r="I152" s="72"/>
      <x:c r="J152" s="69" t="str">
        <x:v>文件未載明</x:v>
      </x:c>
      <x:c r="K152" s="70" t="n">
        <x:v>1200</x:v>
      </x:c>
      <x:c r="L152" s="69" t="str">
        <x:v>1200</x:v>
      </x:c>
      <x:c r="M152" s="70"/>
      <x:c r="N152" s="69" t="str">
        <x:v>文件未載明</x:v>
      </x:c>
      <x:c r="O152" s="71" t="str">
        <x:v>表頭未能對應品項欄，待確認</x:v>
      </x:c>
      <x:c r="P152" s="71" t="str">
        <x:v>HTML表格1／列6</x:v>
      </x:c>
      <x:c r="Q152" s="71" t="str">
        <x:v>砂 | A細砂 | | | 米 | 1200 | 較多高屏砂 近中砂顆粒</x:v>
      </x:c>
      <x:c r="R152" s="71" t="str">
        <x:v>各廠商合約&amp; 報價\MD檔案\20240620 協力建材行.md</x:v>
      </x:c>
    </x:row>
    <x:row r="153">
      <x:c r="A153" s="69" t="str">
        <x:v>ITEM00149</x:v>
      </x:c>
      <x:c r="B153" s="69" t="str">
        <x:v>SRC012</x:v>
      </x:c>
      <x:c r="C153" s="69" t="str">
        <x:v>2023-2024</x:v>
      </x:c>
      <x:c r="D153" s="69" t="str">
        <x:v>note_or_description</x:v>
      </x:c>
      <x:c r="E153" s="69" t="str">
        <x:v>MD2023_2024_011-T01R007</x:v>
      </x:c>
      <x:c r="F153" s="71" t="str">
        <x:v>文件未載明</x:v>
      </x:c>
      <x:c r="G153" s="71" t="str"/>
      <x:c r="H153" s="71" t="str"/>
      <x:c r="I153" s="72"/>
      <x:c r="J153" s="69" t="str">
        <x:v>文件未載明</x:v>
      </x:c>
      <x:c r="K153" s="70" t="n">
        <x:v>1300</x:v>
      </x:c>
      <x:c r="L153" s="69" t="str">
        <x:v>1300</x:v>
      </x:c>
      <x:c r="M153" s="70"/>
      <x:c r="N153" s="69" t="str">
        <x:v>文件未載明</x:v>
      </x:c>
      <x:c r="O153" s="71" t="str">
        <x:v>表頭未能對應品項欄，待確認</x:v>
      </x:c>
      <x:c r="P153" s="71" t="str">
        <x:v>HTML表格1／列7</x:v>
      </x:c>
      <x:c r="Q153" s="71" t="str">
        <x:v>砂 | 高屏砂 | | | 米 | 1300 | 低含泥量 有出廠證明</x:v>
      </x:c>
      <x:c r="R153" s="71" t="str">
        <x:v>各廠商合約&amp; 報價\MD檔案\20240620 協力建材行.md</x:v>
      </x:c>
    </x:row>
    <x:row r="154">
      <x:c r="A154" s="69" t="str">
        <x:v>ITEM00150</x:v>
      </x:c>
      <x:c r="B154" s="69" t="str">
        <x:v>SRC012</x:v>
      </x:c>
      <x:c r="C154" s="69" t="str">
        <x:v>2023-2024</x:v>
      </x:c>
      <x:c r="D154" s="69" t="str">
        <x:v>note_or_description</x:v>
      </x:c>
      <x:c r="E154" s="69" t="str">
        <x:v>MD2023_2024_011-T01R008</x:v>
      </x:c>
      <x:c r="F154" s="71" t="str">
        <x:v>文件未載明</x:v>
      </x:c>
      <x:c r="G154" s="71" t="str">
        <x:v>車子米數依車斗實際數量(非他其它家灌水)</x:v>
      </x:c>
      <x:c r="H154" s="71" t="str">
        <x:v>車子米數依車斗實際數量(非他其它家灌水)</x:v>
      </x:c>
      <x:c r="I154" s="72"/>
      <x:c r="J154" s="69" t="str">
        <x:v>文件未載明</x:v>
      </x:c>
      <x:c r="K154" s="70"/>
      <x:c r="L154" s="69" t="str">
        <x:v>車子米數依車斗實際數量(非他其它家灌水)</x:v>
      </x:c>
      <x:c r="M154" s="70"/>
      <x:c r="N154" s="69" t="str">
        <x:v>文件未載明</x:v>
      </x:c>
      <x:c r="O154" s="71" t="str">
        <x:v>表頭未能對應品項欄，待確認</x:v>
      </x:c>
      <x:c r="P154" s="71" t="str">
        <x:v>HTML表格1／列8</x:v>
      </x:c>
      <x:c r="Q154" s="71" t="str">
        <x:v>砂 | 車子米數依車斗實際數量(非他其它家灌水) | 車子米數依車斗實際數量(非他其它家灌水) | 車子米數依車斗實際數量(非他其它家灌水) | 車子米數依車斗實際數量(非他其它家灌水) | 車子米數依車斗實際數量(非他其它家灌水) | 車子米數依車斗實際數量(非他其它家灌水)</x:v>
      </x:c>
      <x:c r="R154" s="71" t="str">
        <x:v>各廠商合約&amp; 報價\MD檔案\20240620 協力建材行.md</x:v>
      </x:c>
    </x:row>
    <x:row r="155">
      <x:c r="A155" s="69" t="str">
        <x:v>ITEM00151</x:v>
      </x:c>
      <x:c r="B155" s="69" t="str">
        <x:v>SRC012</x:v>
      </x:c>
      <x:c r="C155" s="69" t="str">
        <x:v>2023-2024</x:v>
      </x:c>
      <x:c r="D155" s="69" t="str">
        <x:v>note_or_description</x:v>
      </x:c>
      <x:c r="E155" s="69" t="str">
        <x:v>MD2023_2024_011-T01R009</x:v>
      </x:c>
      <x:c r="F155" s="71" t="str">
        <x:v>文件未載明</x:v>
      </x:c>
      <x:c r="G155" s="71" t="str"/>
      <x:c r="H155" s="71" t="str">
        <x:v>40kg</x:v>
      </x:c>
      <x:c r="I155" s="72"/>
      <x:c r="J155" s="69" t="str">
        <x:v>文件未載明</x:v>
      </x:c>
      <x:c r="K155" s="70" t="n">
        <x:v>165</x:v>
      </x:c>
      <x:c r="L155" s="69" t="str">
        <x:v>165</x:v>
      </x:c>
      <x:c r="M155" s="70"/>
      <x:c r="N155" s="69" t="str">
        <x:v>文件未載明</x:v>
      </x:c>
      <x:c r="O155" s="71" t="str">
        <x:v>表頭未能對應品項欄，待確認</x:v>
      </x:c>
      <x:c r="P155" s="71" t="str">
        <x:v>HTML表格1／列9</x:v>
      </x:c>
      <x:c r="Q155" s="71" t="str">
        <x:v>水泥 | 台泥(品牌) | | 40kg | 包 | 165 | 目前價格</x:v>
      </x:c>
      <x:c r="R155" s="71" t="str">
        <x:v>各廠商合約&amp; 報價\MD檔案\20240620 協力建材行.md</x:v>
      </x:c>
    </x:row>
    <x:row r="156">
      <x:c r="A156" s="69" t="str">
        <x:v>ITEM00152</x:v>
      </x:c>
      <x:c r="B156" s="69" t="str">
        <x:v>SRC012</x:v>
      </x:c>
      <x:c r="C156" s="69" t="str">
        <x:v>2023-2024</x:v>
      </x:c>
      <x:c r="D156" s="69" t="str">
        <x:v>note_or_description</x:v>
      </x:c>
      <x:c r="E156" s="69" t="str">
        <x:v>MD2023_2024_011-T01R010</x:v>
      </x:c>
      <x:c r="F156" s="71" t="str">
        <x:v>文件未載明</x:v>
      </x:c>
      <x:c r="G156" s="71" t="str"/>
      <x:c r="H156" s="71" t="str">
        <x:v>40kg</x:v>
      </x:c>
      <x:c r="I156" s="72"/>
      <x:c r="J156" s="69" t="str">
        <x:v>文件未載明</x:v>
      </x:c>
      <x:c r="K156" s="70" t="n">
        <x:v>165</x:v>
      </x:c>
      <x:c r="L156" s="69" t="str">
        <x:v>165</x:v>
      </x:c>
      <x:c r="M156" s="70"/>
      <x:c r="N156" s="69" t="str">
        <x:v>文件未載明</x:v>
      </x:c>
      <x:c r="O156" s="71" t="str">
        <x:v>表頭未能對應品項欄，待確認</x:v>
      </x:c>
      <x:c r="P156" s="71" t="str">
        <x:v>HTML表格1／列10</x:v>
      </x:c>
      <x:c r="Q156" s="71" t="str">
        <x:v>水泥 | 亞泥(洋房) | | 40kg | 包 | 165 | 目前價格</x:v>
      </x:c>
      <x:c r="R156" s="71" t="str">
        <x:v>各廠商合約&amp; 報價\MD檔案\20240620 協力建材行.md</x:v>
      </x:c>
    </x:row>
    <x:row r="157">
      <x:c r="A157" s="69" t="str">
        <x:v>ITEM00153</x:v>
      </x:c>
      <x:c r="B157" s="69" t="str">
        <x:v>SRC012</x:v>
      </x:c>
      <x:c r="C157" s="69" t="str">
        <x:v>2023-2024</x:v>
      </x:c>
      <x:c r="D157" s="69" t="str">
        <x:v>note_or_description</x:v>
      </x:c>
      <x:c r="E157" s="69" t="str">
        <x:v>MD2023_2024_011-T01R011</x:v>
      </x:c>
      <x:c r="F157" s="71" t="str">
        <x:v>文件未載明</x:v>
      </x:c>
      <x:c r="G157" s="71" t="str">
        <x:v>此價格為黏著劑一起配合價</x:v>
      </x:c>
      <x:c r="H157" s="71" t="str">
        <x:v>此價格為黏著劑一起配合價</x:v>
      </x:c>
      <x:c r="I157" s="72"/>
      <x:c r="J157" s="69" t="str">
        <x:v>文件未載明</x:v>
      </x:c>
      <x:c r="K157" s="70"/>
      <x:c r="L157" s="69" t="str">
        <x:v>此價格為黏著劑一起配合價</x:v>
      </x:c>
      <x:c r="M157" s="70"/>
      <x:c r="N157" s="69" t="str">
        <x:v>文件未載明</x:v>
      </x:c>
      <x:c r="O157" s="71" t="str">
        <x:v>表頭未能對應品項欄，待確認</x:v>
      </x:c>
      <x:c r="P157" s="71" t="str">
        <x:v>HTML表格1／列11</x:v>
      </x:c>
      <x:c r="Q157" s="71" t="str">
        <x:v>| 此價格為黏著劑一起配合價 | 此價格為黏著劑一起配合價 | 此價格為黏著劑一起配合價 | 此價格為黏著劑一起配合價 | 此價格為黏著劑一起配合價 | 此價格為黏著劑一起配合價</x:v>
      </x:c>
      <x:c r="R157" s="71" t="str">
        <x:v>各廠商合約&amp; 報價\MD檔案\20240620 協力建材行.md</x:v>
      </x:c>
    </x:row>
    <x:row r="158">
      <x:c r="A158" s="69" t="str">
        <x:v>ITEM00154</x:v>
      </x:c>
      <x:c r="B158" s="69" t="str">
        <x:v>SRC012</x:v>
      </x:c>
      <x:c r="C158" s="69" t="str">
        <x:v>2023-2024</x:v>
      </x:c>
      <x:c r="D158" s="69" t="str">
        <x:v>note_or_description</x:v>
      </x:c>
      <x:c r="E158" s="69" t="str">
        <x:v>MD2023_2024_011-T01R012</x:v>
      </x:c>
      <x:c r="F158" s="71" t="str">
        <x:v>文件未載明</x:v>
      </x:c>
      <x:c r="G158" s="71" t="str">
        <x:v>黏著劑</x:v>
      </x:c>
      <x:c r="H158" s="71" t="str">
        <x:v>25kg</x:v>
      </x:c>
      <x:c r="I158" s="72"/>
      <x:c r="J158" s="69" t="str">
        <x:v>文件未載明</x:v>
      </x:c>
      <x:c r="K158" s="70" t="n">
        <x:v>155</x:v>
      </x:c>
      <x:c r="L158" s="69" t="str">
        <x:v>155</x:v>
      </x:c>
      <x:c r="M158" s="70"/>
      <x:c r="N158" s="69" t="str">
        <x:v>文件未載明</x:v>
      </x:c>
      <x:c r="O158" s="71" t="str">
        <x:v>表頭未能對應品項欄，待確認</x:v>
      </x:c>
      <x:c r="P158" s="71" t="str">
        <x:v>HTML表格1／列12</x:v>
      </x:c>
      <x:c r="Q158" s="71" t="str">
        <x:v>黏著劑 | 巴師父 | 黏著劑 | 25kg | 包 | 155 | 30*30以下適用同潤泰830等級</x:v>
      </x:c>
      <x:c r="R158" s="71" t="str">
        <x:v>各廠商合約&amp; 報價\MD檔案\20240620 協力建材行.md</x:v>
      </x:c>
    </x:row>
    <x:row r="159">
      <x:c r="A159" s="69" t="str">
        <x:v>ITEM00155</x:v>
      </x:c>
      <x:c r="B159" s="69" t="str">
        <x:v>SRC012</x:v>
      </x:c>
      <x:c r="C159" s="69" t="str">
        <x:v>2023-2024</x:v>
      </x:c>
      <x:c r="D159" s="69" t="str">
        <x:v>note_or_description</x:v>
      </x:c>
      <x:c r="E159" s="69" t="str">
        <x:v>MD2023_2024_011-T01R013</x:v>
      </x:c>
      <x:c r="F159" s="71" t="str">
        <x:v>文件未載明</x:v>
      </x:c>
      <x:c r="G159" s="71" t="str">
        <x:v>X1</x:v>
      </x:c>
      <x:c r="H159" s="71" t="str">
        <x:v>25kg</x:v>
      </x:c>
      <x:c r="I159" s="72"/>
      <x:c r="J159" s="69" t="str">
        <x:v>文件未載明</x:v>
      </x:c>
      <x:c r="K159" s="70" t="n">
        <x:v>220</x:v>
      </x:c>
      <x:c r="L159" s="69" t="str">
        <x:v>220</x:v>
      </x:c>
      <x:c r="M159" s="70"/>
      <x:c r="N159" s="69" t="str">
        <x:v>文件未載明</x:v>
      </x:c>
      <x:c r="O159" s="71" t="str">
        <x:v>表頭未能對應品項欄，待確認</x:v>
      </x:c>
      <x:c r="P159" s="71" t="str">
        <x:v>HTML表格1／列13</x:v>
      </x:c>
      <x:c r="Q159" s="71" t="str">
        <x:v>黏著劑 | 德國亞德士 | X1 | 25kg | 包 | 220 | 80*80以下是適用同南星與潤泰850等級通過CNS12311</x:v>
      </x:c>
      <x:c r="R159" s="71" t="str">
        <x:v>各廠商合約&amp; 報價\MD檔案\20240620 協力建材行.md</x:v>
      </x:c>
    </x:row>
    <x:row r="160">
      <x:c r="A160" s="69" t="str">
        <x:v>ITEM00156</x:v>
      </x:c>
      <x:c r="B160" s="69" t="str">
        <x:v>SRC012</x:v>
      </x:c>
      <x:c r="C160" s="69" t="str">
        <x:v>2023-2024</x:v>
      </x:c>
      <x:c r="D160" s="69" t="str">
        <x:v>note_or_description</x:v>
      </x:c>
      <x:c r="E160" s="69" t="str">
        <x:v>MD2023_2024_011-T01R014</x:v>
      </x:c>
      <x:c r="F160" s="71" t="str">
        <x:v>文件未載明</x:v>
      </x:c>
      <x:c r="G160" s="71" t="str"/>
      <x:c r="H160" s="71" t="str">
        <x:v>25kg</x:v>
      </x:c>
      <x:c r="I160" s="72"/>
      <x:c r="J160" s="69" t="str">
        <x:v>文件未載明</x:v>
      </x:c>
      <x:c r="K160" s="70" t="n">
        <x:v>270</x:v>
      </x:c>
      <x:c r="L160" s="69" t="str">
        <x:v>270</x:v>
      </x:c>
      <x:c r="M160" s="70"/>
      <x:c r="N160" s="69" t="str">
        <x:v>文件未載明</x:v>
      </x:c>
      <x:c r="O160" s="71" t="str">
        <x:v>表頭未能對應品項欄，待確認</x:v>
      </x:c>
      <x:c r="P160" s="71" t="str">
        <x:v>HTML表格1／列14</x:v>
      </x:c>
      <x:c r="Q160" s="71" t="str">
        <x:v>黏著劑 | 南星黏著劑 | | 25kg | 包 | 270 |</x:v>
      </x:c>
      <x:c r="R160" s="71" t="str">
        <x:v>各廠商合約&amp; 報價\MD檔案\20240620 協力建材行.md</x:v>
      </x:c>
    </x:row>
    <x:row r="161">
      <x:c r="A161" s="69" t="str">
        <x:v>ITEM00157</x:v>
      </x:c>
      <x:c r="B161" s="69" t="str">
        <x:v>SRC012</x:v>
      </x:c>
      <x:c r="C161" s="69" t="str">
        <x:v>2023-2024</x:v>
      </x:c>
      <x:c r="D161" s="69" t="str">
        <x:v>note_or_description</x:v>
      </x:c>
      <x:c r="E161" s="69" t="str">
        <x:v>MD2023_2024_011-T01R015</x:v>
      </x:c>
      <x:c r="F161" s="71" t="str">
        <x:v>文件未載明</x:v>
      </x:c>
      <x:c r="G161" s="71" t="str">
        <x:v>本色</x:v>
      </x:c>
      <x:c r="H161" s="71" t="str">
        <x:v>25kg</x:v>
      </x:c>
      <x:c r="I161" s="72"/>
      <x:c r="J161" s="69" t="str">
        <x:v>文件未載明</x:v>
      </x:c>
      <x:c r="K161" s="70" t="n">
        <x:v>140</x:v>
      </x:c>
      <x:c r="L161" s="69" t="str">
        <x:v>140</x:v>
      </x:c>
      <x:c r="M161" s="70"/>
      <x:c r="N161" s="69" t="str">
        <x:v>文件未載明</x:v>
      </x:c>
      <x:c r="O161" s="71" t="str">
        <x:v>表頭未能對應品項欄，待確認</x:v>
      </x:c>
      <x:c r="P161" s="71" t="str">
        <x:v>HTML表格1／列15</x:v>
      </x:c>
      <x:c r="Q161" s="71" t="str">
        <x:v>填縫劑 | 巴師父 | 本色 | 25kg | 包 | 140 | 其他顏色另議</x:v>
      </x:c>
      <x:c r="R161" s="71" t="str">
        <x:v>各廠商合約&amp; 報價\MD檔案\20240620 協力建材行.md</x:v>
      </x:c>
    </x:row>
    <x:row r="162">
      <x:c r="A162" s="69" t="str">
        <x:v>ITEM00158</x:v>
      </x:c>
      <x:c r="B162" s="69" t="str">
        <x:v>SRC012</x:v>
      </x:c>
      <x:c r="C162" s="69" t="str">
        <x:v>2023-2024</x:v>
      </x:c>
      <x:c r="D162" s="69" t="str">
        <x:v>note_or_description</x:v>
      </x:c>
      <x:c r="E162" s="69" t="str">
        <x:v>MD2023_2024_011-T01R016</x:v>
      </x:c>
      <x:c r="F162" s="71" t="str">
        <x:v>文件未載明</x:v>
      </x:c>
      <x:c r="G162" s="71" t="str">
        <x:v>本色細縫</x:v>
      </x:c>
      <x:c r="H162" s="71" t="str">
        <x:v>5kg</x:v>
      </x:c>
      <x:c r="I162" s="72"/>
      <x:c r="J162" s="69" t="str">
        <x:v>文件未載明</x:v>
      </x:c>
      <x:c r="K162" s="70" t="n">
        <x:v>250</x:v>
      </x:c>
      <x:c r="L162" s="69" t="str">
        <x:v>250</x:v>
      </x:c>
      <x:c r="M162" s="70"/>
      <x:c r="N162" s="69" t="str">
        <x:v>文件未載明</x:v>
      </x:c>
      <x:c r="O162" s="71" t="str">
        <x:v>表頭未能對應品項欄，待確認</x:v>
      </x:c>
      <x:c r="P162" s="71" t="str">
        <x:v>HTML表格1／列16</x:v>
      </x:c>
      <x:c r="Q162" s="71" t="str">
        <x:v>填縫劑 | 巴師父 | 本色細縫 | 5kg | 桶 | 250 | 其他顏色另議</x:v>
      </x:c>
      <x:c r="R162" s="71" t="str">
        <x:v>各廠商合約&amp; 報價\MD檔案\20240620 協力建材行.md</x:v>
      </x:c>
    </x:row>
    <x:row r="163">
      <x:c r="A163" s="69" t="str">
        <x:v>ITEM00159</x:v>
      </x:c>
      <x:c r="B163" s="69" t="str">
        <x:v>SRC012</x:v>
      </x:c>
      <x:c r="C163" s="69" t="str">
        <x:v>2023-2024</x:v>
      </x:c>
      <x:c r="D163" s="69" t="str">
        <x:v>note_or_description</x:v>
      </x:c>
      <x:c r="E163" s="69" t="str">
        <x:v>MD2023_2024_011-T01R017</x:v>
      </x:c>
      <x:c r="F163" s="71" t="str">
        <x:v>文件未載明</x:v>
      </x:c>
      <x:c r="G163" s="71" t="str">
        <x:v>細縫拋光</x:v>
      </x:c>
      <x:c r="H163" s="71" t="str">
        <x:v>5kg</x:v>
      </x:c>
      <x:c r="I163" s="72"/>
      <x:c r="J163" s="69" t="str">
        <x:v>文件未載明</x:v>
      </x:c>
      <x:c r="K163" s="70" t="n">
        <x:v>350</x:v>
      </x:c>
      <x:c r="L163" s="69" t="str">
        <x:v>350</x:v>
      </x:c>
      <x:c r="M163" s="70"/>
      <x:c r="N163" s="69" t="str">
        <x:v>文件未載明</x:v>
      </x:c>
      <x:c r="O163" s="71" t="str">
        <x:v>表頭未能對應品項欄，待確認</x:v>
      </x:c>
      <x:c r="P163" s="71" t="str">
        <x:v>HTML表格1／列17</x:v>
      </x:c>
      <x:c r="Q163" s="71" t="str">
        <x:v>填縫劑 | 德國亞德士 | 細縫拋光 | 5kg | 包 | 350 | 需提早訂貨 全顏色統一價</x:v>
      </x:c>
      <x:c r="R163" s="71" t="str">
        <x:v>各廠商合約&amp; 報價\MD檔案\20240620 協力建材行.md</x:v>
      </x:c>
    </x:row>
    <x:row r="164">
      <x:c r="A164" s="69" t="str">
        <x:v>ITEM00160</x:v>
      </x:c>
      <x:c r="B164" s="69" t="str">
        <x:v>SRC012</x:v>
      </x:c>
      <x:c r="C164" s="69" t="str">
        <x:v>2023-2024</x:v>
      </x:c>
      <x:c r="D164" s="69" t="str">
        <x:v>note_or_description</x:v>
      </x:c>
      <x:c r="E164" s="69" t="str">
        <x:v>MD2023_2024_011-T01R018</x:v>
      </x:c>
      <x:c r="F164" s="71" t="str">
        <x:v>文件未載明</x:v>
      </x:c>
      <x:c r="G164" s="71" t="str">
        <x:v>粉光材(細)330</x:v>
      </x:c>
      <x:c r="H164" s="71" t="str">
        <x:v>40kg</x:v>
      </x:c>
      <x:c r="I164" s="72"/>
      <x:c r="J164" s="69" t="str">
        <x:v>文件未載明</x:v>
      </x:c>
      <x:c r="K164" s="70" t="n">
        <x:v>150</x:v>
      </x:c>
      <x:c r="L164" s="69" t="str">
        <x:v>150</x:v>
      </x:c>
      <x:c r="M164" s="70"/>
      <x:c r="N164" s="69" t="str">
        <x:v>文件未載明</x:v>
      </x:c>
      <x:c r="O164" s="71" t="str">
        <x:v>表頭未能對應品項欄，待確認</x:v>
      </x:c>
      <x:c r="P164" s="71" t="str">
        <x:v>HTML表格1／列18</x:v>
      </x:c>
      <x:c r="Q164" s="71" t="str">
        <x:v>潤泰乾拌砂 | 粉光材(細)330 | 粉光材(細)330 | 40kg | 包 | 150 | 目前價格</x:v>
      </x:c>
      <x:c r="R164" s="71" t="str">
        <x:v>各廠商合約&amp; 報價\MD檔案\20240620 協力建材行.md</x:v>
      </x:c>
    </x:row>
    <x:row r="165">
      <x:c r="A165" s="69" t="str">
        <x:v>ITEM00161</x:v>
      </x:c>
      <x:c r="B165" s="69" t="str">
        <x:v>SRC012</x:v>
      </x:c>
      <x:c r="C165" s="69" t="str">
        <x:v>2023-2024</x:v>
      </x:c>
      <x:c r="D165" s="69" t="str">
        <x:v>note_or_description</x:v>
      </x:c>
      <x:c r="E165" s="69" t="str">
        <x:v>MD2023_2024_011-T01R019</x:v>
      </x:c>
      <x:c r="F165" s="71" t="str">
        <x:v>文件未載明</x:v>
      </x:c>
      <x:c r="G165" s="71" t="str">
        <x:v>地板材(粗)190</x:v>
      </x:c>
      <x:c r="H165" s="71" t="str">
        <x:v>40kg</x:v>
      </x:c>
      <x:c r="I165" s="72"/>
      <x:c r="J165" s="69" t="str">
        <x:v>文件未載明</x:v>
      </x:c>
      <x:c r="K165" s="70" t="n">
        <x:v>140</x:v>
      </x:c>
      <x:c r="L165" s="69" t="str">
        <x:v>140</x:v>
      </x:c>
      <x:c r="M165" s="70"/>
      <x:c r="N165" s="69" t="str">
        <x:v>文件未載明</x:v>
      </x:c>
      <x:c r="O165" s="71" t="str">
        <x:v>表頭未能對應品項欄，待確認</x:v>
      </x:c>
      <x:c r="P165" s="71" t="str">
        <x:v>HTML表格1／列19</x:v>
      </x:c>
      <x:c r="Q165" s="71" t="str">
        <x:v>潤泰乾拌砂 | 地板材(粗)190 | 地板材(粗)190 | 40kg | 包 | 140 | 目前價格</x:v>
      </x:c>
      <x:c r="R165" s="71" t="str">
        <x:v>各廠商合約&amp; 報價\MD檔案\20240620 協力建材行.md</x:v>
      </x:c>
    </x:row>
    <x:row r="166">
      <x:c r="A166" s="69" t="str">
        <x:v>ITEM00162</x:v>
      </x:c>
      <x:c r="B166" s="69" t="str">
        <x:v>SRC012</x:v>
      </x:c>
      <x:c r="C166" s="69" t="str">
        <x:v>2023-2024</x:v>
      </x:c>
      <x:c r="D166" s="69" t="str">
        <x:v>note_or_description</x:v>
      </x:c>
      <x:c r="E166" s="69" t="str">
        <x:v>MD2023_2024_011-T01R020</x:v>
      </x:c>
      <x:c r="F166" s="71" t="str">
        <x:v>文件未載明</x:v>
      </x:c>
      <x:c r="G166" s="71" t="str">
        <x:v>品牌/項目/內容</x:v>
      </x:c>
      <x:c r="H166" s="71" t="str">
        <x:v>包裝</x:v>
      </x:c>
      <x:c r="I166" s="72"/>
      <x:c r="J166" s="69" t="str">
        <x:v>文件未載明</x:v>
      </x:c>
      <x:c r="K166" s="70"/>
      <x:c r="L166" s="69" t="str">
        <x:v>單價</x:v>
      </x:c>
      <x:c r="M166" s="70"/>
      <x:c r="N166" s="69" t="str">
        <x:v>文件未載明</x:v>
      </x:c>
      <x:c r="O166" s="71" t="str">
        <x:v>表頭未能對應品項欄，待確認</x:v>
      </x:c>
      <x:c r="P166" s="71" t="str">
        <x:v>HTML表格1／列20</x:v>
      </x:c>
      <x:c r="Q166" s="71" t="str">
        <x:v>雜項 | 品牌/項目/內容 | 品牌/項目/內容 | 包裝 | 單位 | 單價 | 備註欄</x:v>
      </x:c>
      <x:c r="R166" s="71" t="str">
        <x:v>各廠商合約&amp; 報價\MD檔案\20240620 協力建材行.md</x:v>
      </x:c>
    </x:row>
    <x:row r="167">
      <x:c r="A167" s="69" t="str">
        <x:v>ITEM00163</x:v>
      </x:c>
      <x:c r="B167" s="69" t="str">
        <x:v>SRC012</x:v>
      </x:c>
      <x:c r="C167" s="69" t="str">
        <x:v>2023-2024</x:v>
      </x:c>
      <x:c r="D167" s="69" t="str">
        <x:v>note_or_description</x:v>
      </x:c>
      <x:c r="E167" s="69" t="str">
        <x:v>MD2023_2024_011-T01R021</x:v>
      </x:c>
      <x:c r="F167" s="71" t="str">
        <x:v>文件未載明</x:v>
      </x:c>
      <x:c r="G167" s="71" t="str">
        <x:v>SP-001</x:v>
      </x:c>
      <x:c r="H167" s="71" t="str">
        <x:v>5加侖</x:v>
      </x:c>
      <x:c r="I167" s="72"/>
      <x:c r="J167" s="69" t="str">
        <x:v>文件未載明</x:v>
      </x:c>
      <x:c r="K167" s="70" t="n">
        <x:v>1900</x:v>
      </x:c>
      <x:c r="L167" s="69" t="str">
        <x:v>1900</x:v>
      </x:c>
      <x:c r="M167" s="70"/>
      <x:c r="N167" s="69" t="str">
        <x:v>文件未載明</x:v>
      </x:c>
      <x:c r="O167" s="71" t="str">
        <x:v>表頭未能對應品項欄，待確認</x:v>
      </x:c>
      <x:c r="P167" s="71" t="str">
        <x:v>HTML表格1／列21</x:v>
      </x:c>
      <x:c r="Q167" s="71" t="str">
        <x:v>新舊水泥接著劑 | SP-001 | SP-001 | 5加侖 | 桶 | 1900 | 與SP360同工廠(員合工業)</x:v>
      </x:c>
      <x:c r="R167" s="71" t="str">
        <x:v>各廠商合約&amp; 報價\MD檔案\20240620 協力建材行.md</x:v>
      </x:c>
    </x:row>
    <x:row r="168">
      <x:c r="A168" s="69" t="str">
        <x:v>ITEM00164</x:v>
      </x:c>
      <x:c r="B168" s="69" t="str">
        <x:v>SRC012</x:v>
      </x:c>
      <x:c r="C168" s="69" t="str">
        <x:v>2023-2024</x:v>
      </x:c>
      <x:c r="D168" s="69" t="str">
        <x:v>note_or_description</x:v>
      </x:c>
      <x:c r="E168" s="69" t="str">
        <x:v>MD2023_2024_011-T01R022</x:v>
      </x:c>
      <x:c r="F168" s="71" t="str">
        <x:v>文件未載明</x:v>
      </x:c>
      <x:c r="G168" s="71" t="str">
        <x:v>六合化工(員和化工)</x:v>
      </x:c>
      <x:c r="H168" s="71" t="str">
        <x:v>5加侖</x:v>
      </x:c>
      <x:c r="I168" s="72"/>
      <x:c r="J168" s="69" t="str">
        <x:v>文件未載明</x:v>
      </x:c>
      <x:c r="K168" s="70" t="n">
        <x:v>400</x:v>
      </x:c>
      <x:c r="L168" s="69" t="str">
        <x:v>400</x:v>
      </x:c>
      <x:c r="M168" s="70"/>
      <x:c r="N168" s="69" t="str">
        <x:v>文件未載明</x:v>
      </x:c>
      <x:c r="O168" s="71" t="str">
        <x:v>表頭未能對應品項欄，待確認</x:v>
      </x:c>
      <x:c r="P168" s="71" t="str">
        <x:v>HTML表格1／列22</x:v>
      </x:c>
      <x:c r="Q168" s="71" t="str">
        <x:v>防水劑 | 六合化工(員和化工) | 六合化工(員和化工) | 5加侖 | 桶 | 400 |</x:v>
      </x:c>
      <x:c r="R168" s="71" t="str">
        <x:v>各廠商合約&amp; 報價\MD檔案\20240620 協力建材行.md</x:v>
      </x:c>
    </x:row>
    <x:row r="169">
      <x:c r="A169" s="69" t="str">
        <x:v>ITEM00165</x:v>
      </x:c>
      <x:c r="B169" s="69" t="str">
        <x:v>SRC012</x:v>
      </x:c>
      <x:c r="C169" s="69" t="str">
        <x:v>2023-2024</x:v>
      </x:c>
      <x:c r="D169" s="69" t="str">
        <x:v>note_or_description</x:v>
      </x:c>
      <x:c r="E169" s="69" t="str">
        <x:v>MD2023_2024_011-T01R023</x:v>
      </x:c>
      <x:c r="F169" s="71" t="str">
        <x:v>文件未載明</x:v>
      </x:c>
      <x:c r="G169" s="71" t="str">
        <x:v>亞德士</x:v>
      </x:c>
      <x:c r="H169" s="71" t="str">
        <x:v>1kg</x:v>
      </x:c>
      <x:c r="I169" s="72"/>
      <x:c r="J169" s="69" t="str">
        <x:v>文件未載明</x:v>
      </x:c>
      <x:c r="K169" s="70" t="n">
        <x:v>250</x:v>
      </x:c>
      <x:c r="L169" s="69" t="str">
        <x:v>250</x:v>
      </x:c>
      <x:c r="M169" s="70"/>
      <x:c r="N169" s="69" t="str">
        <x:v>文件未載明</x:v>
      </x:c>
      <x:c r="O169" s="71" t="str">
        <x:v>表頭未能對應品項欄，待確認</x:v>
      </x:c>
      <x:c r="P169" s="71" t="str">
        <x:v>HTML表格1／列23</x:v>
      </x:c>
      <x:c r="Q169" s="71" t="str">
        <x:v>防水粉 | 亞德士 | 亞德士 | 1kg | 包 | 250 | 符合標準CNS3763</x:v>
      </x:c>
      <x:c r="R169" s="71" t="str">
        <x:v>各廠商合約&amp; 報價\MD檔案\20240620 協力建材行.md</x:v>
      </x:c>
    </x:row>
    <x:row r="170">
      <x:c r="A170" s="69" t="str">
        <x:v>ITEM00166</x:v>
      </x:c>
      <x:c r="B170" s="69" t="str">
        <x:v>SRC012</x:v>
      </x:c>
      <x:c r="C170" s="69" t="str">
        <x:v>2023-2024</x:v>
      </x:c>
      <x:c r="D170" s="69" t="str">
        <x:v>note_or_description</x:v>
      </x:c>
      <x:c r="E170" s="69" t="str">
        <x:v>MD2023_2024_011-T01R024</x:v>
      </x:c>
      <x:c r="F170" s="71" t="str">
        <x:v>文件未載明</x:v>
      </x:c>
      <x:c r="G170" s="71" t="str">
        <x:v>白色不透明PP</x:v>
      </x:c>
      <x:c r="H170" s="71" t="str">
        <x:v>3*6呎</x:v>
      </x:c>
      <x:c r="I170" s="72"/>
      <x:c r="J170" s="69" t="str">
        <x:v>文件未載明</x:v>
      </x:c>
      <x:c r="K170" s="70" t="n">
        <x:v>17</x:v>
      </x:c>
      <x:c r="L170" s="69" t="str">
        <x:v>17</x:v>
      </x:c>
      <x:c r="M170" s="70"/>
      <x:c r="N170" s="69" t="str">
        <x:v>文件未載明</x:v>
      </x:c>
      <x:c r="O170" s="71" t="str">
        <x:v>表頭未能對應品項欄，待確認</x:v>
      </x:c>
      <x:c r="P170" s="71" t="str">
        <x:v>HTML表格1／列24</x:v>
      </x:c>
      <x:c r="Q170" s="71" t="str">
        <x:v>磁磚保護板 | 白色不透明PP | 白色不透明PP | 3*6呎 | 片 | 17 |</x:v>
      </x:c>
      <x:c r="R170" s="71" t="str">
        <x:v>各廠商合約&amp; 報價\MD檔案\20240620 協力建材行.md</x:v>
      </x:c>
    </x:row>
    <x:row r="171">
      <x:c r="A171" s="69" t="str">
        <x:v>ITEM00167</x:v>
      </x:c>
      <x:c r="B171" s="69" t="str">
        <x:v>SRC012</x:v>
      </x:c>
      <x:c r="C171" s="69" t="str">
        <x:v>2023-2024</x:v>
      </x:c>
      <x:c r="D171" s="69" t="str">
        <x:v>note_or_description</x:v>
      </x:c>
      <x:c r="E171" s="69" t="str">
        <x:v>MD2023_2024_011-T01R025</x:v>
      </x:c>
      <x:c r="F171" s="71" t="str">
        <x:v>文件未載明</x:v>
      </x:c>
      <x:c r="G171" s="71" t="str">
        <x:v>布紋膠帶</x:v>
      </x:c>
      <x:c r="H171" s="71" t="str">
        <x:v>寬5cm</x:v>
      </x:c>
      <x:c r="I171" s="72"/>
      <x:c r="J171" s="69" t="str">
        <x:v>文件未載明</x:v>
      </x:c>
      <x:c r="K171" s="70" t="n">
        <x:v>45</x:v>
      </x:c>
      <x:c r="L171" s="69" t="str">
        <x:v>45</x:v>
      </x:c>
      <x:c r="M171" s="70"/>
      <x:c r="N171" s="69" t="str">
        <x:v>文件未載明</x:v>
      </x:c>
      <x:c r="O171" s="71" t="str">
        <x:v>表頭未能對應品項欄，待確認</x:v>
      </x:c>
      <x:c r="P171" s="71" t="str">
        <x:v>HTML表格1／列25</x:v>
      </x:c>
      <x:c r="Q171" s="71" t="str">
        <x:v>膠帶 | 布紋膠帶 | 布紋膠帶 | 寬5cm | 捲 | 45 | 90呎每條6個</x:v>
      </x:c>
      <x:c r="R171" s="71" t="str">
        <x:v>各廠商合約&amp; 報價\MD檔案\20240620 協力建材行.md</x:v>
      </x:c>
    </x:row>
    <x:row r="172">
      <x:c r="A172" s="69" t="str">
        <x:v>ITEM00168</x:v>
      </x:c>
      <x:c r="B172" s="69" t="str">
        <x:v>SRC012</x:v>
      </x:c>
      <x:c r="C172" s="69" t="str">
        <x:v>2023-2024</x:v>
      </x:c>
      <x:c r="D172" s="69" t="str">
        <x:v>note_or_description</x:v>
      </x:c>
      <x:c r="E172" s="69" t="str">
        <x:v>MD2023_2024_011-T01R026</x:v>
      </x:c>
      <x:c r="F172" s="71" t="str">
        <x:v>文件未載明</x:v>
      </x:c>
      <x:c r="G172" s="71" t="str">
        <x:v>6000磅</x:v>
      </x:c>
      <x:c r="H172" s="71" t="str">
        <x:v>25kg</x:v>
      </x:c>
      <x:c r="I172" s="72"/>
      <x:c r="J172" s="69" t="str">
        <x:v>文件未載明</x:v>
      </x:c>
      <x:c r="K172" s="70" t="n">
        <x:v>320</x:v>
      </x:c>
      <x:c r="L172" s="69" t="str">
        <x:v>320</x:v>
      </x:c>
      <x:c r="M172" s="70"/>
      <x:c r="N172" s="69" t="str">
        <x:v>文件未載明</x:v>
      </x:c>
      <x:c r="O172" s="71" t="str">
        <x:v>表頭未能對應品項欄，待確認</x:v>
      </x:c>
      <x:c r="P172" s="71" t="str">
        <x:v>HTML表格1／列26</x:v>
      </x:c>
      <x:c r="Q172" s="71" t="str">
        <x:v>無收縮水泥漿 | 6000磅 | 6000磅 | 25kg | 包 | 320 |</x:v>
      </x:c>
      <x:c r="R172" s="71" t="str">
        <x:v>各廠商合約&amp; 報價\MD檔案\20240620 協力建材行.md</x:v>
      </x:c>
    </x:row>
    <x:row r="173">
      <x:c r="A173" s="69" t="str">
        <x:v>ITEM00169</x:v>
      </x:c>
      <x:c r="B173" s="69" t="str">
        <x:v>SRC012</x:v>
      </x:c>
      <x:c r="C173" s="69" t="str">
        <x:v>2023-2024</x:v>
      </x:c>
      <x:c r="D173" s="69" t="str">
        <x:v>note_or_description</x:v>
      </x:c>
      <x:c r="E173" s="69" t="str">
        <x:v>MD2023_2024_011-T01R027</x:v>
      </x:c>
      <x:c r="F173" s="71" t="str">
        <x:v>文件未載明</x:v>
      </x:c>
      <x:c r="G173" s="71" t="str">
        <x:v>#10000</x:v>
      </x:c>
      <x:c r="H173" s="71" t="str">
        <x:v>25kg</x:v>
      </x:c>
      <x:c r="I173" s="72"/>
      <x:c r="J173" s="69" t="str">
        <x:v>文件未載明</x:v>
      </x:c>
      <x:c r="K173" s="70" t="n">
        <x:v>8600</x:v>
      </x:c>
      <x:c r="L173" s="69" t="str">
        <x:v>8600</x:v>
      </x:c>
      <x:c r="M173" s="70"/>
      <x:c r="N173" s="69" t="str">
        <x:v>文件未載明</x:v>
      </x:c>
      <x:c r="O173" s="71" t="str">
        <x:v>表頭未能對應品項欄，待確認</x:v>
      </x:c>
      <x:c r="P173" s="71" t="str">
        <x:v>HTML表格1／列27</x:v>
      </x:c>
      <x:c r="Q173" s="71" t="str">
        <x:v>海菜粉 | #10000 | #10000 | 25kg | 包 | 8600 | 南星</x:v>
      </x:c>
      <x:c r="R173" s="71" t="str">
        <x:v>各廠商合約&amp; 報價\MD檔案\20240620 協力建材行.md</x:v>
      </x:c>
    </x:row>
    <x:row r="174">
      <x:c r="A174" s="69" t="str">
        <x:v>ITEM00170</x:v>
      </x:c>
      <x:c r="B174" s="69" t="str">
        <x:v>SRC012</x:v>
      </x:c>
      <x:c r="C174" s="69" t="str">
        <x:v>2023-2024</x:v>
      </x:c>
      <x:c r="D174" s="69" t="str">
        <x:v>note_or_description</x:v>
      </x:c>
      <x:c r="E174" s="69" t="str">
        <x:v>MD2023_2024_011-T01R028</x:v>
      </x:c>
      <x:c r="F174" s="71" t="str">
        <x:v>文件未載明</x:v>
      </x:c>
      <x:c r="G174" s="71" t="str">
        <x:v>5*10</x:v>
      </x:c>
      <x:c r="H174" s="71" t="str">
        <x:v>5*10</x:v>
      </x:c>
      <x:c r="I174" s="72"/>
      <x:c r="J174" s="69" t="str">
        <x:v>文件未載明</x:v>
      </x:c>
      <x:c r="K174" s="70" t="n">
        <x:v>1.5</x:v>
      </x:c>
      <x:c r="L174" s="69" t="str">
        <x:v>1.5</x:v>
      </x:c>
      <x:c r="M174" s="70"/>
      <x:c r="N174" s="69" t="str">
        <x:v>文件未載明</x:v>
      </x:c>
      <x:c r="O174" s="71" t="str">
        <x:v>表頭未能對應品項欄，待確認</x:v>
      </x:c>
      <x:c r="P174" s="71" t="str">
        <x:v>HTML表格1／列28</x:v>
      </x:c>
      <x:c r="Q174" s="71" t="str">
        <x:v>楣樑 | 5*10 | 5*10 | 5*10 | 公分 | 1.5 | 內含#3鋼筋兩隻</x:v>
      </x:c>
      <x:c r="R174" s="71" t="str">
        <x:v>各廠商合約&amp; 報價\MD檔案\20240620 協力建材行.md</x:v>
      </x:c>
    </x:row>
    <x:row r="175">
      <x:c r="A175" s="69" t="str">
        <x:v>ITEM00171</x:v>
      </x:c>
      <x:c r="B175" s="69" t="str">
        <x:v>SRC012</x:v>
      </x:c>
      <x:c r="C175" s="69" t="str">
        <x:v>2023-2024</x:v>
      </x:c>
      <x:c r="D175" s="69" t="str">
        <x:v>note_or_description</x:v>
      </x:c>
      <x:c r="E175" s="69" t="str">
        <x:v>MD2023_2024_011-T01R029</x:v>
      </x:c>
      <x:c r="F175" s="71" t="str">
        <x:v>文件未載明</x:v>
      </x:c>
      <x:c r="G175" s="71" t="str">
        <x:v>高分子亮面人造石</x:v>
      </x:c>
      <x:c r="H175" s="71" t="str">
        <x:v>6*6*6</x:v>
      </x:c>
      <x:c r="I175" s="72"/>
      <x:c r="J175" s="69" t="str">
        <x:v>文件未載明</x:v>
      </x:c>
      <x:c r="K175" s="70" t="n">
        <x:v>3</x:v>
      </x:c>
      <x:c r="L175" s="69" t="str">
        <x:v>3</x:v>
      </x:c>
      <x:c r="M175" s="70"/>
      <x:c r="N175" s="69" t="str">
        <x:v>文件未載明</x:v>
      </x:c>
      <x:c r="O175" s="71" t="str">
        <x:v>表頭未能對應品項欄，待確認</x:v>
      </x:c>
      <x:c r="P175" s="71" t="str">
        <x:v>HTML表格1／列29</x:v>
      </x:c>
      <x:c r="Q175" s="71" t="str">
        <x:v>門檻 | 高分子亮面人造石 | 高分子亮面人造石 | 6*6*6 | 公分 | 3 | 若貴工地主管方便提供圖面敝司可協助計算及統計數量以利現場進貨時間與分料作業</x:v>
      </x:c>
      <x:c r="R175" s="71" t="str">
        <x:v>各廠商合約&amp; 報價\MD檔案\20240620 協力建材行.md</x:v>
      </x:c>
    </x:row>
    <x:row r="176">
      <x:c r="A176" s="69" t="str">
        <x:v>ITEM00172</x:v>
      </x:c>
      <x:c r="B176" s="69" t="str">
        <x:v>SRC012</x:v>
      </x:c>
      <x:c r="C176" s="69" t="str">
        <x:v>2023-2024</x:v>
      </x:c>
      <x:c r="D176" s="69" t="str">
        <x:v>note_or_description</x:v>
      </x:c>
      <x:c r="E176" s="69" t="str">
        <x:v>MD2023_2024_011-T01R030</x:v>
      </x:c>
      <x:c r="F176" s="71" t="str">
        <x:v>文件未載明</x:v>
      </x:c>
      <x:c r="G176" s="71" t="str">
        <x:v>高分子亮面人造石</x:v>
      </x:c>
      <x:c r="H176" s="71" t="str">
        <x:v>6*6*10</x:v>
      </x:c>
      <x:c r="I176" s="72"/>
      <x:c r="J176" s="69" t="str">
        <x:v>文件未載明</x:v>
      </x:c>
      <x:c r="K176" s="70" t="n">
        <x:v>4</x:v>
      </x:c>
      <x:c r="L176" s="69" t="str">
        <x:v>4</x:v>
      </x:c>
      <x:c r="M176" s="70"/>
      <x:c r="N176" s="69" t="str">
        <x:v>文件未載明</x:v>
      </x:c>
      <x:c r="O176" s="71" t="str">
        <x:v>表頭未能對應品項欄，待確認</x:v>
      </x:c>
      <x:c r="P176" s="71" t="str">
        <x:v>HTML表格1／列30</x:v>
      </x:c>
      <x:c r="Q176" s="71" t="str">
        <x:v>門檻 | 高分子亮面人造石 | 高分子亮面人造石 | 6*6*10 | 公分 | 4 | 若貴工地主管方便提供圖面敝司可協助計算及統計數量以利現場進貨時間與分料作業</x:v>
      </x:c>
      <x:c r="R176" s="71" t="str">
        <x:v>各廠商合約&amp; 報價\MD檔案\20240620 協力建材行.md</x:v>
      </x:c>
    </x:row>
    <x:row r="177">
      <x:c r="A177" s="69" t="str">
        <x:v>ITEM00173</x:v>
      </x:c>
      <x:c r="B177" s="69" t="str">
        <x:v>SRC012</x:v>
      </x:c>
      <x:c r="C177" s="69" t="str">
        <x:v>2023-2024</x:v>
      </x:c>
      <x:c r="D177" s="69" t="str">
        <x:v>note_or_description</x:v>
      </x:c>
      <x:c r="E177" s="69" t="str">
        <x:v>MD2023_2024_011-T01R031</x:v>
      </x:c>
      <x:c r="F177" s="71" t="str">
        <x:v>文件未載明</x:v>
      </x:c>
      <x:c r="G177" s="71" t="str">
        <x:v>高分子亮面人造石</x:v>
      </x:c>
      <x:c r="H177" s="71" t="str">
        <x:v>6*6*15</x:v>
      </x:c>
      <x:c r="I177" s="72"/>
      <x:c r="J177" s="69" t="str">
        <x:v>文件未載明</x:v>
      </x:c>
      <x:c r="K177" s="70" t="n">
        <x:v>5</x:v>
      </x:c>
      <x:c r="L177" s="69" t="str">
        <x:v>5</x:v>
      </x:c>
      <x:c r="M177" s="70"/>
      <x:c r="N177" s="69" t="str">
        <x:v>文件未載明</x:v>
      </x:c>
      <x:c r="O177" s="71" t="str">
        <x:v>表頭未能對應品項欄，待確認</x:v>
      </x:c>
      <x:c r="P177" s="71" t="str">
        <x:v>HTML表格1／列31</x:v>
      </x:c>
      <x:c r="Q177" s="71" t="str">
        <x:v>門檻 | 高分子亮面人造石 | 高分子亮面人造石 | 6*6*15 | 公分 | 5 | 若貴工地主管方便提供圖面敝司可協助計算及統計數量以利現場進貨時間與分料作業</x:v>
      </x:c>
      <x:c r="R177" s="71" t="str">
        <x:v>各廠商合約&amp; 報價\MD檔案\20240620 協力建材行.md</x:v>
      </x:c>
    </x:row>
    <x:row r="178">
      <x:c r="A178" s="69" t="str">
        <x:v>ITEM00174</x:v>
      </x:c>
      <x:c r="B178" s="69" t="str">
        <x:v>SRC012</x:v>
      </x:c>
      <x:c r="C178" s="69" t="str">
        <x:v>2023-2024</x:v>
      </x:c>
      <x:c r="D178" s="69" t="str">
        <x:v>note_or_description</x:v>
      </x:c>
      <x:c r="E178" s="69" t="str">
        <x:v>MD2023_2024_011-T01R032</x:v>
      </x:c>
      <x:c r="F178" s="71" t="str">
        <x:v>文件未載明</x:v>
      </x:c>
      <x:c r="G178" s="71" t="str">
        <x:v>磁磚清潔劑</x:v>
      </x:c>
      <x:c r="H178" s="71" t="str">
        <x:v>20L</x:v>
      </x:c>
      <x:c r="I178" s="72"/>
      <x:c r="J178" s="69" t="str">
        <x:v>文件未載明</x:v>
      </x:c>
      <x:c r="K178" s="70" t="n">
        <x:v>500</x:v>
      </x:c>
      <x:c r="L178" s="69" t="str">
        <x:v>500</x:v>
      </x:c>
      <x:c r="M178" s="70"/>
      <x:c r="N178" s="69" t="str">
        <x:v>文件未載明</x:v>
      </x:c>
      <x:c r="O178" s="71" t="str">
        <x:v>表頭未能對應品項欄，待確認</x:v>
      </x:c>
      <x:c r="P178" s="71" t="str">
        <x:v>HTML表格1／列32</x:v>
      </x:c>
      <x:c r="Q178" s="71" t="str">
        <x:v>清潔劑 | 磁磚清潔劑 | 磁磚清潔劑 | 20L | 桶 | 500 |</x:v>
      </x:c>
      <x:c r="R178" s="71" t="str">
        <x:v>各廠商合約&amp; 報價\MD檔案\20240620 協力建材行.md</x:v>
      </x:c>
    </x:row>
    <x:row r="179">
      <x:c r="A179" s="69" t="str">
        <x:v>ITEM00175</x:v>
      </x:c>
      <x:c r="B179" s="69" t="str">
        <x:v>SRC012</x:v>
      </x:c>
      <x:c r="C179" s="69" t="str">
        <x:v>2023-2024</x:v>
      </x:c>
      <x:c r="D179" s="69" t="str">
        <x:v>note_or_description</x:v>
      </x:c>
      <x:c r="E179" s="69" t="str">
        <x:v>MD2023_2024_011-T01R033</x:v>
      </x:c>
      <x:c r="F179" s="71" t="str">
        <x:v>文件未載明</x:v>
      </x:c>
      <x:c r="G179" s="71" t="str"/>
      <x:c r="H179" s="71" t="str">
        <x:v>厚度8mm</x:v>
      </x:c>
      <x:c r="I179" s="72"/>
      <x:c r="J179" s="69" t="str">
        <x:v>文件未載明</x:v>
      </x:c>
      <x:c r="K179" s="70"/>
      <x:c r="L179" s="69" t="str">
        <x:v>2500/坪</x:v>
      </x:c>
      <x:c r="M179" s="70"/>
      <x:c r="N179" s="69" t="str">
        <x:v>文件未載明</x:v>
      </x:c>
      <x:c r="O179" s="71" t="str">
        <x:v>表頭未能對應品項欄，待確認</x:v>
      </x:c>
      <x:c r="P179" s="71" t="str">
        <x:v>HTML表格1／列33</x:v>
      </x:c>
      <x:c r="Q179" s="71" t="str">
        <x:v>SPC卡扣地板 | SPC卡扣地板 | | 厚度8mm | 厚度8mm | 2500/坪 | 連工帶料 地坪需平整</x:v>
      </x:c>
      <x:c r="R179" s="71" t="str">
        <x:v>各廠商合約&amp; 報價\MD檔案\20240620 協力建材行.md</x:v>
      </x:c>
    </x:row>
    <x:row r="180">
      <x:c r="A180" s="69" t="str">
        <x:v>ITEM00176</x:v>
      </x:c>
      <x:c r="B180" s="69" t="str">
        <x:v>SRC013</x:v>
      </x:c>
      <x:c r="C180" s="69" t="str">
        <x:v>2023-2024</x:v>
      </x:c>
      <x:c r="D180" s="69" t="str">
        <x:v>line_item</x:v>
      </x:c>
      <x:c r="E180" s="69" t="str">
        <x:v>MD2023_2024_012-T01R003</x:v>
      </x:c>
      <x:c r="F180" s="71" t="str">
        <x:v>玻纖防火門(雅雕CT-03)</x:v>
      </x:c>
      <x:c r="G180" s="71" t="str">
        <x:v>玻纖防火門</x:v>
      </x:c>
      <x:c r="H180" s="71" t="str">
        <x:v>文件未載明</x:v>
      </x:c>
      <x:c r="I180" s="72" t="n">
        <x:v>11</x:v>
      </x:c>
      <x:c r="J180" s="69" t="str">
        <x:v>11</x:v>
      </x:c>
      <x:c r="K180" s="70" t="n">
        <x:v>66186</x:v>
      </x:c>
      <x:c r="L180" s="69" t="str">
        <x:v>66,186</x:v>
      </x:c>
      <x:c r="M180" s="70" t="n">
        <x:v>728050</x:v>
      </x:c>
      <x:c r="N180" s="69" t="str">
        <x:v>728,050</x:v>
      </x:c>
      <x:c r="O180" s="71" t="str">
        <x:v>來源表頭對應</x:v>
      </x:c>
      <x:c r="P180" s="71" t="str">
        <x:v>HTML表格1／列3</x:v>
      </x:c>
      <x:c r="Q180" s="71" t="str">
        <x:v>D3 | 玻纖防火門 | 玻纖防火門(雅雕CT-03) | | 110 | | 230 | | 11 | 66,186 | 728,050 | 3D重型鉸鍊CN-127、下降條DW-900、隱藏式門弓器POWRE 1505</x:v>
      </x:c>
      <x:c r="R180" s="71" t="str">
        <x:v>各廠商合約&amp; 報價\MD檔案\20240620 塑豐 玄關門、房間門、浴室門、消防門.md</x:v>
      </x:c>
    </x:row>
    <x:row r="181">
      <x:c r="A181" s="69" t="str">
        <x:v>ITEM00177</x:v>
      </x:c>
      <x:c r="B181" s="69" t="str">
        <x:v>SRC013</x:v>
      </x:c>
      <x:c r="C181" s="69" t="str">
        <x:v>2023-2024</x:v>
      </x:c>
      <x:c r="D181" s="69" t="str">
        <x:v>other_table_row</x:v>
      </x:c>
      <x:c r="E181" s="69" t="str">
        <x:v>MD2023_2024_012-T01R004</x:v>
      </x:c>
      <x:c r="F181" s="71" t="str">
        <x:v>文件未載明</x:v>
      </x:c>
      <x:c r="G181" s="71" t="str">
        <x:v>以下空白</x:v>
      </x:c>
      <x:c r="H181" s="71" t="str">
        <x:v>文件未載明</x:v>
      </x:c>
      <x:c r="I181" s="72"/>
      <x:c r="J181" s="69" t="str"/>
      <x:c r="K181" s="70"/>
      <x:c r="L181" s="69" t="str"/>
      <x:c r="M181" s="70"/>
      <x:c r="N181" s="69" t="str"/>
      <x:c r="O181" s="71" t="str">
        <x:v>來源表頭對應</x:v>
      </x:c>
      <x:c r="P181" s="71" t="str">
        <x:v>HTML表格1／列4</x:v>
      </x:c>
      <x:c r="Q181" s="71" t="str">
        <x:v>| 以下空白 | | | | | | | | | |</x:v>
      </x:c>
      <x:c r="R181" s="71" t="str">
        <x:v>各廠商合約&amp; 報價\MD檔案\20240620 塑豐 玄關門、房間門、浴室門、消防門.md</x:v>
      </x:c>
    </x:row>
    <x:row r="182">
      <x:c r="A182" s="69" t="str">
        <x:v>ITEM00178</x:v>
      </x:c>
      <x:c r="B182" s="69" t="str">
        <x:v>SRC013</x:v>
      </x:c>
      <x:c r="C182" s="69" t="str">
        <x:v>2023-2024</x:v>
      </x:c>
      <x:c r="D182" s="69" t="str">
        <x:v>total_or_tax</x:v>
      </x:c>
      <x:c r="E182" s="69" t="str">
        <x:v>MD2023_2024_012-T01R006</x:v>
      </x:c>
      <x:c r="F182" s="71" t="str">
        <x:v>小計</x:v>
      </x:c>
      <x:c r="G182" s="71" t="str">
        <x:v>小計</x:v>
      </x:c>
      <x:c r="H182" s="71" t="str">
        <x:v>文件未載明</x:v>
      </x:c>
      <x:c r="I182" s="72" t="n">
        <x:v>0</x:v>
      </x:c>
      <x:c r="J182" s="69" t="str">
        <x:v>0</x:v>
      </x:c>
      <x:c r="K182" s="70"/>
      <x:c r="L182" s="69" t="str"/>
      <x:c r="M182" s="70" t="n">
        <x:v>728050</x:v>
      </x:c>
      <x:c r="N182" s="69" t="str">
        <x:v>728,050</x:v>
      </x:c>
      <x:c r="O182" s="71" t="str">
        <x:v>來源表頭對應</x:v>
      </x:c>
      <x:c r="P182" s="71" t="str">
        <x:v>HTML表格1／列6</x:v>
      </x:c>
      <x:c r="Q182" s="71" t="str">
        <x:v>小計 | 小計 | 小計 | 小計 | 小計 | 小計 | 小計 | | 0 | | 728,050 |</x:v>
      </x:c>
      <x:c r="R182" s="71" t="str">
        <x:v>各廠商合約&amp; 報價\MD檔案\20240620 塑豐 玄關門、房間門、浴室門、消防門.md</x:v>
      </x:c>
    </x:row>
    <x:row r="183">
      <x:c r="A183" s="69" t="str">
        <x:v>ITEM00179</x:v>
      </x:c>
      <x:c r="B183" s="69" t="str">
        <x:v>SRC013</x:v>
      </x:c>
      <x:c r="C183" s="69" t="str">
        <x:v>2023-2024</x:v>
      </x:c>
      <x:c r="D183" s="69" t="str">
        <x:v>line_item</x:v>
      </x:c>
      <x:c r="E183" s="69" t="str">
        <x:v>MD2023_2024_012-T02R003</x:v>
      </x:c>
      <x:c r="F183" s="71" t="str">
        <x:v>文件未載明</x:v>
      </x:c>
      <x:c r="G183" s="71" t="str">
        <x:v>60A烤漆鋼板門(單扇)+遮煙</x:v>
      </x:c>
      <x:c r="H183" s="71" t="str">
        <x:v>文件未載明</x:v>
      </x:c>
      <x:c r="I183" s="72" t="n">
        <x:v>8</x:v>
      </x:c>
      <x:c r="J183" s="69" t="str">
        <x:v>8</x:v>
      </x:c>
      <x:c r="K183" s="70" t="n">
        <x:v>27250</x:v>
      </x:c>
      <x:c r="L183" s="69" t="str">
        <x:v>27,250</x:v>
      </x:c>
      <x:c r="M183" s="70" t="n">
        <x:v>218000</x:v>
      </x:c>
      <x:c r="N183" s="69" t="str">
        <x:v>218,000</x:v>
      </x:c>
      <x:c r="O183" s="71" t="str">
        <x:v>表頭未能對應品項欄，待確認</x:v>
      </x:c>
      <x:c r="P183" s="71" t="str">
        <x:v>HTML表格2／列3</x:v>
      </x:c>
      <x:c r="Q183" s="71" t="str">
        <x:v>D02 | 60A烤漆鋼板門(單扇)+遮煙 | 90 | | 210 | 粉體烤漆(基本色) | 8 | 27,250 | 218,000 | 平推鎖、天地鉸鏈、門弓器、下降條</x:v>
      </x:c>
      <x:c r="R183" s="71" t="str">
        <x:v>各廠商合約&amp; 報價\MD檔案\20240620 塑豐 玄關門、房間門、浴室門、消防門.md</x:v>
      </x:c>
    </x:row>
    <x:row r="184">
      <x:c r="A184" s="69" t="str">
        <x:v>ITEM00180</x:v>
      </x:c>
      <x:c r="B184" s="69" t="str">
        <x:v>SRC013</x:v>
      </x:c>
      <x:c r="C184" s="69" t="str">
        <x:v>2023-2024</x:v>
      </x:c>
      <x:c r="D184" s="69" t="str">
        <x:v>line_item</x:v>
      </x:c>
      <x:c r="E184" s="69" t="str">
        <x:v>MD2023_2024_012-T02R004</x:v>
      </x:c>
      <x:c r="F184" s="71" t="str">
        <x:v>文件未載明</x:v>
      </x:c>
      <x:c r="G184" s="71" t="str">
        <x:v>烤漆鋼板門(單扇)</x:v>
      </x:c>
      <x:c r="H184" s="71" t="str">
        <x:v>文件未載明</x:v>
      </x:c>
      <x:c r="I184" s="72" t="n">
        <x:v>1</x:v>
      </x:c>
      <x:c r="J184" s="69" t="str">
        <x:v>1</x:v>
      </x:c>
      <x:c r="K184" s="70" t="n">
        <x:v>23541</x:v>
      </x:c>
      <x:c r="L184" s="69" t="str">
        <x:v>23,541</x:v>
      </x:c>
      <x:c r="M184" s="70" t="n">
        <x:v>23541</x:v>
      </x:c>
      <x:c r="N184" s="69" t="str">
        <x:v>23,541</x:v>
      </x:c>
      <x:c r="O184" s="71" t="str">
        <x:v>表頭未能對應品項欄，待確認</x:v>
      </x:c>
      <x:c r="P184" s="71" t="str">
        <x:v>HTML表格2／列4</x:v>
      </x:c>
      <x:c r="Q184" s="71" t="str">
        <x:v>D07 | 烤漆鋼板門(單扇) | 120 | | 210 | 粉體烤漆(基本色) | 1 | 23,541 | 23,541 | 分離式水平鎖、天地鉸鏈、門弓器</x:v>
      </x:c>
      <x:c r="R184" s="71" t="str">
        <x:v>各廠商合約&amp; 報價\MD檔案\20240620 塑豐 玄關門、房間門、浴室門、消防門.md</x:v>
      </x:c>
    </x:row>
    <x:row r="185">
      <x:c r="A185" s="69" t="str">
        <x:v>ITEM00181</x:v>
      </x:c>
      <x:c r="B185" s="69" t="str">
        <x:v>SRC013</x:v>
      </x:c>
      <x:c r="C185" s="69" t="str">
        <x:v>2023-2024</x:v>
      </x:c>
      <x:c r="D185" s="69" t="str">
        <x:v>other_table_row</x:v>
      </x:c>
      <x:c r="E185" s="69" t="str">
        <x:v>MD2023_2024_012-T02R005</x:v>
      </x:c>
      <x:c r="F185" s="71" t="str">
        <x:v>文件未載明</x:v>
      </x:c>
      <x:c r="G185" s="71" t="str">
        <x:v>以下空白</x:v>
      </x:c>
      <x:c r="H185" s="71" t="str">
        <x:v>文件未載明</x:v>
      </x:c>
      <x:c r="I185" s="72"/>
      <x:c r="J185" s="69" t="str"/>
      <x:c r="K185" s="70"/>
      <x:c r="L185" s="69" t="str">
        <x:v>-</x:v>
      </x:c>
      <x:c r="M185" s="70"/>
      <x:c r="N185" s="69" t="str">
        <x:v>-</x:v>
      </x:c>
      <x:c r="O185" s="71" t="str">
        <x:v>表頭未能對應品項欄，待確認</x:v>
      </x:c>
      <x:c r="P185" s="71" t="str">
        <x:v>HTML表格2／列5</x:v>
      </x:c>
      <x:c r="Q185" s="71" t="str">
        <x:v>| 以下空白 | | | | | | - | - |</x:v>
      </x:c>
      <x:c r="R185" s="71" t="str">
        <x:v>各廠商合約&amp; 報價\MD檔案\20240620 塑豐 玄關門、房間門、浴室門、消防門.md</x:v>
      </x:c>
    </x:row>
    <x:row r="186">
      <x:c r="A186" s="69" t="str">
        <x:v>ITEM00182</x:v>
      </x:c>
      <x:c r="B186" s="69" t="str">
        <x:v>SRC013</x:v>
      </x:c>
      <x:c r="C186" s="69" t="str">
        <x:v>2023-2024</x:v>
      </x:c>
      <x:c r="D186" s="69" t="str">
        <x:v>total_or_tax</x:v>
      </x:c>
      <x:c r="E186" s="69" t="str">
        <x:v>MD2023_2024_012-T02R006</x:v>
      </x:c>
      <x:c r="F186" s="71" t="str">
        <x:v>文件未載明</x:v>
      </x:c>
      <x:c r="G186" s="71" t="str">
        <x:v>小計</x:v>
      </x:c>
      <x:c r="H186" s="71" t="str">
        <x:v>文件未載明</x:v>
      </x:c>
      <x:c r="I186" s="72" t="n">
        <x:v>9</x:v>
      </x:c>
      <x:c r="J186" s="69" t="str">
        <x:v>9</x:v>
      </x:c>
      <x:c r="K186" s="70"/>
      <x:c r="L186" s="69" t="str"/>
      <x:c r="M186" s="70" t="n">
        <x:v>241540</x:v>
      </x:c>
      <x:c r="N186" s="69" t="str">
        <x:v>241,540</x:v>
      </x:c>
      <x:c r="O186" s="71" t="str">
        <x:v>表頭未能對應品項欄，待確認</x:v>
      </x:c>
      <x:c r="P186" s="71" t="str">
        <x:v>HTML表格2／列6</x:v>
      </x:c>
      <x:c r="Q186" s="71" t="str">
        <x:v>小計 | 小計 | 小計 | 小計 | 小計 | | 9 | | 241,540 |</x:v>
      </x:c>
      <x:c r="R186" s="71" t="str">
        <x:v>各廠商合約&amp; 報價\MD檔案\20240620 塑豐 玄關門、房間門、浴室門、消防門.md</x:v>
      </x:c>
    </x:row>
    <x:row r="187">
      <x:c r="A187" s="69" t="str">
        <x:v>ITEM00183</x:v>
      </x:c>
      <x:c r="B187" s="69" t="str">
        <x:v>SRC013</x:v>
      </x:c>
      <x:c r="C187" s="69" t="str">
        <x:v>2023-2024</x:v>
      </x:c>
      <x:c r="D187" s="69" t="str">
        <x:v>line_item</x:v>
      </x:c>
      <x:c r="E187" s="69" t="str">
        <x:v>MD2023_2024_012-T03R004</x:v>
      </x:c>
      <x:c r="F187" s="71" t="str">
        <x:v>D5</x:v>
      </x:c>
      <x:c r="G187" s="71" t="str">
        <x:v>D7G00</x:v>
      </x:c>
      <x:c r="H187" s="71" t="str">
        <x:v>文件未載明</x:v>
      </x:c>
      <x:c r="I187" s="72" t="n">
        <x:v>28</x:v>
      </x:c>
      <x:c r="J187" s="69" t="str">
        <x:v>28</x:v>
      </x:c>
      <x:c r="K187" s="70"/>
      <x:c r="L187" s="69" t="str">
        <x:v>文件未載明</x:v>
      </x:c>
      <x:c r="M187" s="70" t="n">
        <x:v>310800</x:v>
      </x:c>
      <x:c r="N187" s="69" t="str">
        <x:v>310,800</x:v>
      </x:c>
      <x:c r="O187" s="71" t="str">
        <x:v>來源表頭對應</x:v>
      </x:c>
      <x:c r="P187" s="71" t="str">
        <x:v>HTML表格3／列4</x:v>
      </x:c>
      <x:c r="Q187" s="71" t="str">
        <x:v>D5 | D7G00 | 南亞房間門 | - | 90 | - | 210 | 木紋色#3DF | 28 | 11,100 | 310,800 | 87P</x:v>
      </x:c>
      <x:c r="R187" s="71" t="str">
        <x:v>各廠商合約&amp; 報價\MD檔案\20240620 塑豐 玄關門、房間門、浴室門、消防門.md</x:v>
      </x:c>
    </x:row>
    <x:row r="188">
      <x:c r="A188" s="69" t="str">
        <x:v>ITEM00184</x:v>
      </x:c>
      <x:c r="B188" s="69" t="str">
        <x:v>SRC013</x:v>
      </x:c>
      <x:c r="C188" s="69" t="str">
        <x:v>2023-2024</x:v>
      </x:c>
      <x:c r="D188" s="69" t="str">
        <x:v>line_item</x:v>
      </x:c>
      <x:c r="E188" s="69" t="str">
        <x:v>MD2023_2024_012-T03R005</x:v>
      </x:c>
      <x:c r="F188" s="71" t="str">
        <x:v>D6</x:v>
      </x:c>
      <x:c r="G188" s="71" t="str">
        <x:v>D5G00</x:v>
      </x:c>
      <x:c r="H188" s="71" t="str">
        <x:v>文件未載明</x:v>
      </x:c>
      <x:c r="I188" s="72" t="n">
        <x:v>22</x:v>
      </x:c>
      <x:c r="J188" s="69" t="str">
        <x:v>22</x:v>
      </x:c>
      <x:c r="K188" s="70"/>
      <x:c r="L188" s="69" t="str">
        <x:v>文件未載明</x:v>
      </x:c>
      <x:c r="M188" s="70" t="n">
        <x:v>195800</x:v>
      </x:c>
      <x:c r="N188" s="69" t="str">
        <x:v>195,800</x:v>
      </x:c>
      <x:c r="O188" s="71" t="str">
        <x:v>來源表頭對應</x:v>
      </x:c>
      <x:c r="P188" s="71" t="str">
        <x:v>HTML表格3／列5</x:v>
      </x:c>
      <x:c r="Q188" s="71" t="str">
        <x:v>D6 | D5G00 | 南亞浴廁門 | - | 75 | - | 210 | 牙白色#0A1 | 22 | 8,900 | 195,800 | 88P附百葉通風口</x:v>
      </x:c>
      <x:c r="R188" s="71" t="str">
        <x:v>各廠商合約&amp; 報價\MD檔案\20240620 塑豐 玄關門、房間門、浴室門、消防門.md</x:v>
      </x:c>
    </x:row>
    <x:row r="189">
      <x:c r="A189" s="69" t="str">
        <x:v>ITEM00185</x:v>
      </x:c>
      <x:c r="B189" s="69" t="str">
        <x:v>SRC013</x:v>
      </x:c>
      <x:c r="C189" s="69" t="str">
        <x:v>2023-2024</x:v>
      </x:c>
      <x:c r="D189" s="69" t="str">
        <x:v>total_or_tax</x:v>
      </x:c>
      <x:c r="E189" s="69" t="str">
        <x:v>MD2023_2024_012-T03R006</x:v>
      </x:c>
      <x:c r="F189" s="71" t="str">
        <x:v>小計</x:v>
      </x:c>
      <x:c r="G189" s="71" t="str">
        <x:v>小計</x:v>
      </x:c>
      <x:c r="H189" s="71" t="str">
        <x:v>文件未載明</x:v>
      </x:c>
      <x:c r="I189" s="72" t="n">
        <x:v>50</x:v>
      </x:c>
      <x:c r="J189" s="69" t="str">
        <x:v>50</x:v>
      </x:c>
      <x:c r="K189" s="70"/>
      <x:c r="L189" s="69" t="str">
        <x:v>文件未載明</x:v>
      </x:c>
      <x:c r="M189" s="70" t="n">
        <x:v>506600</x:v>
      </x:c>
      <x:c r="N189" s="69" t="str">
        <x:v>506,600</x:v>
      </x:c>
      <x:c r="O189" s="71" t="str">
        <x:v>來源表頭對應</x:v>
      </x:c>
      <x:c r="P189" s="71" t="str">
        <x:v>HTML表格3／列6</x:v>
      </x:c>
      <x:c r="Q189" s="71" t="str">
        <x:v>小計 | 小計 | 小計 | 小計 | 小計 | 小計 | 小計 | | 50 | | 506,600 |</x:v>
      </x:c>
      <x:c r="R189" s="71" t="str">
        <x:v>各廠商合約&amp; 報價\MD檔案\20240620 塑豐 玄關門、房間門、浴室門、消防門.md</x:v>
      </x:c>
    </x:row>
    <x:row r="190">
      <x:c r="A190" s="69" t="str">
        <x:v>ITEM00186</x:v>
      </x:c>
      <x:c r="B190" s="69" t="str">
        <x:v>SRC013</x:v>
      </x:c>
      <x:c r="C190" s="69" t="str">
        <x:v>2023-2024</x:v>
      </x:c>
      <x:c r="D190" s="69" t="str">
        <x:v>total_or_tax</x:v>
      </x:c>
      <x:c r="E190" s="69" t="str">
        <x:v>MD2023_2024_012-T03R007</x:v>
      </x:c>
      <x:c r="F190" s="71" t="str">
        <x:v>報價說明 稅金 25,330一.圖號D5採用後炭式門框(主框12cm),圖號D6採用南亞SMC慶祥門外框X69F7(16cm)系列產品,顏色詳色 總計 531,930</x:v>
      </x:c>
      <x:c r="G190" s="71" t="str">
        <x:v>報價說明 稅金 25,330一.圖號D5採用後炭式門框(主框12cm),圖號D6採用南亞SMC慶祥門外框X69F7(16cm)系列產品,顏色詳色 總計 531,930</x:v>
      </x:c>
      <x:c r="H190" s="71" t="str">
        <x:v>文件未載明</x:v>
      </x:c>
      <x:c r="I190" s="72"/>
      <x:c r="J190" s="69" t="str">
        <x:v>報價說明 稅金 25,330一.圖號D5採用後炭式門框(主框12cm),圖號D6採用南亞SMC慶祥門外框X69F7(16cm)系列產品,顏色詳色 總計 531,930</x:v>
      </x:c>
      <x:c r="K190" s="70"/>
      <x:c r="L190" s="69" t="str">
        <x:v>文件未載明</x:v>
      </x:c>
      <x:c r="M190" s="70"/>
      <x:c r="N190" s="69" t="str">
        <x:v>報價說明 稅金 25,330一.圖號D5採用後炭式門框(主框12cm),圖號D6採用南亞SMC慶祥門外框X69F7(16cm)系列產品,顏色詳色 總計 531,930</x:v>
      </x:c>
      <x:c r="O190" s="71" t="str">
        <x:v>來源表頭對應</x:v>
      </x:c>
      <x:c r="P190" s="71" t="str">
        <x:v>HTML表格3／列7</x:v>
      </x:c>
      <x:c r="Q190" s="71" t="str">
        <x:v>報價說明 稅金 25,330一.圖號D5採用後炭式門框(主框12cm),圖號D6採用南亞SMC慶祥門外框X69F7(16cm)系列產品,顏色詳色 總計 531,930 | 報價說明 稅金 25,330一.圖號D5採用後炭式門框(主框12cm),圖號D6採用南亞SMC慶祥門外框X69F7(16cm)系列產品,顏色詳色 總計 531,930 | 報價說明 稅金 25,330一.圖號D5採用後炭式門框(主框12cm),圖號D6採用南亞SMC慶祥門外框X69F7(16cm)系列產品,顏色詳色 總計 531,930 | 報價說明 稅金 25,330一.圖號D5採用後炭式門框(主框12cm),圖號D6採用…（詳原文索引）</x:v>
      </x:c>
      <x:c r="R190" s="71" t="str">
        <x:v>各廠商合約&amp; 報價\MD檔案\20240620 塑豐 玄關門、房間門、浴室門、消防門.md</x:v>
      </x:c>
    </x:row>
    <x:row r="191">
      <x:c r="A191" s="69" t="str">
        <x:v>ITEM00187</x:v>
      </x:c>
      <x:c r="B191" s="69" t="str">
        <x:v>SRC014</x:v>
      </x:c>
      <x:c r="C191" s="69" t="str">
        <x:v>2023-2024</x:v>
      </x:c>
      <x:c r="D191" s="69" t="str">
        <x:v>line_item</x:v>
      </x:c>
      <x:c r="E191" s="69" t="str">
        <x:v>MD2023_2024_013-T01R004</x:v>
      </x:c>
      <x:c r="F191" s="71" t="str">
        <x:v>D3</x:v>
      </x:c>
      <x:c r="G191" s="71" t="str">
        <x:v>玻纖防火門</x:v>
      </x:c>
      <x:c r="H191" s="71" t="str">
        <x:v>文件未載明</x:v>
      </x:c>
      <x:c r="I191" s="72" t="n">
        <x:v>11</x:v>
      </x:c>
      <x:c r="J191" s="69" t="str">
        <x:v>11</x:v>
      </x:c>
      <x:c r="K191" s="70" t="n">
        <x:v>66186</x:v>
      </x:c>
      <x:c r="L191" s="69" t="str">
        <x:v>66,186</x:v>
      </x:c>
      <x:c r="M191" s="70" t="n">
        <x:v>728050</x:v>
      </x:c>
      <x:c r="N191" s="69" t="str">
        <x:v>728,050</x:v>
      </x:c>
      <x:c r="O191" s="71" t="str">
        <x:v>來源表頭對應</x:v>
      </x:c>
      <x:c r="P191" s="71" t="str">
        <x:v>HTML表格1／列4</x:v>
      </x:c>
      <x:c r="Q191" s="71" t="str">
        <x:v>D3 | 玻纖防火門 | 玻纖防火門(雅雕CT-03) | | 110 | | 230 | | 11 | 66,186 | 728,050 | 3D重型鉸鍊CN-127、下降條DW-900、隱藏式門弓器POWRE 1505</x:v>
      </x:c>
      <x:c r="R191" s="71" t="str">
        <x:v>各廠商合約&amp; 報價\MD檔案\20240620 塑豐玄關門、房間門、浴室門、消防門.md</x:v>
      </x:c>
    </x:row>
    <x:row r="192">
      <x:c r="A192" s="69" t="str">
        <x:v>ITEM00188</x:v>
      </x:c>
      <x:c r="B192" s="69" t="str">
        <x:v>SRC014</x:v>
      </x:c>
      <x:c r="C192" s="69" t="str">
        <x:v>2023-2024</x:v>
      </x:c>
      <x:c r="D192" s="69" t="str">
        <x:v>other_table_row</x:v>
      </x:c>
      <x:c r="E192" s="69" t="str">
        <x:v>MD2023_2024_013-T01R005</x:v>
      </x:c>
      <x:c r="F192" s="71" t="str">
        <x:v>文件未載明</x:v>
      </x:c>
      <x:c r="G192" s="71" t="str">
        <x:v>以下空白</x:v>
      </x:c>
      <x:c r="H192" s="71" t="str">
        <x:v>文件未載明</x:v>
      </x:c>
      <x:c r="I192" s="72"/>
      <x:c r="J192" s="69" t="str"/>
      <x:c r="K192" s="70"/>
      <x:c r="L192" s="69" t="str"/>
      <x:c r="M192" s="70"/>
      <x:c r="N192" s="69" t="str"/>
      <x:c r="O192" s="71" t="str">
        <x:v>來源表頭對應</x:v>
      </x:c>
      <x:c r="P192" s="71" t="str">
        <x:v>HTML表格1／列5</x:v>
      </x:c>
      <x:c r="Q192" s="71" t="str">
        <x:v>| 以下空白 | | | | | | | | | |</x:v>
      </x:c>
      <x:c r="R192" s="71" t="str">
        <x:v>各廠商合約&amp; 報價\MD檔案\20240620 塑豐玄關門、房間門、浴室門、消防門.md</x:v>
      </x:c>
    </x:row>
    <x:row r="193">
      <x:c r="A193" s="69" t="str">
        <x:v>ITEM00189</x:v>
      </x:c>
      <x:c r="B193" s="69" t="str">
        <x:v>SRC014</x:v>
      </x:c>
      <x:c r="C193" s="69" t="str">
        <x:v>2023-2024</x:v>
      </x:c>
      <x:c r="D193" s="69" t="str">
        <x:v>total_or_tax</x:v>
      </x:c>
      <x:c r="E193" s="69" t="str">
        <x:v>MD2023_2024_013-T01R007</x:v>
      </x:c>
      <x:c r="F193" s="71" t="str">
        <x:v>小計</x:v>
      </x:c>
      <x:c r="G193" s="71" t="str">
        <x:v>小計</x:v>
      </x:c>
      <x:c r="H193" s="71" t="str">
        <x:v>文件未載明</x:v>
      </x:c>
      <x:c r="I193" s="72" t="n">
        <x:v>0</x:v>
      </x:c>
      <x:c r="J193" s="69" t="str">
        <x:v>0</x:v>
      </x:c>
      <x:c r="K193" s="70"/>
      <x:c r="L193" s="69" t="str"/>
      <x:c r="M193" s="70" t="n">
        <x:v>728050</x:v>
      </x:c>
      <x:c r="N193" s="69" t="str">
        <x:v>728,050</x:v>
      </x:c>
      <x:c r="O193" s="71" t="str">
        <x:v>來源表頭對應</x:v>
      </x:c>
      <x:c r="P193" s="71" t="str">
        <x:v>HTML表格1／列7</x:v>
      </x:c>
      <x:c r="Q193" s="71" t="str">
        <x:v>小計 | 小計 | 小計 | 小計 | 小計 | 小計 | 小計 | | 0 | | 728,050 |</x:v>
      </x:c>
      <x:c r="R193" s="71" t="str">
        <x:v>各廠商合約&amp; 報價\MD檔案\20240620 塑豐玄關門、房間門、浴室門、消防門.md</x:v>
      </x:c>
    </x:row>
    <x:row r="194">
      <x:c r="A194" s="69" t="str">
        <x:v>ITEM00190</x:v>
      </x:c>
      <x:c r="B194" s="69" t="str">
        <x:v>SRC014</x:v>
      </x:c>
      <x:c r="C194" s="69" t="str">
        <x:v>2023-2024</x:v>
      </x:c>
      <x:c r="D194" s="69" t="str">
        <x:v>line_item</x:v>
      </x:c>
      <x:c r="E194" s="69" t="str">
        <x:v>MD2023_2024_013-T02R003</x:v>
      </x:c>
      <x:c r="F194" s="71" t="str">
        <x:v>南亞房間門</x:v>
      </x:c>
      <x:c r="G194" s="71" t="str">
        <x:v>D7G00</x:v>
      </x:c>
      <x:c r="H194" s="71" t="str">
        <x:v>文件未載明</x:v>
      </x:c>
      <x:c r="I194" s="72" t="n">
        <x:v>28</x:v>
      </x:c>
      <x:c r="J194" s="69" t="str">
        <x:v>28</x:v>
      </x:c>
      <x:c r="K194" s="70"/>
      <x:c r="L194" s="69" t="str">
        <x:v>文件未載明</x:v>
      </x:c>
      <x:c r="M194" s="70" t="n">
        <x:v>310800</x:v>
      </x:c>
      <x:c r="N194" s="69" t="str">
        <x:v>310,800</x:v>
      </x:c>
      <x:c r="O194" s="71" t="str">
        <x:v>來源表頭對應</x:v>
      </x:c>
      <x:c r="P194" s="71" t="str">
        <x:v>HTML表格2／列3</x:v>
      </x:c>
      <x:c r="Q194" s="71" t="str">
        <x:v>D5 | D7G00 | 南亞房間門 | - | 90 | - | 210 | 木紋色#3DF | 28 | 11,100 | 310,800 | 87P</x:v>
      </x:c>
      <x:c r="R194" s="71" t="str">
        <x:v>各廠商合約&amp; 報價\MD檔案\20240620 塑豐玄關門、房間門、浴室門、消防門.md</x:v>
      </x:c>
    </x:row>
    <x:row r="195">
      <x:c r="A195" s="69" t="str">
        <x:v>ITEM00191</x:v>
      </x:c>
      <x:c r="B195" s="69" t="str">
        <x:v>SRC014</x:v>
      </x:c>
      <x:c r="C195" s="69" t="str">
        <x:v>2023-2024</x:v>
      </x:c>
      <x:c r="D195" s="69" t="str">
        <x:v>line_item</x:v>
      </x:c>
      <x:c r="E195" s="69" t="str">
        <x:v>MD2023_2024_013-T02R004</x:v>
      </x:c>
      <x:c r="F195" s="71" t="str">
        <x:v>南亞浴廁門</x:v>
      </x:c>
      <x:c r="G195" s="71" t="str">
        <x:v>D5G00</x:v>
      </x:c>
      <x:c r="H195" s="71" t="str">
        <x:v>文件未載明</x:v>
      </x:c>
      <x:c r="I195" s="72" t="n">
        <x:v>22</x:v>
      </x:c>
      <x:c r="J195" s="69" t="str">
        <x:v>22</x:v>
      </x:c>
      <x:c r="K195" s="70"/>
      <x:c r="L195" s="69" t="str">
        <x:v>文件未載明</x:v>
      </x:c>
      <x:c r="M195" s="70" t="n">
        <x:v>195800</x:v>
      </x:c>
      <x:c r="N195" s="69" t="str">
        <x:v>195,800</x:v>
      </x:c>
      <x:c r="O195" s="71" t="str">
        <x:v>來源表頭對應</x:v>
      </x:c>
      <x:c r="P195" s="71" t="str">
        <x:v>HTML表格2／列4</x:v>
      </x:c>
      <x:c r="Q195" s="71" t="str">
        <x:v>D6 | D5G00 | 南亞浴廁門 | - | 75 | - | 210 | 牙白色#0A1 | 22 | 8,900 | 195,800 | 88P附百葉通風口</x:v>
      </x:c>
      <x:c r="R195" s="71" t="str">
        <x:v>各廠商合約&amp; 報價\MD檔案\20240620 塑豐玄關門、房間門、浴室門、消防門.md</x:v>
      </x:c>
    </x:row>
    <x:row r="196">
      <x:c r="A196" s="69" t="str">
        <x:v>ITEM00192</x:v>
      </x:c>
      <x:c r="B196" s="69" t="str">
        <x:v>SRC014</x:v>
      </x:c>
      <x:c r="C196" s="69" t="str">
        <x:v>2023-2024</x:v>
      </x:c>
      <x:c r="D196" s="69" t="str">
        <x:v>total_or_tax</x:v>
      </x:c>
      <x:c r="E196" s="69" t="str">
        <x:v>MD2023_2024_013-T02R005</x:v>
      </x:c>
      <x:c r="F196" s="71" t="str">
        <x:v>小計</x:v>
      </x:c>
      <x:c r="G196" s="71" t="str">
        <x:v>小計</x:v>
      </x:c>
      <x:c r="H196" s="71" t="str">
        <x:v>文件未載明</x:v>
      </x:c>
      <x:c r="I196" s="72" t="n">
        <x:v>50</x:v>
      </x:c>
      <x:c r="J196" s="69" t="str">
        <x:v>50</x:v>
      </x:c>
      <x:c r="K196" s="70"/>
      <x:c r="L196" s="69" t="str">
        <x:v>文件未載明</x:v>
      </x:c>
      <x:c r="M196" s="70" t="n">
        <x:v>506600</x:v>
      </x:c>
      <x:c r="N196" s="69" t="str">
        <x:v>506,600</x:v>
      </x:c>
      <x:c r="O196" s="71" t="str">
        <x:v>來源表頭對應</x:v>
      </x:c>
      <x:c r="P196" s="71" t="str">
        <x:v>HTML表格2／列5</x:v>
      </x:c>
      <x:c r="Q196" s="71" t="str">
        <x:v>小計 | 小計 | 小計 | 小計 | 小計 | 小計 | 小計 | | 50 | | 506,600 |</x:v>
      </x:c>
      <x:c r="R196" s="71" t="str">
        <x:v>各廠商合約&amp; 報價\MD檔案\20240620 塑豐玄關門、房間門、浴室門、消防門.md</x:v>
      </x:c>
    </x:row>
    <x:row r="197">
      <x:c r="A197" s="69" t="str">
        <x:v>ITEM00193</x:v>
      </x:c>
      <x:c r="B197" s="69" t="str">
        <x:v>SRC014</x:v>
      </x:c>
      <x:c r="C197" s="69" t="str">
        <x:v>2023-2024</x:v>
      </x:c>
      <x:c r="D197" s="69" t="str">
        <x:v>total_or_tax</x:v>
      </x:c>
      <x:c r="E197" s="69" t="str">
        <x:v>MD2023_2024_013-T02R006</x:v>
      </x:c>
      <x:c r="F197" s="71" t="str">
        <x:v>報價說明稅金 25,330一.圖號D5採用後崁式門框(主框12cm),圖號D6採用南亞SMC慶祥門外框X69F7(16cm)系列產品,顏色詳色 總計 531,930若採用其它魚系價格另議。</x:v>
      </x:c>
      <x:c r="G197" s="71" t="str">
        <x:v>報價說明稅金 25,330一.圖號D5採用後崁式門框(主框12cm),圖號D6採用南亞SMC慶祥門外框X69F7(16cm)系列產品,顏色詳色 總計 531,930若採用其它魚系價格另議。</x:v>
      </x:c>
      <x:c r="H197" s="71" t="str">
        <x:v>文件未載明</x:v>
      </x:c>
      <x:c r="I197" s="72"/>
      <x:c r="J197" s="69" t="str">
        <x:v>報價說明稅金 25,330一.圖號D5採用後崁式門框(主框12cm),圖號D6採用南亞SMC慶祥門外框X69F7(16cm)系列產品,顏色詳色 總計 531,930若採用其它魚系價格另議。</x:v>
      </x:c>
      <x:c r="K197" s="70"/>
      <x:c r="L197" s="69" t="str">
        <x:v>文件未載明</x:v>
      </x:c>
      <x:c r="M197" s="70"/>
      <x:c r="N197" s="69" t="str">
        <x:v>報價說明稅金 25,330一.圖號D5採用後崁式門框(主框12cm),圖號D6採用南亞SMC慶祥門外框X69F7(16cm)系列產品,顏色詳色 總計 531,930若採用其它魚系價格另議。</x:v>
      </x:c>
      <x:c r="O197" s="71" t="str">
        <x:v>來源表頭對應</x:v>
      </x:c>
      <x:c r="P197" s="71" t="str">
        <x:v>HTML表格2／列6</x:v>
      </x:c>
      <x:c r="Q197" s="71" t="str">
        <x:v>報價說明稅金 25,330一.圖號D5採用後崁式門框(主框12cm),圖號D6採用南亞SMC慶祥門外框X69F7(16cm)系列產品,顏色詳色 總計 531,930若採用其它魚系價格另議。 | 報價說明稅金 25,330一.圖號D5採用後崁式門框(主框12cm),圖號D6採用南亞SMC慶祥門外框X69F7(16cm)系列產品,顏色詳色 總計 531,930若採用其它魚系價格另議。 | 報價說明稅金 25,330一.圖號D5採用後崁式門框(主框12cm),圖號D6採用南亞SMC慶祥門外框X69F7(16cm)系列產品,顏色詳色 總計 531,930若採用其它魚系價格另議。 | 報價說明稅金 25…（詳原文索引）</x:v>
      </x:c>
      <x:c r="R197" s="71" t="str">
        <x:v>各廠商合約&amp; 報價\MD檔案\20240620 塑豐玄關門、房間門、浴室門、消防門.md</x:v>
      </x:c>
    </x:row>
    <x:row r="198">
      <x:c r="A198" s="69" t="str">
        <x:v>ITEM00194</x:v>
      </x:c>
      <x:c r="B198" s="69" t="str">
        <x:v>SRC014</x:v>
      </x:c>
      <x:c r="C198" s="69" t="str">
        <x:v>2023-2024</x:v>
      </x:c>
      <x:c r="D198" s="69" t="str">
        <x:v>line_item</x:v>
      </x:c>
      <x:c r="E198" s="69" t="str">
        <x:v>MD2023_2024_013-T03R004</x:v>
      </x:c>
      <x:c r="F198" s="71" t="str">
        <x:v>D5</x:v>
      </x:c>
      <x:c r="G198" s="71" t="str">
        <x:v>D7G00</x:v>
      </x:c>
      <x:c r="H198" s="71" t="str">
        <x:v>文件未載明</x:v>
      </x:c>
      <x:c r="I198" s="72" t="n">
        <x:v>28</x:v>
      </x:c>
      <x:c r="J198" s="69" t="str">
        <x:v>28</x:v>
      </x:c>
      <x:c r="K198" s="70"/>
      <x:c r="L198" s="69" t="str">
        <x:v>文件未載明</x:v>
      </x:c>
      <x:c r="M198" s="70" t="n">
        <x:v>281512</x:v>
      </x:c>
      <x:c r="N198" s="69" t="str">
        <x:v>281,512</x:v>
      </x:c>
      <x:c r="O198" s="71" t="str">
        <x:v>來源表頭對應</x:v>
      </x:c>
      <x:c r="P198" s="71" t="str">
        <x:v>HTML表格3／列4</x:v>
      </x:c>
      <x:c r="Q198" s="71" t="str">
        <x:v>D5 | D7G00 | 南亞房間門 | - | 90 | - | 210 | 木紋色#3DF | 28 | 10,054 | 281,512 | 87P</x:v>
      </x:c>
      <x:c r="R198" s="71" t="str">
        <x:v>各廠商合約&amp; 報價\MD檔案\20240620 塑豐玄關門、房間門、浴室門、消防門.md</x:v>
      </x:c>
    </x:row>
    <x:row r="199">
      <x:c r="A199" s="69" t="str">
        <x:v>ITEM00195</x:v>
      </x:c>
      <x:c r="B199" s="69" t="str">
        <x:v>SRC014</x:v>
      </x:c>
      <x:c r="C199" s="69" t="str">
        <x:v>2023-2024</x:v>
      </x:c>
      <x:c r="D199" s="69" t="str">
        <x:v>total_or_tax</x:v>
      </x:c>
      <x:c r="E199" s="69" t="str">
        <x:v>MD2023_2024_013-T03R005</x:v>
      </x:c>
      <x:c r="F199" s="71" t="str">
        <x:v>小計</x:v>
      </x:c>
      <x:c r="G199" s="71" t="str">
        <x:v>小計</x:v>
      </x:c>
      <x:c r="H199" s="71" t="str">
        <x:v>文件未載明</x:v>
      </x:c>
      <x:c r="I199" s="72" t="n">
        <x:v>28</x:v>
      </x:c>
      <x:c r="J199" s="69" t="str">
        <x:v>28</x:v>
      </x:c>
      <x:c r="K199" s="70"/>
      <x:c r="L199" s="69" t="str">
        <x:v>文件未載明</x:v>
      </x:c>
      <x:c r="M199" s="70" t="n">
        <x:v>281512</x:v>
      </x:c>
      <x:c r="N199" s="69" t="str">
        <x:v>281,512</x:v>
      </x:c>
      <x:c r="O199" s="71" t="str">
        <x:v>來源表頭對應</x:v>
      </x:c>
      <x:c r="P199" s="71" t="str">
        <x:v>HTML表格3／列5</x:v>
      </x:c>
      <x:c r="Q199" s="71" t="str">
        <x:v>小計 | 小計 | 小計 | 小計 | 小計 | 小計 | 小計 | | 28 | | 281,512 |</x:v>
      </x:c>
      <x:c r="R199" s="71" t="str">
        <x:v>各廠商合約&amp; 報價\MD檔案\20240620 塑豐玄關門、房間門、浴室門、消防門.md</x:v>
      </x:c>
    </x:row>
    <x:row r="200">
      <x:c r="A200" s="69" t="str">
        <x:v>ITEM00196</x:v>
      </x:c>
      <x:c r="B200" s="69" t="str">
        <x:v>SRC014</x:v>
      </x:c>
      <x:c r="C200" s="69" t="str">
        <x:v>2023-2024</x:v>
      </x:c>
      <x:c r="D200" s="69" t="str">
        <x:v>total_or_tax</x:v>
      </x:c>
      <x:c r="E200" s="69" t="str">
        <x:v>MD2023_2024_013-T03R006</x:v>
      </x:c>
      <x:c r="F200" s="71" t="str">
        <x:v>報價說明 稅金 14,076一.以上採用南亞SMC慶祥門外框X69F7(16cm)系列產品·顏色詳色別。 總計 295,588若採用其它色系價格足議。</x:v>
      </x:c>
      <x:c r="G200" s="71" t="str">
        <x:v>報價說明 稅金 14,076一.以上採用南亞SMC慶祥門外框X69F7(16cm)系列產品·顏色詳色別。 總計 295,588若採用其它色系價格足議。</x:v>
      </x:c>
      <x:c r="H200" s="71" t="str">
        <x:v>文件未載明</x:v>
      </x:c>
      <x:c r="I200" s="72"/>
      <x:c r="J200" s="69" t="str">
        <x:v>報價說明 稅金 14,076一.以上採用南亞SMC慶祥門外框X69F7(16cm)系列產品·顏色詳色別。 總計 295,588若採用其它色系價格足議。</x:v>
      </x:c>
      <x:c r="K200" s="70"/>
      <x:c r="L200" s="69" t="str">
        <x:v>文件未載明</x:v>
      </x:c>
      <x:c r="M200" s="70"/>
      <x:c r="N200" s="69" t="str">
        <x:v>報價說明 稅金 14,076一.以上採用南亞SMC慶祥門外框X69F7(16cm)系列產品·顏色詳色別。 總計 295,588若採用其它色系價格足議。</x:v>
      </x:c>
      <x:c r="O200" s="71" t="str">
        <x:v>來源表頭對應</x:v>
      </x:c>
      <x:c r="P200" s="71" t="str">
        <x:v>HTML表格3／列6</x:v>
      </x:c>
      <x:c r="Q200" s="71" t="str">
        <x:v>報價說明 稅金 14,076一.以上採用南亞SMC慶祥門外框X69F7(16cm)系列產品·顏色詳色別。 總計 295,588若採用其它色系價格足議。 | 報價說明 稅金 14,076一.以上採用南亞SMC慶祥門外框X69F7(16cm)系列產品·顏色詳色別。 總計 295,588若採用其它色系價格足議。 | 報價說明 稅金 14,076一.以上採用南亞SMC慶祥門外框X69F7(16cm)系列產品·顏色詳色別。 總計 295,588若採用其它色系價格足議。 | 報價說明 稅金 14,076一.以上採用南亞SMC慶祥門外框X69F7(16cm)系列產品·顏色詳色別。 總計 295,588若採用…（詳原文索引）</x:v>
      </x:c>
      <x:c r="R200" s="71" t="str">
        <x:v>各廠商合約&amp; 報價\MD檔案\20240620 塑豐玄關門、房間門、浴室門、消防門.md</x:v>
      </x:c>
    </x:row>
    <x:row r="201">
      <x:c r="A201" s="69" t="str">
        <x:v>ITEM00197</x:v>
      </x:c>
      <x:c r="B201" s="69" t="str">
        <x:v>SRC014</x:v>
      </x:c>
      <x:c r="C201" s="69" t="str">
        <x:v>2023-2024</x:v>
      </x:c>
      <x:c r="D201" s="69" t="str">
        <x:v>line_item</x:v>
      </x:c>
      <x:c r="E201" s="69" t="str">
        <x:v>MD2023_2024_013-T04R003</x:v>
      </x:c>
      <x:c r="F201" s="71" t="str">
        <x:v>文件未載明</x:v>
      </x:c>
      <x:c r="G201" s="71" t="str">
        <x:v>60A烤漆鋼板門(單扇)+遮煙</x:v>
      </x:c>
      <x:c r="H201" s="71" t="str">
        <x:v>文件未載明</x:v>
      </x:c>
      <x:c r="I201" s="72" t="n">
        <x:v>8</x:v>
      </x:c>
      <x:c r="J201" s="69" t="str">
        <x:v>8</x:v>
      </x:c>
      <x:c r="K201" s="70" t="n">
        <x:v>27250</x:v>
      </x:c>
      <x:c r="L201" s="69" t="str">
        <x:v>27,250</x:v>
      </x:c>
      <x:c r="M201" s="70" t="n">
        <x:v>218000</x:v>
      </x:c>
      <x:c r="N201" s="69" t="str">
        <x:v>218,000</x:v>
      </x:c>
      <x:c r="O201" s="71" t="str">
        <x:v>表頭未能對應品項欄，待確認</x:v>
      </x:c>
      <x:c r="P201" s="71" t="str">
        <x:v>HTML表格4／列3</x:v>
      </x:c>
      <x:c r="Q201" s="71" t="str">
        <x:v>D02 | 60A烤漆鋼板門(單扇)+遮煙 | 90 | | 210 | 粉體烤漆(基本色) | 8 | 27,250 | 218,000 | 平推鎖、天地鉸鏈、門弓器、下降條</x:v>
      </x:c>
      <x:c r="R201" s="71" t="str">
        <x:v>各廠商合約&amp; 報價\MD檔案\20240620 塑豐玄關門、房間門、浴室門、消防門.md</x:v>
      </x:c>
    </x:row>
    <x:row r="202">
      <x:c r="A202" s="69" t="str">
        <x:v>ITEM00198</x:v>
      </x:c>
      <x:c r="B202" s="69" t="str">
        <x:v>SRC014</x:v>
      </x:c>
      <x:c r="C202" s="69" t="str">
        <x:v>2023-2024</x:v>
      </x:c>
      <x:c r="D202" s="69" t="str">
        <x:v>line_item</x:v>
      </x:c>
      <x:c r="E202" s="69" t="str">
        <x:v>MD2023_2024_013-T04R004</x:v>
      </x:c>
      <x:c r="F202" s="71" t="str">
        <x:v>文件未載明</x:v>
      </x:c>
      <x:c r="G202" s="71" t="str">
        <x:v>烤漆鋼板門(單扇)</x:v>
      </x:c>
      <x:c r="H202" s="71" t="str">
        <x:v>文件未載明</x:v>
      </x:c>
      <x:c r="I202" s="72" t="n">
        <x:v>1</x:v>
      </x:c>
      <x:c r="J202" s="69" t="str">
        <x:v>1</x:v>
      </x:c>
      <x:c r="K202" s="70" t="n">
        <x:v>23541</x:v>
      </x:c>
      <x:c r="L202" s="69" t="str">
        <x:v>23,541</x:v>
      </x:c>
      <x:c r="M202" s="70" t="n">
        <x:v>23541</x:v>
      </x:c>
      <x:c r="N202" s="69" t="str">
        <x:v>23,541</x:v>
      </x:c>
      <x:c r="O202" s="71" t="str">
        <x:v>表頭未能對應品項欄，待確認</x:v>
      </x:c>
      <x:c r="P202" s="71" t="str">
        <x:v>HTML表格4／列4</x:v>
      </x:c>
      <x:c r="Q202" s="71" t="str">
        <x:v>D07 | 烤漆鋼板門(單扇) | 120 | | 210 | 粉體烤漆(基本色) | 1 | 23,541 | 23,541 | 分離式水平鎖、天地鉸鏈、門弓器</x:v>
      </x:c>
      <x:c r="R202" s="71" t="str">
        <x:v>各廠商合約&amp; 報價\MD檔案\20240620 塑豐玄關門、房間門、浴室門、消防門.md</x:v>
      </x:c>
    </x:row>
    <x:row r="203">
      <x:c r="A203" s="69" t="str">
        <x:v>ITEM00199</x:v>
      </x:c>
      <x:c r="B203" s="69" t="str">
        <x:v>SRC014</x:v>
      </x:c>
      <x:c r="C203" s="69" t="str">
        <x:v>2023-2024</x:v>
      </x:c>
      <x:c r="D203" s="69" t="str">
        <x:v>other_table_row</x:v>
      </x:c>
      <x:c r="E203" s="69" t="str">
        <x:v>MD2023_2024_013-T04R005</x:v>
      </x:c>
      <x:c r="F203" s="71" t="str">
        <x:v>文件未載明</x:v>
      </x:c>
      <x:c r="G203" s="71" t="str">
        <x:v>以下空白</x:v>
      </x:c>
      <x:c r="H203" s="71" t="str">
        <x:v>文件未載明</x:v>
      </x:c>
      <x:c r="I203" s="72"/>
      <x:c r="J203" s="69" t="str"/>
      <x:c r="K203" s="70"/>
      <x:c r="L203" s="69" t="str">
        <x:v>-</x:v>
      </x:c>
      <x:c r="M203" s="70"/>
      <x:c r="N203" s="69" t="str">
        <x:v>-</x:v>
      </x:c>
      <x:c r="O203" s="71" t="str">
        <x:v>表頭未能對應品項欄，待確認</x:v>
      </x:c>
      <x:c r="P203" s="71" t="str">
        <x:v>HTML表格4／列5</x:v>
      </x:c>
      <x:c r="Q203" s="71" t="str">
        <x:v>| 以下空白 | | | | | | - | - |</x:v>
      </x:c>
      <x:c r="R203" s="71" t="str">
        <x:v>各廠商合約&amp; 報價\MD檔案\20240620 塑豐玄關門、房間門、浴室門、消防門.md</x:v>
      </x:c>
    </x:row>
    <x:row r="204">
      <x:c r="A204" s="69" t="str">
        <x:v>ITEM00200</x:v>
      </x:c>
      <x:c r="B204" s="69" t="str">
        <x:v>SRC014</x:v>
      </x:c>
      <x:c r="C204" s="69" t="str">
        <x:v>2023-2024</x:v>
      </x:c>
      <x:c r="D204" s="69" t="str">
        <x:v>total_or_tax</x:v>
      </x:c>
      <x:c r="E204" s="69" t="str">
        <x:v>MD2023_2024_013-T04R006</x:v>
      </x:c>
      <x:c r="F204" s="71" t="str">
        <x:v>文件未載明</x:v>
      </x:c>
      <x:c r="G204" s="71" t="str">
        <x:v>小計</x:v>
      </x:c>
      <x:c r="H204" s="71" t="str">
        <x:v>文件未載明</x:v>
      </x:c>
      <x:c r="I204" s="72" t="n">
        <x:v>9</x:v>
      </x:c>
      <x:c r="J204" s="69" t="str">
        <x:v>9</x:v>
      </x:c>
      <x:c r="K204" s="70"/>
      <x:c r="L204" s="69" t="str"/>
      <x:c r="M204" s="70" t="n">
        <x:v>241540</x:v>
      </x:c>
      <x:c r="N204" s="69" t="str">
        <x:v>241,540</x:v>
      </x:c>
      <x:c r="O204" s="71" t="str">
        <x:v>表頭未能對應品項欄，待確認</x:v>
      </x:c>
      <x:c r="P204" s="71" t="str">
        <x:v>HTML表格4／列6</x:v>
      </x:c>
      <x:c r="Q204" s="71" t="str">
        <x:v>小計 | 小計 | 小計 | 小計 | 小計 | | 9 | | 241,540 |</x:v>
      </x:c>
      <x:c r="R204" s="71" t="str">
        <x:v>各廠商合約&amp; 報價\MD檔案\20240620 塑豐玄關門、房間門、浴室門、消防門.md</x:v>
      </x:c>
    </x:row>
    <x:row r="205">
      <x:c r="A205" s="69" t="str">
        <x:v>ITEM00201</x:v>
      </x:c>
      <x:c r="B205" s="69" t="str">
        <x:v>SRC015</x:v>
      </x:c>
      <x:c r="C205" s="69" t="str">
        <x:v>2023-2024</x:v>
      </x:c>
      <x:c r="D205" s="69" t="str">
        <x:v>line_item</x:v>
      </x:c>
      <x:c r="E205" s="69" t="str">
        <x:v>MD2023_2024_014-T01R002</x:v>
      </x:c>
      <x:c r="F205" s="71" t="str">
        <x:v>文件未載明</x:v>
      </x:c>
      <x:c r="G205" s="71" t="str">
        <x:v>文件未載明</x:v>
      </x:c>
      <x:c r="H205" s="71" t="str">
        <x:v>文件未載明</x:v>
      </x:c>
      <x:c r="I205" s="72" t="n">
        <x:v>19</x:v>
      </x:c>
      <x:c r="J205" s="69" t="str">
        <x:v>19</x:v>
      </x:c>
      <x:c r="K205" s="70" t="n">
        <x:v>500</x:v>
      </x:c>
      <x:c r="L205" s="69" t="str">
        <x:v>500</x:v>
      </x:c>
      <x:c r="M205" s="70"/>
      <x:c r="N205" s="69" t="str">
        <x:v>文件未載明</x:v>
      </x:c>
      <x:c r="O205" s="71" t="str">
        <x:v>表頭未能對應品項欄，待確認</x:v>
      </x:c>
      <x:c r="P205" s="71" t="str">
        <x:v>HTML表格1／列2</x:v>
      </x:c>
      <x:c r="Q205" s="71" t="str">
        <x:v>1 草皮 | 坪 | 19 | 500 | 9500</x:v>
      </x:c>
      <x:c r="R205" s="71" t="str">
        <x:v>各廠商合約&amp; 報價\MD檔案\20240703 太子種苗 _更新_.md</x:v>
      </x:c>
    </x:row>
    <x:row r="206">
      <x:c r="A206" s="69" t="str">
        <x:v>ITEM00202</x:v>
      </x:c>
      <x:c r="B206" s="69" t="str">
        <x:v>SRC015</x:v>
      </x:c>
      <x:c r="C206" s="69" t="str">
        <x:v>2023-2024</x:v>
      </x:c>
      <x:c r="D206" s="69" t="str">
        <x:v>line_item</x:v>
      </x:c>
      <x:c r="E206" s="69" t="str">
        <x:v>MD2023_2024_014-T01R003</x:v>
      </x:c>
      <x:c r="F206" s="71" t="str">
        <x:v>文件未載明</x:v>
      </x:c>
      <x:c r="G206" s="71" t="str">
        <x:v>文件未載明</x:v>
      </x:c>
      <x:c r="H206" s="71" t="str">
        <x:v>文件未載明</x:v>
      </x:c>
      <x:c r="I206" s="72" t="n">
        <x:v>63</x:v>
      </x:c>
      <x:c r="J206" s="69" t="str">
        <x:v>63</x:v>
      </x:c>
      <x:c r="K206" s="70" t="n">
        <x:v>250</x:v>
      </x:c>
      <x:c r="L206" s="69" t="str">
        <x:v>250</x:v>
      </x:c>
      <x:c r="M206" s="70"/>
      <x:c r="N206" s="69" t="str">
        <x:v>文件未載明</x:v>
      </x:c>
      <x:c r="O206" s="71" t="str">
        <x:v>表頭未能對應品項欄，待確認</x:v>
      </x:c>
      <x:c r="P206" s="71" t="str">
        <x:v>HTML表格1／列3</x:v>
      </x:c>
      <x:c r="Q206" s="71" t="str">
        <x:v>2 植草磚植草 | M2 | 63 | 250 | 15750</x:v>
      </x:c>
      <x:c r="R206" s="71" t="str">
        <x:v>各廠商合約&amp; 報價\MD檔案\20240703 太子種苗 _更新_.md</x:v>
      </x:c>
    </x:row>
    <x:row r="207">
      <x:c r="A207" s="69" t="str">
        <x:v>ITEM00203</x:v>
      </x:c>
      <x:c r="B207" s="69" t="str">
        <x:v>SRC015</x:v>
      </x:c>
      <x:c r="C207" s="69" t="str">
        <x:v>2023-2024</x:v>
      </x:c>
      <x:c r="D207" s="69" t="str">
        <x:v>line_item</x:v>
      </x:c>
      <x:c r="E207" s="69" t="str">
        <x:v>MD2023_2024_014-T01R004</x:v>
      </x:c>
      <x:c r="F207" s="71" t="str">
        <x:v>文件未載明</x:v>
      </x:c>
      <x:c r="G207" s="71" t="str">
        <x:v>文件未載明</x:v>
      </x:c>
      <x:c r="H207" s="71" t="str">
        <x:v>文件未載明</x:v>
      </x:c>
      <x:c r="I207" s="72" t="n">
        <x:v>1</x:v>
      </x:c>
      <x:c r="J207" s="69" t="str">
        <x:v>1</x:v>
      </x:c>
      <x:c r="K207" s="70" t="n">
        <x:v>5000</x:v>
      </x:c>
      <x:c r="L207" s="69" t="str">
        <x:v>5000</x:v>
      </x:c>
      <x:c r="M207" s="70"/>
      <x:c r="N207" s="69" t="str">
        <x:v>文件未載明</x:v>
      </x:c>
      <x:c r="O207" s="71" t="str">
        <x:v>表頭未能對應品項欄，待確認</x:v>
      </x:c>
      <x:c r="P207" s="71" t="str">
        <x:v>HTML表格1／列4</x:v>
      </x:c>
      <x:c r="Q207" s="71" t="str">
        <x:v>3 鋙草工資 | 式 | 1 | 5000 | 5000</x:v>
      </x:c>
      <x:c r="R207" s="71" t="str">
        <x:v>各廠商合約&amp; 報價\MD檔案\20240703 太子種苗 _更新_.md</x:v>
      </x:c>
    </x:row>
    <x:row r="208">
      <x:c r="A208" s="69" t="str">
        <x:v>ITEM00204</x:v>
      </x:c>
      <x:c r="B208" s="69" t="str">
        <x:v>SRC015</x:v>
      </x:c>
      <x:c r="C208" s="69" t="str">
        <x:v>2023-2024</x:v>
      </x:c>
      <x:c r="D208" s="69" t="str">
        <x:v>line_item</x:v>
      </x:c>
      <x:c r="E208" s="69" t="str">
        <x:v>MD2023_2024_014-T01R005</x:v>
      </x:c>
      <x:c r="F208" s="71" t="str">
        <x:v>文件未載明</x:v>
      </x:c>
      <x:c r="G208" s="71" t="str">
        <x:v>文件未載明</x:v>
      </x:c>
      <x:c r="H208" s="71" t="str">
        <x:v>文件未載明</x:v>
      </x:c>
      <x:c r="I208" s="72" t="n">
        <x:v>63</x:v>
      </x:c>
      <x:c r="J208" s="69" t="str">
        <x:v>63</x:v>
      </x:c>
      <x:c r="K208" s="70" t="n">
        <x:v>250</x:v>
      </x:c>
      <x:c r="L208" s="69" t="str">
        <x:v>250</x:v>
      </x:c>
      <x:c r="M208" s="70"/>
      <x:c r="N208" s="69" t="str">
        <x:v>文件未載明</x:v>
      </x:c>
      <x:c r="O208" s="71" t="str">
        <x:v>表頭未能對應品項欄，待確認</x:v>
      </x:c>
      <x:c r="P208" s="71" t="str">
        <x:v>HTML表格1／列5</x:v>
      </x:c>
      <x:c r="Q208" s="71" t="str">
        <x:v>4 植草磚鋪設工資 | M2 | 63 | 250 | 15750</x:v>
      </x:c>
      <x:c r="R208" s="71" t="str">
        <x:v>各廠商合約&amp; 報價\MD檔案\20240703 太子種苗 _更新_.md</x:v>
      </x:c>
    </x:row>
    <x:row r="209">
      <x:c r="A209" s="69" t="str">
        <x:v>ITEM00205</x:v>
      </x:c>
      <x:c r="B209" s="69" t="str">
        <x:v>SRC015</x:v>
      </x:c>
      <x:c r="C209" s="69" t="str">
        <x:v>2023-2024</x:v>
      </x:c>
      <x:c r="D209" s="69" t="str">
        <x:v>line_item</x:v>
      </x:c>
      <x:c r="E209" s="69" t="str">
        <x:v>MD2023_2024_014-T01R006</x:v>
      </x:c>
      <x:c r="F209" s="71" t="str">
        <x:v>文件未載明</x:v>
      </x:c>
      <x:c r="G209" s="71" t="str">
        <x:v>文件未載明</x:v>
      </x:c>
      <x:c r="H209" s="71" t="str">
        <x:v>文件未載明</x:v>
      </x:c>
      <x:c r="I209" s="72" t="n">
        <x:v>1</x:v>
      </x:c>
      <x:c r="J209" s="69" t="str">
        <x:v>1</x:v>
      </x:c>
      <x:c r="K209" s="70" t="n">
        <x:v>6500</x:v>
      </x:c>
      <x:c r="L209" s="69" t="str">
        <x:v>6500</x:v>
      </x:c>
      <x:c r="M209" s="70"/>
      <x:c r="N209" s="69" t="str">
        <x:v>文件未載明</x:v>
      </x:c>
      <x:c r="O209" s="71" t="str">
        <x:v>表頭未能對應品項欄，待確認</x:v>
      </x:c>
      <x:c r="P209" s="71" t="str">
        <x:v>HTML表格1／列6</x:v>
      </x:c>
      <x:c r="Q209" s="71" t="str">
        <x:v>5 人行步道修復 | 式 | 1 | 6500 | 6500</x:v>
      </x:c>
      <x:c r="R209" s="71" t="str">
        <x:v>各廠商合約&amp; 報價\MD檔案\20240703 太子種苗 _更新_.md</x:v>
      </x:c>
    </x:row>
    <x:row r="210">
      <x:c r="A210" s="69" t="str">
        <x:v>ITEM00206</x:v>
      </x:c>
      <x:c r="B210" s="69" t="str">
        <x:v>SRC015</x:v>
      </x:c>
      <x:c r="C210" s="69" t="str">
        <x:v>2023-2024</x:v>
      </x:c>
      <x:c r="D210" s="69" t="str">
        <x:v>line_item</x:v>
      </x:c>
      <x:c r="E210" s="69" t="str">
        <x:v>MD2023_2024_014-T01R007</x:v>
      </x:c>
      <x:c r="F210" s="71" t="str">
        <x:v>文件未載明</x:v>
      </x:c>
      <x:c r="G210" s="71" t="str">
        <x:v>文件未載明</x:v>
      </x:c>
      <x:c r="H210" s="71" t="str">
        <x:v>文件未載明</x:v>
      </x:c>
      <x:c r="I210" s="72" t="n">
        <x:v>1</x:v>
      </x:c>
      <x:c r="J210" s="69" t="str">
        <x:v>1</x:v>
      </x:c>
      <x:c r="K210" s="70" t="n">
        <x:v>7000</x:v>
      </x:c>
      <x:c r="L210" s="69" t="str">
        <x:v>7000</x:v>
      </x:c>
      <x:c r="M210" s="70"/>
      <x:c r="N210" s="69" t="str">
        <x:v>文件未載明</x:v>
      </x:c>
      <x:c r="O210" s="71" t="str">
        <x:v>表頭未能對應品項欄，待確認</x:v>
      </x:c>
      <x:c r="P210" s="71" t="str">
        <x:v>HTML表格1／列7</x:v>
      </x:c>
      <x:c r="Q210" s="71" t="str">
        <x:v>6 種樹 | 式 | 1 | 7000 | 7000</x:v>
      </x:c>
      <x:c r="R210" s="71" t="str">
        <x:v>各廠商合約&amp; 報價\MD檔案\20240703 太子種苗 _更新_.md</x:v>
      </x:c>
    </x:row>
    <x:row r="211">
      <x:c r="A211" s="69" t="str">
        <x:v>ITEM00207</x:v>
      </x:c>
      <x:c r="B211" s="69" t="str">
        <x:v>SRC015</x:v>
      </x:c>
      <x:c r="C211" s="69" t="str">
        <x:v>2023-2024</x:v>
      </x:c>
      <x:c r="D211" s="69" t="str">
        <x:v>line_item</x:v>
      </x:c>
      <x:c r="E211" s="69" t="str">
        <x:v>MD2023_2024_014-T01R008</x:v>
      </x:c>
      <x:c r="F211" s="71" t="str">
        <x:v>文件未載明</x:v>
      </x:c>
      <x:c r="G211" s="71" t="str">
        <x:v>文件未載明</x:v>
      </x:c>
      <x:c r="H211" s="71" t="str">
        <x:v>文件未載明</x:v>
      </x:c>
      <x:c r="I211" s="72" t="n">
        <x:v>9</x:v>
      </x:c>
      <x:c r="J211" s="69" t="str">
        <x:v>9</x:v>
      </x:c>
      <x:c r="K211" s="70" t="n">
        <x:v>250</x:v>
      </x:c>
      <x:c r="L211" s="69" t="str">
        <x:v>250</x:v>
      </x:c>
      <x:c r="M211" s="70"/>
      <x:c r="N211" s="69" t="str">
        <x:v>文件未載明</x:v>
      </x:c>
      <x:c r="O211" s="71" t="str">
        <x:v>表頭未能對應品項欄，待確認</x:v>
      </x:c>
      <x:c r="P211" s="71" t="str">
        <x:v>HTML表格1／列8</x:v>
      </x:c>
      <x:c r="Q211" s="71" t="str">
        <x:v>7 平板磚鋪設 | M2 | 9 | 250 | 2250</x:v>
      </x:c>
      <x:c r="R211" s="71" t="str">
        <x:v>各廠商合約&amp; 報價\MD檔案\20240703 太子種苗 _更新_.md</x:v>
      </x:c>
    </x:row>
    <x:row r="212">
      <x:c r="A212" s="69" t="str">
        <x:v>ITEM00208</x:v>
      </x:c>
      <x:c r="B212" s="69" t="str">
        <x:v>SRC015</x:v>
      </x:c>
      <x:c r="C212" s="69" t="str">
        <x:v>2023-2024</x:v>
      </x:c>
      <x:c r="D212" s="69" t="str">
        <x:v>line_item</x:v>
      </x:c>
      <x:c r="E212" s="69" t="str">
        <x:v>MD2023_2024_014-T01R009</x:v>
      </x:c>
      <x:c r="F212" s="71" t="str">
        <x:v>文件未載明</x:v>
      </x:c>
      <x:c r="G212" s="71" t="str">
        <x:v>文件未載明</x:v>
      </x:c>
      <x:c r="H212" s="71" t="str">
        <x:v>文件未載明</x:v>
      </x:c>
      <x:c r="I212" s="72" t="n">
        <x:v>6</x:v>
      </x:c>
      <x:c r="J212" s="69" t="str">
        <x:v>6</x:v>
      </x:c>
      <x:c r="K212" s="70" t="n">
        <x:v>6190</x:v>
      </x:c>
      <x:c r="L212" s="69" t="str">
        <x:v>6190</x:v>
      </x:c>
      <x:c r="M212" s="70"/>
      <x:c r="N212" s="69" t="str">
        <x:v>文件未載明</x:v>
      </x:c>
      <x:c r="O212" s="71" t="str">
        <x:v>表頭未能對應品項欄，待確認</x:v>
      </x:c>
      <x:c r="P212" s="71" t="str">
        <x:v>HTML表格1／列9</x:v>
      </x:c>
      <x:c r="Q212" s="71" t="str">
        <x:v>8 四角水磨石 | 口径包外60CM | 6 | 6190 | 37140</x:v>
      </x:c>
      <x:c r="R212" s="71" t="str">
        <x:v>各廠商合約&amp; 報價\MD檔案\20240703 太子種苗 _更新_.md</x:v>
      </x:c>
    </x:row>
    <x:row r="213">
      <x:c r="A213" s="69" t="str">
        <x:v>ITEM00209</x:v>
      </x:c>
      <x:c r="B213" s="69" t="str">
        <x:v>SRC015</x:v>
      </x:c>
      <x:c r="C213" s="69" t="str">
        <x:v>2023-2024</x:v>
      </x:c>
      <x:c r="D213" s="69" t="str">
        <x:v>line_item</x:v>
      </x:c>
      <x:c r="E213" s="69" t="str">
        <x:v>MD2023_2024_014-T01R010</x:v>
      </x:c>
      <x:c r="F213" s="71" t="str">
        <x:v>文件未載明</x:v>
      </x:c>
      <x:c r="G213" s="71" t="str">
        <x:v>文件未載明</x:v>
      </x:c>
      <x:c r="H213" s="71" t="str">
        <x:v>文件未載明</x:v>
      </x:c>
      <x:c r="I213" s="72" t="n">
        <x:v>1</x:v>
      </x:c>
      <x:c r="J213" s="69" t="str">
        <x:v>1</x:v>
      </x:c>
      <x:c r="K213" s="70" t="n">
        <x:v>2500</x:v>
      </x:c>
      <x:c r="L213" s="69" t="str">
        <x:v>2500</x:v>
      </x:c>
      <x:c r="M213" s="70"/>
      <x:c r="N213" s="69" t="str">
        <x:v>文件未載明</x:v>
      </x:c>
      <x:c r="O213" s="71" t="str">
        <x:v>表頭未能對應品項欄，待確認</x:v>
      </x:c>
      <x:c r="P213" s="71" t="str">
        <x:v>HTML表格1／列10</x:v>
      </x:c>
      <x:c r="Q213" s="71" t="str">
        <x:v>9 追加小葉欖仁 | 株 | 1 | 2500 | 2500</x:v>
      </x:c>
      <x:c r="R213" s="71" t="str">
        <x:v>各廠商合約&amp; 報價\MD檔案\20240703 太子種苗 _更新_.md</x:v>
      </x:c>
    </x:row>
    <x:row r="214">
      <x:c r="A214" s="69" t="str">
        <x:v>ITEM00210</x:v>
      </x:c>
      <x:c r="B214" s="69" t="str">
        <x:v>SRC015</x:v>
      </x:c>
      <x:c r="C214" s="69" t="str">
        <x:v>2023-2024</x:v>
      </x:c>
      <x:c r="D214" s="69" t="str">
        <x:v>line_item</x:v>
      </x:c>
      <x:c r="E214" s="69" t="str">
        <x:v>MD2023_2024_014-T01R011</x:v>
      </x:c>
      <x:c r="F214" s="71" t="str">
        <x:v>文件未載明</x:v>
      </x:c>
      <x:c r="G214" s="71" t="str">
        <x:v>文件未載明</x:v>
      </x:c>
      <x:c r="H214" s="71" t="str">
        <x:v>文件未載明</x:v>
      </x:c>
      <x:c r="I214" s="72" t="n">
        <x:v>63</x:v>
      </x:c>
      <x:c r="J214" s="69" t="str">
        <x:v>63</x:v>
      </x:c>
      <x:c r="K214" s="70" t="n">
        <x:v>250</x:v>
      </x:c>
      <x:c r="L214" s="69" t="str">
        <x:v>250</x:v>
      </x:c>
      <x:c r="M214" s="70"/>
      <x:c r="N214" s="69" t="str">
        <x:v>文件未載明</x:v>
      </x:c>
      <x:c r="O214" s="71" t="str">
        <x:v>表頭未能對應品項欄，待確認</x:v>
      </x:c>
      <x:c r="P214" s="71" t="str">
        <x:v>HTML表格1／列11</x:v>
      </x:c>
      <x:c r="Q214" s="71" t="str">
        <x:v>10 追加植草磚植草 | M2 | 63 | 250 | 15750</x:v>
      </x:c>
      <x:c r="R214" s="71" t="str">
        <x:v>各廠商合約&amp; 報價\MD檔案\20240703 太子種苗 _更新_.md</x:v>
      </x:c>
    </x:row>
    <x:row r="215">
      <x:c r="A215" s="69" t="str">
        <x:v>ITEM00211</x:v>
      </x:c>
      <x:c r="B215" s="69" t="str">
        <x:v>SRC015</x:v>
      </x:c>
      <x:c r="C215" s="69" t="str">
        <x:v>2023-2024</x:v>
      </x:c>
      <x:c r="D215" s="69" t="str">
        <x:v>line_item</x:v>
      </x:c>
      <x:c r="E215" s="69" t="str">
        <x:v>MD2023_2024_014-T01R012</x:v>
      </x:c>
      <x:c r="F215" s="71" t="str">
        <x:v>文件未載明</x:v>
      </x:c>
      <x:c r="G215" s="71" t="str">
        <x:v>文件未載明</x:v>
      </x:c>
      <x:c r="H215" s="71" t="str">
        <x:v>文件未載明</x:v>
      </x:c>
      <x:c r="I215" s="72" t="n">
        <x:v>19</x:v>
      </x:c>
      <x:c r="J215" s="69" t="str">
        <x:v>19</x:v>
      </x:c>
      <x:c r="K215" s="70" t="n">
        <x:v>500</x:v>
      </x:c>
      <x:c r="L215" s="69" t="str">
        <x:v>500</x:v>
      </x:c>
      <x:c r="M215" s="70"/>
      <x:c r="N215" s="69" t="str">
        <x:v>文件未載明</x:v>
      </x:c>
      <x:c r="O215" s="71" t="str">
        <x:v>表頭未能對應品項欄，待確認</x:v>
      </x:c>
      <x:c r="P215" s="71" t="str">
        <x:v>HTML表格1／列12</x:v>
      </x:c>
      <x:c r="Q215" s="71" t="str">
        <x:v>11 追加草皮 | 坪 | 19 | 500 | 9500</x:v>
      </x:c>
      <x:c r="R215" s="71" t="str">
        <x:v>各廠商合約&amp; 報價\MD檔案\20240703 太子種苗 _更新_.md</x:v>
      </x:c>
    </x:row>
    <x:row r="216">
      <x:c r="A216" s="69" t="str">
        <x:v>ITEM00212</x:v>
      </x:c>
      <x:c r="B216" s="69" t="str">
        <x:v>SRC015</x:v>
      </x:c>
      <x:c r="C216" s="69" t="str">
        <x:v>2023-2024</x:v>
      </x:c>
      <x:c r="D216" s="69" t="str">
        <x:v>line_item</x:v>
      </x:c>
      <x:c r="E216" s="69" t="str">
        <x:v>MD2023_2024_014-T01R013</x:v>
      </x:c>
      <x:c r="F216" s="71" t="str">
        <x:v>文件未載明</x:v>
      </x:c>
      <x:c r="G216" s="71" t="str">
        <x:v>文件未載明</x:v>
      </x:c>
      <x:c r="H216" s="71" t="str">
        <x:v>文件未載明</x:v>
      </x:c>
      <x:c r="I216" s="72" t="n">
        <x:v>1</x:v>
      </x:c>
      <x:c r="J216" s="69" t="str">
        <x:v>1</x:v>
      </x:c>
      <x:c r="K216" s="70" t="n">
        <x:v>6000</x:v>
      </x:c>
      <x:c r="L216" s="69" t="str">
        <x:v>6000</x:v>
      </x:c>
      <x:c r="M216" s="70"/>
      <x:c r="N216" s="69" t="str">
        <x:v>文件未載明</x:v>
      </x:c>
      <x:c r="O216" s="71" t="str">
        <x:v>表頭未能對應品項欄，待確認</x:v>
      </x:c>
      <x:c r="P216" s="71" t="str">
        <x:v>HTML表格1／列13</x:v>
      </x:c>
      <x:c r="Q216" s="71" t="str">
        <x:v>12 追加鋪草種樹工資 | 式 | 1 | 6000 | 6000</x:v>
      </x:c>
      <x:c r="R216" s="71" t="str">
        <x:v>各廠商合約&amp; 報價\MD檔案\20240703 太子種苗 _更新_.md</x:v>
      </x:c>
    </x:row>
    <x:row r="217">
      <x:c r="A217" s="69" t="str">
        <x:v>ITEM00213</x:v>
      </x:c>
      <x:c r="B217" s="69" t="str">
        <x:v>SRC015</x:v>
      </x:c>
      <x:c r="C217" s="69" t="str">
        <x:v>2023-2024</x:v>
      </x:c>
      <x:c r="D217" s="69" t="str">
        <x:v>line_item</x:v>
      </x:c>
      <x:c r="E217" s="69" t="str">
        <x:v>MD2023_2024_014-T01R014</x:v>
      </x:c>
      <x:c r="F217" s="71" t="str">
        <x:v>文件未載明</x:v>
      </x:c>
      <x:c r="G217" s="71" t="str">
        <x:v>文件未載明</x:v>
      </x:c>
      <x:c r="H217" s="71" t="str">
        <x:v>文件未載明</x:v>
      </x:c>
      <x:c r="I217" s="72"/>
      <x:c r="J217" s="69" t="str"/>
      <x:c r="K217" s="70"/>
      <x:c r="L217" s="69" t="str"/>
      <x:c r="M217" s="70"/>
      <x:c r="N217" s="69" t="str">
        <x:v>文件未載明</x:v>
      </x:c>
      <x:c r="O217" s="71" t="str">
        <x:v>表頭未能對應品項欄，待確認</x:v>
      </x:c>
      <x:c r="P217" s="71" t="str">
        <x:v>HTML表格1／列14</x:v>
      </x:c>
      <x:c r="Q217" s="71" t="str">
        <x:v>13 | | | | 0</x:v>
      </x:c>
      <x:c r="R217" s="71" t="str">
        <x:v>各廠商合約&amp; 報價\MD檔案\20240703 太子種苗 _更新_.md</x:v>
      </x:c>
    </x:row>
    <x:row r="218">
      <x:c r="A218" s="69" t="str">
        <x:v>ITEM00214</x:v>
      </x:c>
      <x:c r="B218" s="69" t="str">
        <x:v>SRC016</x:v>
      </x:c>
      <x:c r="C218" s="69" t="str">
        <x:v>2023-2024</x:v>
      </x:c>
      <x:c r="D218" s="69" t="str">
        <x:v>line_item</x:v>
      </x:c>
      <x:c r="E218" s="69" t="str">
        <x:v>MD2023_2024_015-T01R002</x:v>
      </x:c>
      <x:c r="F218" s="71" t="str">
        <x:v>無框外開淋浴拉門</x:v>
      </x:c>
      <x:c r="G218" s="71" t="str">
        <x:v>無框外開淋浴拉門</x:v>
      </x:c>
      <x:c r="H218" s="71" t="str">
        <x:v>樘</x:v>
      </x:c>
      <x:c r="I218" s="72" t="n">
        <x:v>22</x:v>
      </x:c>
      <x:c r="J218" s="69" t="str">
        <x:v>22</x:v>
      </x:c>
      <x:c r="K218" s="70" t="n">
        <x:v>9000</x:v>
      </x:c>
      <x:c r="L218" s="69" t="str">
        <x:v>9000</x:v>
      </x:c>
      <x:c r="M218" s="70" t="n">
        <x:v>198000</x:v>
      </x:c>
      <x:c r="N218" s="69" t="str">
        <x:v>198000</x:v>
      </x:c>
      <x:c r="O218" s="71" t="str">
        <x:v>表頭未能對應品項欄，待確認</x:v>
      </x:c>
      <x:c r="P218" s="71" t="str">
        <x:v>HTML表格1／列2</x:v>
      </x:c>
      <x:c r="Q218" s="71" t="str">
        <x:v>1 | 無框外開淋浴拉門 | 8mm強化玻璃H:190cm W:150cm內 | 樘 | 22 | 9000 | 198000 | 含門檻</x:v>
      </x:c>
      <x:c r="R218" s="71" t="str">
        <x:v>各廠商合約&amp; 報價\MD檔案\20240719 立瑄 淋浴拉門.md</x:v>
      </x:c>
    </x:row>
    <x:row r="219">
      <x:c r="A219" s="69" t="str">
        <x:v>ITEM00215</x:v>
      </x:c>
      <x:c r="B219" s="69" t="str">
        <x:v>SRC016</x:v>
      </x:c>
      <x:c r="C219" s="69" t="str">
        <x:v>2023-2024</x:v>
      </x:c>
      <x:c r="D219" s="69" t="str">
        <x:v>total_or_tax</x:v>
      </x:c>
      <x:c r="E219" s="69" t="str">
        <x:v>MD2023_2024_015-T01R004</x:v>
      </x:c>
      <x:c r="F219" s="71" t="str">
        <x:v>文件未載明</x:v>
      </x:c>
      <x:c r="G219" s="71" t="str">
        <x:v>小計</x:v>
      </x:c>
      <x:c r="H219" s="71" t="str"/>
      <x:c r="I219" s="72"/>
      <x:c r="J219" s="69" t="str"/>
      <x:c r="K219" s="70"/>
      <x:c r="L219" s="69" t="str"/>
      <x:c r="M219" s="70" t="n">
        <x:v>198000</x:v>
      </x:c>
      <x:c r="N219" s="69" t="str">
        <x:v>198000</x:v>
      </x:c>
      <x:c r="O219" s="71" t="str">
        <x:v>表頭未能對應品項欄，待確認</x:v>
      </x:c>
      <x:c r="P219" s="71" t="str">
        <x:v>HTML表格1／列4</x:v>
      </x:c>
      <x:c r="Q219" s="71" t="str">
        <x:v>| 小計 | | | | | 198000 |</x:v>
      </x:c>
      <x:c r="R219" s="71" t="str">
        <x:v>各廠商合約&amp; 報價\MD檔案\20240719 立瑄 淋浴拉門.md</x:v>
      </x:c>
    </x:row>
    <x:row r="220">
      <x:c r="A220" s="69" t="str">
        <x:v>ITEM00216</x:v>
      </x:c>
      <x:c r="B220" s="69" t="str">
        <x:v>SRC016</x:v>
      </x:c>
      <x:c r="C220" s="69" t="str">
        <x:v>2023-2024</x:v>
      </x:c>
      <x:c r="D220" s="69" t="str">
        <x:v>total_or_tax</x:v>
      </x:c>
      <x:c r="E220" s="69" t="str">
        <x:v>MD2023_2024_015-T01R005</x:v>
      </x:c>
      <x:c r="F220" s="71" t="str">
        <x:v>文件未載明</x:v>
      </x:c>
      <x:c r="G220" s="71" t="str">
        <x:v>營業稅</x:v>
      </x:c>
      <x:c r="H220" s="71" t="str"/>
      <x:c r="I220" s="72"/>
      <x:c r="J220" s="69" t="str"/>
      <x:c r="K220" s="70"/>
      <x:c r="L220" s="69" t="str"/>
      <x:c r="M220" s="70" t="n">
        <x:v>9900</x:v>
      </x:c>
      <x:c r="N220" s="69" t="str">
        <x:v>9900</x:v>
      </x:c>
      <x:c r="O220" s="71" t="str">
        <x:v>表頭未能對應品項欄，待確認</x:v>
      </x:c>
      <x:c r="P220" s="71" t="str">
        <x:v>HTML表格1／列5</x:v>
      </x:c>
      <x:c r="Q220" s="71" t="str">
        <x:v>| 營業稅 | | | | | 9900 |</x:v>
      </x:c>
      <x:c r="R220" s="71" t="str">
        <x:v>各廠商合約&amp; 報價\MD檔案\20240719 立瑄 淋浴拉門.md</x:v>
      </x:c>
    </x:row>
    <x:row r="221">
      <x:c r="A221" s="69" t="str">
        <x:v>ITEM00217</x:v>
      </x:c>
      <x:c r="B221" s="69" t="str">
        <x:v>SRC016</x:v>
      </x:c>
      <x:c r="C221" s="69" t="str">
        <x:v>2023-2024</x:v>
      </x:c>
      <x:c r="D221" s="69" t="str">
        <x:v>total_or_tax</x:v>
      </x:c>
      <x:c r="E221" s="69" t="str">
        <x:v>MD2023_2024_015-T01R006</x:v>
      </x:c>
      <x:c r="F221" s="71" t="str">
        <x:v>文件未載明</x:v>
      </x:c>
      <x:c r="G221" s="71" t="str">
        <x:v>合計</x:v>
      </x:c>
      <x:c r="H221" s="71" t="str"/>
      <x:c r="I221" s="72"/>
      <x:c r="J221" s="69" t="str"/>
      <x:c r="K221" s="70"/>
      <x:c r="L221" s="69" t="str"/>
      <x:c r="M221" s="70" t="n">
        <x:v>207900</x:v>
      </x:c>
      <x:c r="N221" s="69" t="str">
        <x:v>207900</x:v>
      </x:c>
      <x:c r="O221" s="71" t="str">
        <x:v>表頭未能對應品項欄，待確認</x:v>
      </x:c>
      <x:c r="P221" s="71" t="str">
        <x:v>HTML表格1／列6</x:v>
      </x:c>
      <x:c r="Q221" s="71" t="str">
        <x:v>| 合計 | | | | | 207900 |</x:v>
      </x:c>
      <x:c r="R221" s="71" t="str">
        <x:v>各廠商合約&amp; 報價\MD檔案\20240719 立瑄 淋浴拉門.md</x:v>
      </x:c>
    </x:row>
    <x:row r="222">
      <x:c r="A222" s="69" t="str">
        <x:v>ITEM00218</x:v>
      </x:c>
      <x:c r="B222" s="69" t="str">
        <x:v>SRC017</x:v>
      </x:c>
      <x:c r="C222" s="69" t="str">
        <x:v>2023-2024</x:v>
      </x:c>
      <x:c r="D222" s="69" t="str">
        <x:v>line_item</x:v>
      </x:c>
      <x:c r="E222" s="69" t="str">
        <x:v>MD2023_2024_016-T01R003</x:v>
      </x:c>
      <x:c r="F222" s="71" t="str">
        <x:v>鋁格柵</x:v>
      </x:c>
      <x:c r="G222" s="71" t="str">
        <x:v>鋁格柵</x:v>
      </x:c>
      <x:c r="H222" s="71" t="str">
        <x:v>76.6875</x:v>
      </x:c>
      <x:c r="I222" s="72" t="n">
        <x:v>76.6875</x:v>
      </x:c>
      <x:c r="J222" s="69" t="str">
        <x:v>76.6875</x:v>
      </x:c>
      <x:c r="K222" s="70"/>
      <x:c r="L222" s="69" t="str">
        <x:v>文件未載明</x:v>
      </x:c>
      <x:c r="M222" s="70" t="n">
        <x:v>351803</x:v>
      </x:c>
      <x:c r="N222" s="69" t="str">
        <x:v>351,803</x:v>
      </x:c>
      <x:c r="O222" s="71" t="str">
        <x:v>來源表頭對應</x:v>
      </x:c>
      <x:c r="P222" s="71" t="str">
        <x:v>HTML表格1／列3</x:v>
      </x:c>
      <x:c r="Q222" s="71" t="str">
        <x:v>1 | 鋁格柵 | 375 | 2045 | 粉體塗裝(待決) | 76.6875 | 1 | 351,803 | 351,803 |</x:v>
      </x:c>
      <x:c r="R222" s="71" t="str">
        <x:v>各廠商合約&amp; 報價\MD檔案\20240726 塑豐 金屬格柵.md</x:v>
      </x:c>
    </x:row>
    <x:row r="223">
      <x:c r="A223" s="69" t="str">
        <x:v>ITEM00219</x:v>
      </x:c>
      <x:c r="B223" s="69" t="str">
        <x:v>SRC017</x:v>
      </x:c>
      <x:c r="C223" s="69" t="str">
        <x:v>2023-2024</x:v>
      </x:c>
      <x:c r="D223" s="69" t="str">
        <x:v>line_item</x:v>
      </x:c>
      <x:c r="E223" s="69" t="str">
        <x:v>MD2023_2024_016-T01R004</x:v>
      </x:c>
      <x:c r="F223" s="71" t="str">
        <x:v>鋁格柵</x:v>
      </x:c>
      <x:c r="G223" s="71" t="str">
        <x:v>鋁格柵</x:v>
      </x:c>
      <x:c r="H223" s="71" t="str">
        <x:v>19.72</x:v>
      </x:c>
      <x:c r="I223" s="72" t="n">
        <x:v>19.72</x:v>
      </x:c>
      <x:c r="J223" s="69" t="str">
        <x:v>19.72</x:v>
      </x:c>
      <x:c r="K223" s="70"/>
      <x:c r="L223" s="69" t="str">
        <x:v>文件未載明</x:v>
      </x:c>
      <x:c r="M223" s="70" t="n">
        <x:v>102266</x:v>
      </x:c>
      <x:c r="N223" s="69" t="str">
        <x:v>102,266</x:v>
      </x:c>
      <x:c r="O223" s="71" t="str">
        <x:v>來源表頭對應</x:v>
      </x:c>
      <x:c r="P223" s="71" t="str">
        <x:v>HTML表格1／列4</x:v>
      </x:c>
      <x:c r="Q223" s="71" t="str">
        <x:v>2 | 鋁格柵 | 116 | 1700 | 粉體塗裝(待決) | 19.72 | 1 | 102,266 | 102,266 |</x:v>
      </x:c>
      <x:c r="R223" s="71" t="str">
        <x:v>各廠商合約&amp; 報價\MD檔案\20240726 塑豐 金屬格柵.md</x:v>
      </x:c>
    </x:row>
    <x:row r="224">
      <x:c r="A224" s="69" t="str">
        <x:v>ITEM00220</x:v>
      </x:c>
      <x:c r="B224" s="69" t="str">
        <x:v>SRC017</x:v>
      </x:c>
      <x:c r="C224" s="69" t="str">
        <x:v>2023-2024</x:v>
      </x:c>
      <x:c r="D224" s="69" t="str">
        <x:v>line_item</x:v>
      </x:c>
      <x:c r="E224" s="69" t="str">
        <x:v>MD2023_2024_016-T01R005</x:v>
      </x:c>
      <x:c r="F224" s="71" t="str">
        <x:v>鋁格柵</x:v>
      </x:c>
      <x:c r="G224" s="71" t="str">
        <x:v>鋁格柵</x:v>
      </x:c>
      <x:c r="H224" s="71" t="str">
        <x:v>23.722</x:v>
      </x:c>
      <x:c r="I224" s="72"/>
      <x:c r="J224" s="69" t="str">
        <x:v>23.722</x:v>
      </x:c>
      <x:c r="K224" s="70"/>
      <x:c r="L224" s="69" t="str">
        <x:v>文件未載明</x:v>
      </x:c>
      <x:c r="M224" s="70" t="n">
        <x:v>119609</x:v>
      </x:c>
      <x:c r="N224" s="69" t="str">
        <x:v>119,609</x:v>
      </x:c>
      <x:c r="O224" s="71" t="str">
        <x:v>來源表頭對應</x:v>
      </x:c>
      <x:c r="P224" s="71" t="str">
        <x:v>HTML表格1／列5</x:v>
      </x:c>
      <x:c r="Q224" s="71" t="str">
        <x:v>3 | 鋁格柵 | 116 | 2045 | 粉體塗裝(待決) | 23.722 | 1 | 119,609 | 119,609 |</x:v>
      </x:c>
      <x:c r="R224" s="71" t="str">
        <x:v>各廠商合約&amp; 報價\MD檔案\20240726 塑豐 金屬格柵.md</x:v>
      </x:c>
    </x:row>
    <x:row r="225">
      <x:c r="A225" s="69" t="str">
        <x:v>ITEM00221</x:v>
      </x:c>
      <x:c r="B225" s="69" t="str">
        <x:v>SRC017</x:v>
      </x:c>
      <x:c r="C225" s="69" t="str">
        <x:v>2023-2024</x:v>
      </x:c>
      <x:c r="D225" s="69" t="str">
        <x:v>note_or_description</x:v>
      </x:c>
      <x:c r="E225" s="69" t="str">
        <x:v>MD2023_2024_016-T01R006</x:v>
      </x:c>
      <x:c r="F225" s="71" t="str">
        <x:v>以下空白</x:v>
      </x:c>
      <x:c r="G225" s="71" t="str">
        <x:v>以下空白</x:v>
      </x:c>
      <x:c r="H225" s="71" t="str"/>
      <x:c r="I225" s="72"/>
      <x:c r="J225" s="69" t="str"/>
      <x:c r="K225" s="70"/>
      <x:c r="L225" s="69" t="str">
        <x:v>文件未載明</x:v>
      </x:c>
      <x:c r="M225" s="70"/>
      <x:c r="N225" s="69" t="str">
        <x:v>-</x:v>
      </x:c>
      <x:c r="O225" s="71" t="str">
        <x:v>來源表頭對應</x:v>
      </x:c>
      <x:c r="P225" s="71" t="str">
        <x:v>HTML表格1／列6</x:v>
      </x:c>
      <x:c r="Q225" s="71" t="str">
        <x:v>| 以下空白 | 以下空白 | | | | | - | - |</x:v>
      </x:c>
      <x:c r="R225" s="71" t="str">
        <x:v>各廠商合約&amp; 報價\MD檔案\20240726 塑豐 金屬格柵.md</x:v>
      </x:c>
    </x:row>
    <x:row r="226">
      <x:c r="A226" s="69" t="str">
        <x:v>ITEM00222</x:v>
      </x:c>
      <x:c r="B226" s="69" t="str">
        <x:v>SRC017</x:v>
      </x:c>
      <x:c r="C226" s="69" t="str">
        <x:v>2023-2024</x:v>
      </x:c>
      <x:c r="D226" s="69" t="str">
        <x:v>total_or_tax</x:v>
      </x:c>
      <x:c r="E226" s="69" t="str">
        <x:v>MD2023_2024_016-T01R007</x:v>
      </x:c>
      <x:c r="F226" s="71" t="str">
        <x:v>小計</x:v>
      </x:c>
      <x:c r="G226" s="71" t="str">
        <x:v>小計</x:v>
      </x:c>
      <x:c r="H226" s="71" t="str">
        <x:v>43.442</x:v>
      </x:c>
      <x:c r="I226" s="72"/>
      <x:c r="J226" s="69" t="str">
        <x:v>43.442</x:v>
      </x:c>
      <x:c r="K226" s="70"/>
      <x:c r="L226" s="69" t="str">
        <x:v>文件未載明</x:v>
      </x:c>
      <x:c r="M226" s="70" t="n">
        <x:v>573678</x:v>
      </x:c>
      <x:c r="N226" s="69" t="str">
        <x:v>573,678</x:v>
      </x:c>
      <x:c r="O226" s="71" t="str">
        <x:v>來源表頭對應</x:v>
      </x:c>
      <x:c r="P226" s="71" t="str">
        <x:v>HTML表格1／列7</x:v>
      </x:c>
      <x:c r="Q226" s="71" t="str">
        <x:v>小計 | 小計 | 小計 | 小計 | | 43.442 | 3 | | 573,678 |</x:v>
      </x:c>
      <x:c r="R226" s="71" t="str">
        <x:v>各廠商合約&amp; 報價\MD檔案\20240726 塑豐 金屬格柵.md</x:v>
      </x:c>
    </x:row>
    <x:row r="227">
      <x:c r="A227" s="69" t="str">
        <x:v>ITEM00223</x:v>
      </x:c>
      <x:c r="B227" s="69" t="str">
        <x:v>SRC017</x:v>
      </x:c>
      <x:c r="C227" s="69" t="str">
        <x:v>2023-2024</x:v>
      </x:c>
      <x:c r="D227" s="69" t="str">
        <x:v>line_item</x:v>
      </x:c>
      <x:c r="E227" s="69" t="str">
        <x:v>MD2023_2024_016-T02R004</x:v>
      </x:c>
      <x:c r="F227" s="71" t="str">
        <x:v>1</x:v>
      </x:c>
      <x:c r="G227" s="71" t="str">
        <x:v>鋁格柵</x:v>
      </x:c>
      <x:c r="H227" s="71" t="str">
        <x:v>19.72</x:v>
      </x:c>
      <x:c r="I227" s="72" t="n">
        <x:v>19.72</x:v>
      </x:c>
      <x:c r="J227" s="69" t="str">
        <x:v>19.72</x:v>
      </x:c>
      <x:c r="K227" s="70"/>
      <x:c r="L227" s="69" t="str">
        <x:v>文件未載明</x:v>
      </x:c>
      <x:c r="M227" s="70" t="n">
        <x:v>102266</x:v>
      </x:c>
      <x:c r="N227" s="69" t="str">
        <x:v>102,266</x:v>
      </x:c>
      <x:c r="O227" s="71" t="str">
        <x:v>來源表頭對應</x:v>
      </x:c>
      <x:c r="P227" s="71" t="str">
        <x:v>HTML表格2／列4</x:v>
      </x:c>
      <x:c r="Q227" s="71" t="str">
        <x:v>1 | 鋁格柵 | 116 | 1700 | 粉體塗裝(待決) | 19.72 | 1 | 102,266 | 102,266 |</x:v>
      </x:c>
      <x:c r="R227" s="71" t="str">
        <x:v>各廠商合約&amp; 報價\MD檔案\20240726 塑豐 金屬格柵.md</x:v>
      </x:c>
    </x:row>
    <x:row r="228">
      <x:c r="A228" s="69" t="str">
        <x:v>ITEM00224</x:v>
      </x:c>
      <x:c r="B228" s="69" t="str">
        <x:v>SRC017</x:v>
      </x:c>
      <x:c r="C228" s="69" t="str">
        <x:v>2023-2024</x:v>
      </x:c>
      <x:c r="D228" s="69" t="str">
        <x:v>line_item</x:v>
      </x:c>
      <x:c r="E228" s="69" t="str">
        <x:v>MD2023_2024_016-T02R005</x:v>
      </x:c>
      <x:c r="F228" s="71" t="str">
        <x:v>2</x:v>
      </x:c>
      <x:c r="G228" s="71" t="str">
        <x:v>鋁格柵</x:v>
      </x:c>
      <x:c r="H228" s="71" t="str">
        <x:v>23.722</x:v>
      </x:c>
      <x:c r="I228" s="72"/>
      <x:c r="J228" s="69" t="str">
        <x:v>23.722</x:v>
      </x:c>
      <x:c r="K228" s="70"/>
      <x:c r="L228" s="69" t="str">
        <x:v>文件未載明</x:v>
      </x:c>
      <x:c r="M228" s="70" t="n">
        <x:v>358827</x:v>
      </x:c>
      <x:c r="N228" s="69" t="str">
        <x:v>358,827</x:v>
      </x:c>
      <x:c r="O228" s="71" t="str">
        <x:v>來源表頭對應</x:v>
      </x:c>
      <x:c r="P228" s="71" t="str">
        <x:v>HTML表格2／列5</x:v>
      </x:c>
      <x:c r="Q228" s="71" t="str">
        <x:v>2 | 鋁格柵 | 116 | 2045 | 粉體塗裝(待決) | 23.722 | 3 | 119,609 | 358,827 |</x:v>
      </x:c>
      <x:c r="R228" s="71" t="str">
        <x:v>各廠商合約&amp; 報價\MD檔案\20240726 塑豐 金屬格柵.md</x:v>
      </x:c>
    </x:row>
    <x:row r="229">
      <x:c r="A229" s="69" t="str">
        <x:v>ITEM00225</x:v>
      </x:c>
      <x:c r="B229" s="69" t="str">
        <x:v>SRC017</x:v>
      </x:c>
      <x:c r="C229" s="69" t="str">
        <x:v>2023-2024</x:v>
      </x:c>
      <x:c r="D229" s="69" t="str">
        <x:v>note_or_description</x:v>
      </x:c>
      <x:c r="E229" s="69" t="str">
        <x:v>MD2023_2024_016-T02R006</x:v>
      </x:c>
      <x:c r="F229" s="71" t="str">
        <x:v>文件未載明</x:v>
      </x:c>
      <x:c r="G229" s="71" t="str">
        <x:v>以下空白</x:v>
      </x:c>
      <x:c r="H229" s="71" t="str"/>
      <x:c r="I229" s="72"/>
      <x:c r="J229" s="69" t="str"/>
      <x:c r="K229" s="70"/>
      <x:c r="L229" s="69" t="str">
        <x:v>文件未載明</x:v>
      </x:c>
      <x:c r="M229" s="70"/>
      <x:c r="N229" s="69" t="str">
        <x:v>-</x:v>
      </x:c>
      <x:c r="O229" s="71" t="str">
        <x:v>來源表頭對應</x:v>
      </x:c>
      <x:c r="P229" s="71" t="str">
        <x:v>HTML表格2／列6</x:v>
      </x:c>
      <x:c r="Q229" s="71" t="str">
        <x:v>| 以下空白 | 以下空白 | | | | | - | - |</x:v>
      </x:c>
      <x:c r="R229" s="71" t="str">
        <x:v>各廠商合約&amp; 報價\MD檔案\20240726 塑豐 金屬格柵.md</x:v>
      </x:c>
    </x:row>
    <x:row r="230">
      <x:c r="A230" s="69" t="str">
        <x:v>ITEM00226</x:v>
      </x:c>
      <x:c r="B230" s="69" t="str">
        <x:v>SRC017</x:v>
      </x:c>
      <x:c r="C230" s="69" t="str">
        <x:v>2023-2024</x:v>
      </x:c>
      <x:c r="D230" s="69" t="str">
        <x:v>total_or_tax</x:v>
      </x:c>
      <x:c r="E230" s="69" t="str">
        <x:v>MD2023_2024_016-T02R007</x:v>
      </x:c>
      <x:c r="F230" s="71" t="str">
        <x:v>小計</x:v>
      </x:c>
      <x:c r="G230" s="71" t="str">
        <x:v>小計</x:v>
      </x:c>
      <x:c r="H230" s="71" t="str">
        <x:v>43.442</x:v>
      </x:c>
      <x:c r="I230" s="72"/>
      <x:c r="J230" s="69" t="str">
        <x:v>43.442</x:v>
      </x:c>
      <x:c r="K230" s="70"/>
      <x:c r="L230" s="69" t="str">
        <x:v>文件未載明</x:v>
      </x:c>
      <x:c r="M230" s="70" t="n">
        <x:v>461093</x:v>
      </x:c>
      <x:c r="N230" s="69" t="str">
        <x:v>461,093</x:v>
      </x:c>
      <x:c r="O230" s="71" t="str">
        <x:v>來源表頭對應</x:v>
      </x:c>
      <x:c r="P230" s="71" t="str">
        <x:v>HTML表格2／列7</x:v>
      </x:c>
      <x:c r="Q230" s="71" t="str">
        <x:v>小計 | 小計 | 小計 | 小計 | | 43.442 | 4 | | 461,093 |</x:v>
      </x:c>
      <x:c r="R230" s="71" t="str">
        <x:v>各廠商合約&amp; 報價\MD檔案\20240726 塑豐 金屬格柵.md</x:v>
      </x:c>
    </x:row>
    <x:row r="231">
      <x:c r="A231" s="69" t="str">
        <x:v>ITEM00227</x:v>
      </x:c>
      <x:c r="B231" s="69" t="str">
        <x:v>SRC018</x:v>
      </x:c>
      <x:c r="C231" s="69" t="str">
        <x:v>2023-2024</x:v>
      </x:c>
      <x:c r="D231" s="69" t="str">
        <x:v>line_item</x:v>
      </x:c>
      <x:c r="E231" s="69" t="str">
        <x:v>MD2023_2024_017-T01R002</x:v>
      </x:c>
      <x:c r="F231" s="71" t="str">
        <x:v>GR-1004</x:v>
      </x:c>
      <x:c r="G231" s="71" t="str">
        <x:v>10*10</x:v>
      </x:c>
      <x:c r="H231" s="71" t="str">
        <x:v>片</x:v>
      </x:c>
      <x:c r="I231" s="72"/>
      <x:c r="J231" s="69" t="str">
        <x:v>文件未載明</x:v>
      </x:c>
      <x:c r="K231" s="70" t="n">
        <x:v>6.5</x:v>
      </x:c>
      <x:c r="L231" s="69" t="str">
        <x:v>$6.5</x:v>
      </x:c>
      <x:c r="M231" s="70"/>
      <x:c r="N231" s="69" t="str">
        <x:v>文件未載明</x:v>
      </x:c>
      <x:c r="O231" s="71" t="str">
        <x:v>來源表頭對應</x:v>
      </x:c>
      <x:c r="P231" s="71" t="str">
        <x:v>HTML表格1／列2</x:v>
      </x:c>
      <x:c r="Q231" s="71" t="str">
        <x:v>1 | GR-1004 | 10*10 | 片 | $6.5 | 厚度1.0cm</x:v>
      </x:c>
      <x:c r="R231" s="71" t="str">
        <x:v>各廠商合約&amp; 報價\MD檔案\20240730 國璽寶 車道磚.md</x:v>
      </x:c>
    </x:row>
    <x:row r="232">
      <x:c r="A232" s="69" t="str">
        <x:v>ITEM00228</x:v>
      </x:c>
      <x:c r="B232" s="69" t="str">
        <x:v>SRC018</x:v>
      </x:c>
      <x:c r="C232" s="69" t="str">
        <x:v>2023-2024</x:v>
      </x:c>
      <x:c r="D232" s="69" t="str">
        <x:v>line_item</x:v>
      </x:c>
      <x:c r="E232" s="69" t="str">
        <x:v>MD2023_2024_017-T01R003</x:v>
      </x:c>
      <x:c r="F232" s="71" t="str">
        <x:v>GR-1007</x:v>
      </x:c>
      <x:c r="G232" s="71" t="str">
        <x:v>10*10</x:v>
      </x:c>
      <x:c r="H232" s="71" t="str">
        <x:v>片</x:v>
      </x:c>
      <x:c r="I232" s="72"/>
      <x:c r="J232" s="69" t="str">
        <x:v>文件未載明</x:v>
      </x:c>
      <x:c r="K232" s="70" t="n">
        <x:v>6.5</x:v>
      </x:c>
      <x:c r="L232" s="69" t="str">
        <x:v>$6.5</x:v>
      </x:c>
      <x:c r="M232" s="70"/>
      <x:c r="N232" s="69" t="str">
        <x:v>文件未載明</x:v>
      </x:c>
      <x:c r="O232" s="71" t="str">
        <x:v>來源表頭對應</x:v>
      </x:c>
      <x:c r="P232" s="71" t="str">
        <x:v>HTML表格1／列3</x:v>
      </x:c>
      <x:c r="Q232" s="71" t="str">
        <x:v>2 | GR-1007 | 10*10 | 片 | $6.5 | 厚度1.0cm</x:v>
      </x:c>
      <x:c r="R232" s="71" t="str">
        <x:v>各廠商合約&amp; 報價\MD檔案\20240730 國璽寶 車道磚.md</x:v>
      </x:c>
    </x:row>
    <x:row r="233">
      <x:c r="A233" s="69" t="str">
        <x:v>ITEM00229</x:v>
      </x:c>
      <x:c r="B233" s="69" t="str">
        <x:v>SRC018</x:v>
      </x:c>
      <x:c r="C233" s="69" t="str">
        <x:v>2023-2024</x:v>
      </x:c>
      <x:c r="D233" s="69" t="str">
        <x:v>line_item</x:v>
      </x:c>
      <x:c r="E233" s="69" t="str">
        <x:v>MD2023_2024_017-T01R004</x:v>
      </x:c>
      <x:c r="F233" s="71" t="str">
        <x:v>文件未載明</x:v>
      </x:c>
      <x:c r="G233" s="71" t="str"/>
      <x:c r="H233" s="71" t="str"/>
      <x:c r="I233" s="72"/>
      <x:c r="J233" s="69" t="str">
        <x:v>文件未載明</x:v>
      </x:c>
      <x:c r="K233" s="70"/>
      <x:c r="L233" s="69" t="str"/>
      <x:c r="M233" s="70"/>
      <x:c r="N233" s="69" t="str">
        <x:v>文件未載明</x:v>
      </x:c>
      <x:c r="O233" s="71" t="str">
        <x:v>來源表頭對應</x:v>
      </x:c>
      <x:c r="P233" s="71" t="str">
        <x:v>HTML表格1／列4</x:v>
      </x:c>
      <x:c r="Q233" s="71" t="str">
        <x:v>3 | | | | |</x:v>
      </x:c>
      <x:c r="R233" s="71" t="str">
        <x:v>各廠商合約&amp; 報價\MD檔案\20240730 國璽寶 車道磚.md</x:v>
      </x:c>
    </x:row>
    <x:row r="234">
      <x:c r="A234" s="69" t="str">
        <x:v>ITEM00230</x:v>
      </x:c>
      <x:c r="B234" s="69" t="str">
        <x:v>SRC018</x:v>
      </x:c>
      <x:c r="C234" s="69" t="str">
        <x:v>2023-2024</x:v>
      </x:c>
      <x:c r="D234" s="69" t="str">
        <x:v>line_item</x:v>
      </x:c>
      <x:c r="E234" s="69" t="str">
        <x:v>MD2023_2024_017-T01R005</x:v>
      </x:c>
      <x:c r="F234" s="71" t="str">
        <x:v>文件未載明</x:v>
      </x:c>
      <x:c r="G234" s="71" t="str"/>
      <x:c r="H234" s="71" t="str"/>
      <x:c r="I234" s="72"/>
      <x:c r="J234" s="69" t="str">
        <x:v>文件未載明</x:v>
      </x:c>
      <x:c r="K234" s="70"/>
      <x:c r="L234" s="69" t="str"/>
      <x:c r="M234" s="70"/>
      <x:c r="N234" s="69" t="str">
        <x:v>文件未載明</x:v>
      </x:c>
      <x:c r="O234" s="71" t="str">
        <x:v>來源表頭對應</x:v>
      </x:c>
      <x:c r="P234" s="71" t="str">
        <x:v>HTML表格1／列5</x:v>
      </x:c>
      <x:c r="Q234" s="71" t="str">
        <x:v>4 | | | | |</x:v>
      </x:c>
      <x:c r="R234" s="71" t="str">
        <x:v>各廠商合約&amp; 報價\MD檔案\20240730 國璽寶 車道磚.md</x:v>
      </x:c>
    </x:row>
    <x:row r="235">
      <x:c r="A235" s="69" t="str">
        <x:v>ITEM00231</x:v>
      </x:c>
      <x:c r="B235" s="69" t="str">
        <x:v>SRC018</x:v>
      </x:c>
      <x:c r="C235" s="69" t="str">
        <x:v>2023-2024</x:v>
      </x:c>
      <x:c r="D235" s="69" t="str">
        <x:v>line_item</x:v>
      </x:c>
      <x:c r="E235" s="69" t="str">
        <x:v>MD2023_2024_017-T01R006</x:v>
      </x:c>
      <x:c r="F235" s="71" t="str">
        <x:v>文件未載明</x:v>
      </x:c>
      <x:c r="G235" s="71" t="str"/>
      <x:c r="H235" s="71" t="str"/>
      <x:c r="I235" s="72"/>
      <x:c r="J235" s="69" t="str">
        <x:v>文件未載明</x:v>
      </x:c>
      <x:c r="K235" s="70"/>
      <x:c r="L235" s="69" t="str"/>
      <x:c r="M235" s="70"/>
      <x:c r="N235" s="69" t="str">
        <x:v>文件未載明</x:v>
      </x:c>
      <x:c r="O235" s="71" t="str">
        <x:v>來源表頭對應</x:v>
      </x:c>
      <x:c r="P235" s="71" t="str">
        <x:v>HTML表格1／列6</x:v>
      </x:c>
      <x:c r="Q235" s="71" t="str">
        <x:v>5 | | | | |</x:v>
      </x:c>
      <x:c r="R235" s="71" t="str">
        <x:v>各廠商合約&amp; 報價\MD檔案\20240730 國璽寶 車道磚.md</x:v>
      </x:c>
    </x:row>
    <x:row r="236">
      <x:c r="A236" s="69" t="str">
        <x:v>ITEM00232</x:v>
      </x:c>
      <x:c r="B236" s="69" t="str">
        <x:v>SRC018</x:v>
      </x:c>
      <x:c r="C236" s="69" t="str">
        <x:v>2023-2024</x:v>
      </x:c>
      <x:c r="D236" s="69" t="str">
        <x:v>line_item</x:v>
      </x:c>
      <x:c r="E236" s="69" t="str">
        <x:v>MD2023_2024_017-T01R007</x:v>
      </x:c>
      <x:c r="F236" s="71" t="str">
        <x:v>文件未載明</x:v>
      </x:c>
      <x:c r="G236" s="71" t="str"/>
      <x:c r="H236" s="71" t="str"/>
      <x:c r="I236" s="72"/>
      <x:c r="J236" s="69" t="str">
        <x:v>文件未載明</x:v>
      </x:c>
      <x:c r="K236" s="70"/>
      <x:c r="L236" s="69" t="str"/>
      <x:c r="M236" s="70"/>
      <x:c r="N236" s="69" t="str">
        <x:v>文件未載明</x:v>
      </x:c>
      <x:c r="O236" s="71" t="str">
        <x:v>來源表頭對應</x:v>
      </x:c>
      <x:c r="P236" s="71" t="str">
        <x:v>HTML表格1／列7</x:v>
      </x:c>
      <x:c r="Q236" s="71" t="str">
        <x:v>6 | | | | |</x:v>
      </x:c>
      <x:c r="R236" s="71" t="str">
        <x:v>各廠商合約&amp; 報價\MD檔案\20240730 國璽寶 車道磚.md</x:v>
      </x:c>
    </x:row>
    <x:row r="237">
      <x:c r="A237" s="69" t="str">
        <x:v>ITEM00233</x:v>
      </x:c>
      <x:c r="B237" s="69" t="str">
        <x:v>SRC018</x:v>
      </x:c>
      <x:c r="C237" s="69" t="str">
        <x:v>2023-2024</x:v>
      </x:c>
      <x:c r="D237" s="69" t="str">
        <x:v>line_item</x:v>
      </x:c>
      <x:c r="E237" s="69" t="str">
        <x:v>MD2023_2024_017-T01R008</x:v>
      </x:c>
      <x:c r="F237" s="71" t="str">
        <x:v>文件未載明</x:v>
      </x:c>
      <x:c r="G237" s="71" t="str"/>
      <x:c r="H237" s="71" t="str"/>
      <x:c r="I237" s="72"/>
      <x:c r="J237" s="69" t="str">
        <x:v>文件未載明</x:v>
      </x:c>
      <x:c r="K237" s="70"/>
      <x:c r="L237" s="69" t="str"/>
      <x:c r="M237" s="70"/>
      <x:c r="N237" s="69" t="str">
        <x:v>文件未載明</x:v>
      </x:c>
      <x:c r="O237" s="71" t="str">
        <x:v>來源表頭對應</x:v>
      </x:c>
      <x:c r="P237" s="71" t="str">
        <x:v>HTML表格1／列8</x:v>
      </x:c>
      <x:c r="Q237" s="71" t="str">
        <x:v>7 | | | | |</x:v>
      </x:c>
      <x:c r="R237" s="71" t="str">
        <x:v>各廠商合約&amp; 報價\MD檔案\20240730 國璽寶 車道磚.md</x:v>
      </x:c>
    </x:row>
    <x:row r="238">
      <x:c r="A238" s="69" t="str">
        <x:v>ITEM00234</x:v>
      </x:c>
      <x:c r="B238" s="69" t="str">
        <x:v>SRC018</x:v>
      </x:c>
      <x:c r="C238" s="69" t="str">
        <x:v>2023-2024</x:v>
      </x:c>
      <x:c r="D238" s="69" t="str">
        <x:v>line_item</x:v>
      </x:c>
      <x:c r="E238" s="69" t="str">
        <x:v>MD2023_2024_017-T01R009</x:v>
      </x:c>
      <x:c r="F238" s="71" t="str">
        <x:v>文件未載明</x:v>
      </x:c>
      <x:c r="G238" s="71" t="str"/>
      <x:c r="H238" s="71" t="str"/>
      <x:c r="I238" s="72"/>
      <x:c r="J238" s="69" t="str">
        <x:v>文件未載明</x:v>
      </x:c>
      <x:c r="K238" s="70"/>
      <x:c r="L238" s="69" t="str"/>
      <x:c r="M238" s="70"/>
      <x:c r="N238" s="69" t="str">
        <x:v>文件未載明</x:v>
      </x:c>
      <x:c r="O238" s="71" t="str">
        <x:v>來源表頭對應</x:v>
      </x:c>
      <x:c r="P238" s="71" t="str">
        <x:v>HTML表格1／列9</x:v>
      </x:c>
      <x:c r="Q238" s="71" t="str">
        <x:v>8 | | | | |</x:v>
      </x:c>
      <x:c r="R238" s="71" t="str">
        <x:v>各廠商合約&amp; 報價\MD檔案\20240730 國璽寶 車道磚.md</x:v>
      </x:c>
    </x:row>
    <x:row r="239">
      <x:c r="A239" s="69" t="str">
        <x:v>ITEM00235</x:v>
      </x:c>
      <x:c r="B239" s="69" t="str">
        <x:v>SRC018</x:v>
      </x:c>
      <x:c r="C239" s="69" t="str">
        <x:v>2023-2024</x:v>
      </x:c>
      <x:c r="D239" s="69" t="str">
        <x:v>line_item</x:v>
      </x:c>
      <x:c r="E239" s="69" t="str">
        <x:v>MD2023_2024_017-T01R010</x:v>
      </x:c>
      <x:c r="F239" s="71" t="str">
        <x:v>文件未載明</x:v>
      </x:c>
      <x:c r="G239" s="71" t="str"/>
      <x:c r="H239" s="71" t="str"/>
      <x:c r="I239" s="72"/>
      <x:c r="J239" s="69" t="str">
        <x:v>文件未載明</x:v>
      </x:c>
      <x:c r="K239" s="70"/>
      <x:c r="L239" s="69" t="str"/>
      <x:c r="M239" s="70"/>
      <x:c r="N239" s="69" t="str">
        <x:v>文件未載明</x:v>
      </x:c>
      <x:c r="O239" s="71" t="str">
        <x:v>來源表頭對應</x:v>
      </x:c>
      <x:c r="P239" s="71" t="str">
        <x:v>HTML表格1／列10</x:v>
      </x:c>
      <x:c r="Q239" s="71" t="str">
        <x:v>9 | | | | |</x:v>
      </x:c>
      <x:c r="R239" s="71" t="str">
        <x:v>各廠商合約&amp; 報價\MD檔案\20240730 國璽寶 車道磚.md</x:v>
      </x:c>
    </x:row>
    <x:row r="240">
      <x:c r="A240" s="69" t="str">
        <x:v>ITEM00236</x:v>
      </x:c>
      <x:c r="B240" s="69" t="str">
        <x:v>SRC018</x:v>
      </x:c>
      <x:c r="C240" s="69" t="str">
        <x:v>2023-2024</x:v>
      </x:c>
      <x:c r="D240" s="69" t="str">
        <x:v>line_item</x:v>
      </x:c>
      <x:c r="E240" s="69" t="str">
        <x:v>MD2023_2024_017-T01R011</x:v>
      </x:c>
      <x:c r="F240" s="71" t="str">
        <x:v>文件未載明</x:v>
      </x:c>
      <x:c r="G240" s="71" t="str"/>
      <x:c r="H240" s="71" t="str"/>
      <x:c r="I240" s="72"/>
      <x:c r="J240" s="69" t="str">
        <x:v>文件未載明</x:v>
      </x:c>
      <x:c r="K240" s="70"/>
      <x:c r="L240" s="69" t="str"/>
      <x:c r="M240" s="70"/>
      <x:c r="N240" s="69" t="str">
        <x:v>文件未載明</x:v>
      </x:c>
      <x:c r="O240" s="71" t="str">
        <x:v>來源表頭對應</x:v>
      </x:c>
      <x:c r="P240" s="71" t="str">
        <x:v>HTML表格1／列11</x:v>
      </x:c>
      <x:c r="Q240" s="71" t="str">
        <x:v>10 | | | | |</x:v>
      </x:c>
      <x:c r="R240" s="71" t="str">
        <x:v>各廠商合約&amp; 報價\MD檔案\20240730 國璽寶 車道磚.md</x:v>
      </x:c>
    </x:row>
    <x:row r="241">
      <x:c r="A241" s="69" t="str">
        <x:v>ITEM00237</x:v>
      </x:c>
      <x:c r="B241" s="69" t="str">
        <x:v>SRC018</x:v>
      </x:c>
      <x:c r="C241" s="69" t="str">
        <x:v>2023-2024</x:v>
      </x:c>
      <x:c r="D241" s="69" t="str">
        <x:v>total_or_tax</x:v>
      </x:c>
      <x:c r="E241" s="69" t="str">
        <x:v>MD2023_2024_017-T01R012</x:v>
      </x:c>
      <x:c r="F241" s="71" t="str">
        <x:v>(1)以上報價均不含5%營業稅 (2)電匯 (3)本報價單有效期間自即日起至113年08月30日 (4)庫存品.二丁掛.異形磚.拆箱.車道磚不退貨 (5)以上報價若無誤 本報價單視同合約草書煩請用印回傳 謝謝! 報價單 客戶確認用印</x:v>
      </x:c>
      <x:c r="G241" s="71" t="str">
        <x:v>(1)以上報價均不含5%營業稅 (2)電匯 (3)本報價單有效期間自即日起至113年08月30日 (4)庫存品.二丁掛.異形磚.拆箱.車道磚不退貨 (5)以上報價若無誤 本報價單視同合約草書煩請用印回傳 謝謝! 報價單 客戶確認用印</x:v>
      </x:c>
      <x:c r="H241" s="71" t="str">
        <x:v>(1)以上報價均不含5%營業稅 (2)電匯 (3)本報價單有效期間自即日起至113年08月30日 (4)庫存品.二丁掛.異形磚.拆箱.車道磚不退貨 (5)以上報價若無誤 本報價單視同合約草書煩請用印回傳 謝謝! 報價單 客戶確認用印</x:v>
      </x:c>
      <x:c r="I241" s="72"/>
      <x:c r="J241" s="69" t="str">
        <x:v>文件未載明</x:v>
      </x:c>
      <x:c r="K241" s="70"/>
      <x:c r="L241" s="69" t="str">
        <x:v>(1)以上報價均不含5%營業稅 (2)電匯 (3)本報價單有效期間自即日起至113年08月30日 (4)庫存品.二丁掛.異形磚.拆箱.車道磚不退貨 (5)以上報價若無誤 本報價單視同合約草書煩請用印回傳 謝謝! 報價單 客戶確認用印</x:v>
      </x:c>
      <x:c r="M241" s="70"/>
      <x:c r="N241" s="69" t="str">
        <x:v>文件未載明</x:v>
      </x:c>
      <x:c r="O241" s="71" t="str">
        <x:v>來源表頭對應</x:v>
      </x:c>
      <x:c r="P241" s="71" t="str">
        <x:v>HTML表格1／列12</x:v>
      </x:c>
      <x:c r="Q241" s="71" t="str">
        <x:v>備註 | (1)以上報價均不含5%營業稅 (2)電匯 (3)本報價單有效期間自即日起至113年08月30日 (4)庫存品.二丁掛.異形磚.拆箱.車道磚不退貨 (5)以上報價若無誤 本報價單視同合約草書煩請用印回傳 謝謝! 報價單 客戶確認用印 | (1)以上報價均不含5%營業稅 (2)電匯 (3)本報價單有效期間自即日起至113年08月30日 (4)庫存品.二丁掛.異形磚.拆箱.車道磚不退貨 (5)以上報價若無誤 本報價單視同合約草書煩請用印回傳 謝謝! 報價單 客戶確認用印 | (1)以上報價均不含5%營業稅 (2)電匯 (3)本報價單有效期間自即日起至113年08月30日 (4)庫存品.二…（詳原文索引）</x:v>
      </x:c>
      <x:c r="R241" s="71" t="str">
        <x:v>各廠商合約&amp; 報價\MD檔案\20240730 國璽寶 車道磚.md</x:v>
      </x:c>
    </x:row>
    <x:row r="242">
      <x:c r="A242" s="69" t="str">
        <x:v>ITEM00238</x:v>
      </x:c>
      <x:c r="B242" s="69" t="str">
        <x:v>SRC018</x:v>
      </x:c>
      <x:c r="C242" s="69" t="str">
        <x:v>2023-2024</x:v>
      </x:c>
      <x:c r="D242" s="69" t="str">
        <x:v>note_or_description</x:v>
      </x:c>
      <x:c r="E242" s="69" t="str">
        <x:v>MD2023_2024_017-T01R013</x:v>
      </x:c>
      <x:c r="F242" s="71" t="str">
        <x:v>TEL: 037-473966 FAX: 037-462250 統編: 58004068 業務: 王澄婷 電話: 0932-183507 地址:苗栗縣竹南鎮維新路410號</x:v>
      </x:c>
      <x:c r="G242" s="71" t="str">
        <x:v>TEL: 037-473966 FAX: 037-462250 統編: 58004068 業務: 王澄婷 電話: 0932-183507 地址:苗栗縣竹南鎮維新路410號</x:v>
      </x:c>
      <x:c r="H242" s="71" t="str">
        <x:v>TEL: 037-473966 FAX: 037-462250 統編: 58004068 業務: 王澄婷 電話: 0932-183507 地址:苗栗縣竹南鎮維新路410號</x:v>
      </x:c>
      <x:c r="I242" s="72"/>
      <x:c r="J242" s="69" t="str">
        <x:v>文件未載明</x:v>
      </x:c>
      <x:c r="K242" s="70"/>
      <x:c r="L242" s="69" t="str">
        <x:v>TEL: 037-473966 FAX: 037-462250 統編: 58004068 業務: 王澄婷 電話: 0932-183507 地址:苗栗縣竹南鎮維新路410號</x:v>
      </x:c>
      <x:c r="M242" s="70"/>
      <x:c r="N242" s="69" t="str">
        <x:v>文件未載明</x:v>
      </x:c>
      <x:c r="O242" s="71" t="str">
        <x:v>來源表頭對應</x:v>
      </x:c>
      <x:c r="P242" s="71" t="str">
        <x:v>HTML表格1／列13</x:v>
      </x:c>
      <x:c r="Q242" s="71" t="str">
        <x:v>TEL: 037-473966 FAX: 037-462250 統編: 58004068 業務: 王澄婷 電話: 0932-183507 地址:苗栗縣竹南鎮維新路410號 | TEL: 037-473966 FAX: 037-462250 統編: 58004068 業務: 王澄婷 電話: 0932-183507 地址:苗栗縣竹南鎮維新路410號 | TEL: 037-473966 FAX: 037-462250 統編: 58004068 業務: 王澄婷 電話: 0932-183507 地址:苗栗縣竹南鎮維新路410號 | TEL: 037-473966 FAX: 037-462250 統編: …（詳原文索引）</x:v>
      </x:c>
      <x:c r="R242" s="71" t="str">
        <x:v>各廠商合約&amp; 報價\MD檔案\20240730 國璽寶 車道磚.md</x:v>
      </x:c>
    </x:row>
    <x:row r="243">
      <x:c r="A243" s="69" t="str">
        <x:v>ITEM00239</x:v>
      </x:c>
      <x:c r="B243" s="69" t="str">
        <x:v>SRC019</x:v>
      </x:c>
      <x:c r="C243" s="69" t="str">
        <x:v>2023-2024</x:v>
      </x:c>
      <x:c r="D243" s="69" t="str">
        <x:v>note_or_description</x:v>
      </x:c>
      <x:c r="E243" s="69" t="str">
        <x:v>MD2023_2024_018-T01R002</x:v>
      </x:c>
      <x:c r="F243" s="71" t="str">
        <x:v>工程地址: 苗栗一後龍</x:v>
      </x:c>
      <x:c r="G243" s="71" t="str">
        <x:v>文件未載明</x:v>
      </x:c>
      <x:c r="H243" s="71" t="str">
        <x:v>文件未載明</x:v>
      </x:c>
      <x:c r="I243" s="72"/>
      <x:c r="J243" s="69" t="str">
        <x:v>文件未載明</x:v>
      </x:c>
      <x:c r="K243" s="70"/>
      <x:c r="L243" s="69" t="str">
        <x:v>文件未載明</x:v>
      </x:c>
      <x:c r="M243" s="70"/>
      <x:c r="N243" s="69" t="str">
        <x:v>文件未載明</x:v>
      </x:c>
      <x:c r="O243" s="71" t="str">
        <x:v>來源表頭對應</x:v>
      </x:c>
      <x:c r="P243" s="71" t="str">
        <x:v>HTML表格1／列2</x:v>
      </x:c>
      <x:c r="Q243" s="71" t="str">
        <x:v>工程地址: 苗栗一後龍 | 工程地址: 苗栗一後龍 | 工程地址: 苗栗一後龍 | 工程地址: 苗栗一後龍 | 工程地址: 苗栗一後龍 | 付款方式: | 付款方式: | 付款方式:</x:v>
      </x:c>
      <x:c r="R243" s="71" t="str">
        <x:v>各廠商合約&amp; 報價\MD檔案\20240730 錦祥工程行 _浴室天花板_.md</x:v>
      </x:c>
    </x:row>
    <x:row r="244">
      <x:c r="A244" s="69" t="str">
        <x:v>ITEM00240</x:v>
      </x:c>
      <x:c r="B244" s="69" t="str">
        <x:v>SRC019</x:v>
      </x:c>
      <x:c r="C244" s="69" t="str">
        <x:v>2023-2024</x:v>
      </x:c>
      <x:c r="D244" s="69" t="str">
        <x:v>note_or_description</x:v>
      </x:c>
      <x:c r="E244" s="69" t="str">
        <x:v>MD2023_2024_018-T01R003</x:v>
      </x:c>
      <x:c r="F244" s="71" t="str">
        <x:v>傳真:</x:v>
      </x:c>
      <x:c r="G244" s="71" t="str">
        <x:v>文件未載明</x:v>
      </x:c>
      <x:c r="H244" s="71" t="str">
        <x:v>文件未載明</x:v>
      </x:c>
      <x:c r="I244" s="72"/>
      <x:c r="J244" s="69" t="str">
        <x:v>文件未載明</x:v>
      </x:c>
      <x:c r="K244" s="70"/>
      <x:c r="L244" s="69" t="str">
        <x:v>文件未載明</x:v>
      </x:c>
      <x:c r="M244" s="70"/>
      <x:c r="N244" s="69" t="str">
        <x:v>文件未載明</x:v>
      </x:c>
      <x:c r="O244" s="71" t="str">
        <x:v>來源表頭對應</x:v>
      </x:c>
      <x:c r="P244" s="71" t="str">
        <x:v>HTML表格1／列3</x:v>
      </x:c>
      <x:c r="Q244" s="71" t="str">
        <x:v>傳真: | 傳真: | 統一編號: | 統一編號: | 統一編號: | 付款方式: | 付款方式: | 付款方式:</x:v>
      </x:c>
      <x:c r="R244" s="71" t="str">
        <x:v>各廠商合約&amp; 報價\MD檔案\20240730 錦祥工程行 _浴室天花板_.md</x:v>
      </x:c>
    </x:row>
    <x:row r="245">
      <x:c r="A245" s="69" t="str">
        <x:v>ITEM00241</x:v>
      </x:c>
      <x:c r="B245" s="69" t="str">
        <x:v>SRC019</x:v>
      </x:c>
      <x:c r="C245" s="69" t="str">
        <x:v>2023-2024</x:v>
      </x:c>
      <x:c r="D245" s="69" t="str">
        <x:v>note_or_description</x:v>
      </x:c>
      <x:c r="E245" s="69" t="str">
        <x:v>MD2023_2024_018-T01R004</x:v>
      </x:c>
      <x:c r="F245" s="71" t="str">
        <x:v>項次</x:v>
      </x:c>
      <x:c r="G245" s="71" t="str">
        <x:v>文件未載明</x:v>
      </x:c>
      <x:c r="H245" s="71" t="str">
        <x:v>文件未載明</x:v>
      </x:c>
      <x:c r="I245" s="72"/>
      <x:c r="J245" s="69" t="str">
        <x:v>文件未載明</x:v>
      </x:c>
      <x:c r="K245" s="70"/>
      <x:c r="L245" s="69" t="str">
        <x:v>文件未載明</x:v>
      </x:c>
      <x:c r="M245" s="70"/>
      <x:c r="N245" s="69" t="str">
        <x:v>文件未載明</x:v>
      </x:c>
      <x:c r="O245" s="71" t="str">
        <x:v>來源表頭對應</x:v>
      </x:c>
      <x:c r="P245" s="71" t="str">
        <x:v>HTML表格1／列4</x:v>
      </x:c>
      <x:c r="Q245" s="71" t="str">
        <x:v>項次 | 品名 | 品名 | 數量 | 單位 | 單價 | 總價 | 備註</x:v>
      </x:c>
      <x:c r="R245" s="71" t="str">
        <x:v>各廠商合約&amp; 報價\MD檔案\20240730 錦祥工程行 _浴室天花板_.md</x:v>
      </x:c>
    </x:row>
    <x:row r="246">
      <x:c r="A246" s="69" t="str">
        <x:v>ITEM00242</x:v>
      </x:c>
      <x:c r="B246" s="69" t="str">
        <x:v>SRC019</x:v>
      </x:c>
      <x:c r="C246" s="69" t="str">
        <x:v>2023-2024</x:v>
      </x:c>
      <x:c r="D246" s="69" t="str">
        <x:v>line_item</x:v>
      </x:c>
      <x:c r="E246" s="69" t="str">
        <x:v>MD2023_2024_018-T01R005</x:v>
      </x:c>
      <x:c r="F246" s="71" t="str">
        <x:v>文件未載明</x:v>
      </x:c>
      <x:c r="G246" s="71" t="str">
        <x:v>文件未載明</x:v>
      </x:c>
      <x:c r="H246" s="71" t="str">
        <x:v>文件未載明</x:v>
      </x:c>
      <x:c r="I246" s="72"/>
      <x:c r="J246" s="69" t="str">
        <x:v>文件未載明</x:v>
      </x:c>
      <x:c r="K246" s="70"/>
      <x:c r="L246" s="69" t="str">
        <x:v>文件未載明</x:v>
      </x:c>
      <x:c r="M246" s="70"/>
      <x:c r="N246" s="69" t="str">
        <x:v>文件未載明</x:v>
      </x:c>
      <x:c r="O246" s="71" t="str">
        <x:v>來源表頭對應</x:v>
      </x:c>
      <x:c r="P246" s="71" t="str">
        <x:v>HTML表格1／列5</x:v>
      </x:c>
      <x:c r="Q246" s="71" t="str">
        <x:v>| 6mm暗架矽酸鈣天花板一個維修孔一個抽風機孔 | 6mm暗架矽酸鈣天花板一個維修孔一個抽風機孔 | 22 | 間 | 5000 | 110000 | 不含油漆窗簾盒</x:v>
      </x:c>
      <x:c r="R246" s="71" t="str">
        <x:v>各廠商合約&amp; 報價\MD檔案\20240730 錦祥工程行 _浴室天花板_.md</x:v>
      </x:c>
    </x:row>
    <x:row r="247">
      <x:c r="A247" s="69" t="str">
        <x:v>ITEM00243</x:v>
      </x:c>
      <x:c r="B247" s="69" t="str">
        <x:v>SRC019</x:v>
      </x:c>
      <x:c r="C247" s="69" t="str">
        <x:v>2023-2024</x:v>
      </x:c>
      <x:c r="D247" s="69" t="str">
        <x:v>line_item</x:v>
      </x:c>
      <x:c r="E247" s="69" t="str">
        <x:v>MD2023_2024_018-T01R007</x:v>
      </x:c>
      <x:c r="F247" s="71" t="str">
        <x:v>文件未載明</x:v>
      </x:c>
      <x:c r="G247" s="71" t="str">
        <x:v>文件未載明</x:v>
      </x:c>
      <x:c r="H247" s="71" t="str">
        <x:v>文件未載明</x:v>
      </x:c>
      <x:c r="I247" s="72"/>
      <x:c r="J247" s="69" t="str">
        <x:v>文件未載明</x:v>
      </x:c>
      <x:c r="K247" s="70"/>
      <x:c r="L247" s="69" t="str">
        <x:v>文件未載明</x:v>
      </x:c>
      <x:c r="M247" s="70"/>
      <x:c r="N247" s="69" t="str">
        <x:v>文件未載明</x:v>
      </x:c>
      <x:c r="O247" s="71" t="str">
        <x:v>來源表頭對應</x:v>
      </x:c>
      <x:c r="P247" s="71" t="str">
        <x:v>HTML表格1／列7</x:v>
      </x:c>
      <x:c r="Q247" s="71" t="str">
        <x:v>| 材料搬運 | 材料搬運 | 2 | 工 | 2700 | 5400 |</x:v>
      </x:c>
      <x:c r="R247" s="71" t="str">
        <x:v>各廠商合約&amp; 報價\MD檔案\20240730 錦祥工程行 _浴室天花板_.md</x:v>
      </x:c>
    </x:row>
    <x:row r="248">
      <x:c r="A248" s="69" t="str">
        <x:v>ITEM00244</x:v>
      </x:c>
      <x:c r="B248" s="69" t="str">
        <x:v>SRC019</x:v>
      </x:c>
      <x:c r="C248" s="69" t="str">
        <x:v>2023-2024</x:v>
      </x:c>
      <x:c r="D248" s="69" t="str">
        <x:v>total_or_tax</x:v>
      </x:c>
      <x:c r="E248" s="69" t="str">
        <x:v>MD2023_2024_018-T01R020</x:v>
      </x:c>
      <x:c r="F248" s="71" t="str">
        <x:v>銷售金額合計</x:v>
      </x:c>
      <x:c r="G248" s="71" t="str">
        <x:v>文件未載明</x:v>
      </x:c>
      <x:c r="H248" s="71" t="str">
        <x:v>文件未載明</x:v>
      </x:c>
      <x:c r="I248" s="72"/>
      <x:c r="J248" s="69" t="str">
        <x:v>文件未載明</x:v>
      </x:c>
      <x:c r="K248" s="70"/>
      <x:c r="L248" s="69" t="str">
        <x:v>文件未載明</x:v>
      </x:c>
      <x:c r="M248" s="70"/>
      <x:c r="N248" s="69" t="str">
        <x:v>文件未載明</x:v>
      </x:c>
      <x:c r="O248" s="71" t="str">
        <x:v>來源表頭對應</x:v>
      </x:c>
      <x:c r="P248" s="71" t="str">
        <x:v>HTML表格1／列20</x:v>
      </x:c>
      <x:c r="Q248" s="71" t="str">
        <x:v>銷售金額合計 | 銷售金額合計 | 銷售金額合計 | 銷售金額合計 | 銷售金額合計 | 115400 | 115400 | 115400</x:v>
      </x:c>
      <x:c r="R248" s="71" t="str">
        <x:v>各廠商合約&amp; 報價\MD檔案\20240730 錦祥工程行 _浴室天花板_.md</x:v>
      </x:c>
    </x:row>
    <x:row r="249">
      <x:c r="A249" s="69" t="str">
        <x:v>ITEM00245</x:v>
      </x:c>
      <x:c r="B249" s="69" t="str">
        <x:v>SRC019</x:v>
      </x:c>
      <x:c r="C249" s="69" t="str">
        <x:v>2023-2024</x:v>
      </x:c>
      <x:c r="D249" s="69" t="str">
        <x:v>total_or_tax</x:v>
      </x:c>
      <x:c r="E249" s="69" t="str">
        <x:v>MD2023_2024_018-T01R021</x:v>
      </x:c>
      <x:c r="F249" s="71" t="str">
        <x:v>營業稅</x:v>
      </x:c>
      <x:c r="G249" s="71" t="str">
        <x:v>文件未載明</x:v>
      </x:c>
      <x:c r="H249" s="71" t="str">
        <x:v>文件未載明</x:v>
      </x:c>
      <x:c r="I249" s="72"/>
      <x:c r="J249" s="69" t="str">
        <x:v>文件未載明</x:v>
      </x:c>
      <x:c r="K249" s="70"/>
      <x:c r="L249" s="69" t="str">
        <x:v>文件未載明</x:v>
      </x:c>
      <x:c r="M249" s="70"/>
      <x:c r="N249" s="69" t="str">
        <x:v>文件未載明</x:v>
      </x:c>
      <x:c r="O249" s="71" t="str">
        <x:v>來源表頭對應</x:v>
      </x:c>
      <x:c r="P249" s="71" t="str">
        <x:v>HTML表格1／列21</x:v>
      </x:c>
      <x:c r="Q249" s="71" t="str">
        <x:v>營業稅 | 營業稅 | 含稅 未稅 | 含稅 未稅 | 含稅 未稅 | 5770 | 5770 | 5770</x:v>
      </x:c>
      <x:c r="R249" s="71" t="str">
        <x:v>各廠商合約&amp; 報價\MD檔案\20240730 錦祥工程行 _浴室天花板_.md</x:v>
      </x:c>
    </x:row>
    <x:row r="250">
      <x:c r="A250" s="69" t="str">
        <x:v>ITEM00246</x:v>
      </x:c>
      <x:c r="B250" s="69" t="str">
        <x:v>SRC019</x:v>
      </x:c>
      <x:c r="C250" s="69" t="str">
        <x:v>2023-2024</x:v>
      </x:c>
      <x:c r="D250" s="69" t="str">
        <x:v>total_or_tax</x:v>
      </x:c>
      <x:c r="E250" s="69" t="str">
        <x:v>MD2023_2024_018-T01R022</x:v>
      </x:c>
      <x:c r="F250" s="71" t="str">
        <x:v>合計總金額</x:v>
      </x:c>
      <x:c r="G250" s="71" t="str">
        <x:v>文件未載明</x:v>
      </x:c>
      <x:c r="H250" s="71" t="str">
        <x:v>文件未載明</x:v>
      </x:c>
      <x:c r="I250" s="72"/>
      <x:c r="J250" s="69" t="str">
        <x:v>文件未載明</x:v>
      </x:c>
      <x:c r="K250" s="70"/>
      <x:c r="L250" s="69" t="str">
        <x:v>文件未載明</x:v>
      </x:c>
      <x:c r="M250" s="70"/>
      <x:c r="N250" s="69" t="str">
        <x:v>文件未載明</x:v>
      </x:c>
      <x:c r="O250" s="71" t="str">
        <x:v>來源表頭對應</x:v>
      </x:c>
      <x:c r="P250" s="71" t="str">
        <x:v>HTML表格1／列22</x:v>
      </x:c>
      <x:c r="Q250" s="71" t="str">
        <x:v>合計總金額 | 合計總金額 | 合計總金額 | 合計總金額 | 合計總金額 | 121170 | 121170 | 121170</x:v>
      </x:c>
      <x:c r="R250" s="71" t="str">
        <x:v>各廠商合約&amp; 報價\MD檔案\20240730 錦祥工程行 _浴室天花板_.md</x:v>
      </x:c>
    </x:row>
    <x:row r="251">
      <x:c r="A251" s="69" t="str">
        <x:v>ITEM00247</x:v>
      </x:c>
      <x:c r="B251" s="69" t="str">
        <x:v>SRC019</x:v>
      </x:c>
      <x:c r="C251" s="69" t="str">
        <x:v>2023-2024</x:v>
      </x:c>
      <x:c r="D251" s="69" t="str">
        <x:v>total_or_tax</x:v>
      </x:c>
      <x:c r="E251" s="69" t="str">
        <x:v>MD2023_2024_018-T01R023</x:v>
      </x:c>
      <x:c r="F251" s="71" t="str">
        <x:v>合計新台幣: 壹拾貳萬壹仟壹佰柒拾 元整</x:v>
      </x:c>
      <x:c r="G251" s="71" t="str">
        <x:v>文件未載明</x:v>
      </x:c>
      <x:c r="H251" s="71" t="str">
        <x:v>文件未載明</x:v>
      </x:c>
      <x:c r="I251" s="72"/>
      <x:c r="J251" s="69" t="str">
        <x:v>文件未載明</x:v>
      </x:c>
      <x:c r="K251" s="70"/>
      <x:c r="L251" s="69" t="str">
        <x:v>文件未載明</x:v>
      </x:c>
      <x:c r="M251" s="70"/>
      <x:c r="N251" s="69" t="str">
        <x:v>文件未載明</x:v>
      </x:c>
      <x:c r="O251" s="71" t="str">
        <x:v>來源表頭對應</x:v>
      </x:c>
      <x:c r="P251" s="71" t="str">
        <x:v>HTML表格1／列23</x:v>
      </x:c>
      <x:c r="Q251" s="71" t="str">
        <x:v>合計新台幣: 壹拾貳萬壹仟壹佰柒拾 元整 | 合計新台幣: 壹拾貳萬壹仟壹佰柒拾 元整 | 合計新台幣: 壹拾貳萬壹仟壹佰柒拾 元整 | 合計新台幣: 壹拾貳萬壹仟壹佰柒拾 元整 | 合計新台幣: 壹拾貳萬壹仟壹佰柒拾 元整 | 合計新台幣: 壹拾貳萬壹仟壹佰柒拾 元整 | 合計新台幣: 壹拾貳萬壹仟壹佰柒拾 元整 | 合計新台幣: 壹拾貳萬壹仟壹佰柒拾 元整</x:v>
      </x:c>
      <x:c r="R251" s="71" t="str">
        <x:v>各廠商合約&amp; 報價\MD檔案\20240730 錦祥工程行 _浴室天花板_.md</x:v>
      </x:c>
    </x:row>
    <x:row r="252">
      <x:c r="A252" s="69" t="str">
        <x:v>ITEM00248</x:v>
      </x:c>
      <x:c r="B252" s="69" t="str">
        <x:v>SRC019</x:v>
      </x:c>
      <x:c r="C252" s="69" t="str">
        <x:v>2023-2024</x:v>
      </x:c>
      <x:c r="D252" s="69" t="str">
        <x:v>note_or_description</x:v>
      </x:c>
      <x:c r="E252" s="69" t="str">
        <x:v>MD2023_2024_018-T01R024</x:v>
      </x:c>
      <x:c r="F252" s="71" t="str">
        <x:v>根據動產法第三章附條件買賣、買方購貨若無法償付貨款或支票到期無法兌現、則賣方則隨時取回原物或等值他物以抵償貨款、買方不得異議。天花板施工不扣燈具面積、不含木料收邊、水電空調補強自行處理。本單經雙方簽字或簽章是同買賣。合約雙方各執壹份。</x:v>
      </x:c>
      <x:c r="G252" s="71" t="str">
        <x:v>文件未載明</x:v>
      </x:c>
      <x:c r="H252" s="71" t="str">
        <x:v>文件未載明</x:v>
      </x:c>
      <x:c r="I252" s="72"/>
      <x:c r="J252" s="69" t="str">
        <x:v>文件未載明</x:v>
      </x:c>
      <x:c r="K252" s="70"/>
      <x:c r="L252" s="69" t="str">
        <x:v>文件未載明</x:v>
      </x:c>
      <x:c r="M252" s="70"/>
      <x:c r="N252" s="69" t="str">
        <x:v>文件未載明</x:v>
      </x:c>
      <x:c r="O252" s="71" t="str">
        <x:v>來源表頭對應</x:v>
      </x:c>
      <x:c r="P252" s="71" t="str">
        <x:v>HTML表格1／列24</x:v>
      </x:c>
      <x:c r="Q252" s="71" t="str">
        <x:v>根據動產法第三章附條件買賣、買方購貨若無法償付貨款或支票到期無法兌現、則賣方則隨時取回原物或等值他物以抵償貨款、買方不得異議。天花板施工不扣燈具面積、不含木料收邊、水電空調補強自行處理。本單經雙方簽字或簽章是同買賣。合約雙方各執壹份。 | 根據動產法第三章附條件買賣、買方購貨若無法償付貨款或支票到期無法兌現、則賣方則隨時取回原物或等值他物以抵償貨款、買方不得異議。天花板施工不扣燈具面積、不含木料收邊、水電空調補強自行處理。本單經雙方簽字或簽章是同買賣。合約雙方各執壹份。 | 根據動產法第三章附條件買賣、買方購貨若無法償付貨款或支票到期無法兌現、則賣方則隨時取回原物或等值他物以抵償貨款、買方不得…（詳原文索引）</x:v>
      </x:c>
      <x:c r="R252" s="71" t="str">
        <x:v>各廠商合約&amp; 報價\MD檔案\20240730 錦祥工程行 _浴室天花板_.md</x:v>
      </x:c>
    </x:row>
    <x:row r="253">
      <x:c r="A253" s="69" t="str">
        <x:v>ITEM00249</x:v>
      </x:c>
      <x:c r="B253" s="69" t="str">
        <x:v>SRC020</x:v>
      </x:c>
      <x:c r="C253" s="69" t="str">
        <x:v>2023-2024</x:v>
      </x:c>
      <x:c r="D253" s="69" t="str">
        <x:v>line_item</x:v>
      </x:c>
      <x:c r="E253" s="69" t="str">
        <x:v>MD2023_2024_019-T01R002</x:v>
      </x:c>
      <x:c r="F253" s="71" t="str">
        <x:v>監視系統:</x:v>
      </x:c>
      <x:c r="G253" s="71" t="str">
        <x:v>*</x:v>
      </x:c>
      <x:c r="H253" s="71" t="str"/>
      <x:c r="I253" s="72" t="n">
        <x:v>0</x:v>
      </x:c>
      <x:c r="J253" s="69" t="str">
        <x:v>0.00</x:v>
      </x:c>
      <x:c r="K253" s="70" t="n">
        <x:v>0</x:v>
      </x:c>
      <x:c r="L253" s="69" t="str">
        <x:v>0.00</x:v>
      </x:c>
      <x:c r="M253" s="70" t="n">
        <x:v>0</x:v>
      </x:c>
      <x:c r="N253" s="69" t="str">
        <x:v>0</x:v>
      </x:c>
      <x:c r="O253" s="71" t="str">
        <x:v>來源表頭對應</x:v>
      </x:c>
      <x:c r="P253" s="71" t="str">
        <x:v>HTML表格1／列2</x:v>
      </x:c>
      <x:c r="Q253" s="71" t="str">
        <x:v>001 | * | 監視系統: | 0.00 | | 0.00 | 0 |</x:v>
      </x:c>
      <x:c r="R253" s="71" t="str">
        <x:v>各廠商合約&amp; 報價\MD檔案\20240802 宏交 弱電系統.md</x:v>
      </x:c>
    </x:row>
    <x:row r="254">
      <x:c r="A254" s="69" t="str">
        <x:v>ITEM00250</x:v>
      </x:c>
      <x:c r="B254" s="69" t="str">
        <x:v>SRC020</x:v>
      </x:c>
      <x:c r="C254" s="69" t="str">
        <x:v>2023-2024</x:v>
      </x:c>
      <x:c r="D254" s="69" t="str">
        <x:v>line_item</x:v>
      </x:c>
      <x:c r="E254" s="69" t="str">
        <x:v>MD2023_2024_019-T01R003</x:v>
      </x:c>
      <x:c r="F254" s="71" t="str">
        <x:v>AHD8路錄放影機</x:v>
      </x:c>
      <x:c r="G254" s="71" t="str">
        <x:v>174-0105</x:v>
      </x:c>
      <x:c r="H254" s="71" t="str">
        <x:v>台</x:v>
      </x:c>
      <x:c r="I254" s="72" t="n">
        <x:v>1</x:v>
      </x:c>
      <x:c r="J254" s="69" t="str">
        <x:v>1.00</x:v>
      </x:c>
      <x:c r="K254" s="70" t="n">
        <x:v>6800</x:v>
      </x:c>
      <x:c r="L254" s="69" t="str">
        <x:v>6800.00</x:v>
      </x:c>
      <x:c r="M254" s="70" t="n">
        <x:v>6800</x:v>
      </x:c>
      <x:c r="N254" s="69" t="str">
        <x:v>6800</x:v>
      </x:c>
      <x:c r="O254" s="71" t="str">
        <x:v>來源表頭對應</x:v>
      </x:c>
      <x:c r="P254" s="71" t="str">
        <x:v>HTML表格1／列3</x:v>
      </x:c>
      <x:c r="Q254" s="71" t="str">
        <x:v>002 | 174-0105 | AHD8路錄放影機 | 1.00 | 台 | 6800.00 | 6800 |</x:v>
      </x:c>
      <x:c r="R254" s="71" t="str">
        <x:v>各廠商合約&amp; 報價\MD檔案\20240802 宏交 弱電系統.md</x:v>
      </x:c>
    </x:row>
    <x:row r="255">
      <x:c r="A255" s="69" t="str">
        <x:v>ITEM00251</x:v>
      </x:c>
      <x:c r="B255" s="69" t="str">
        <x:v>SRC020</x:v>
      </x:c>
      <x:c r="C255" s="69" t="str">
        <x:v>2023-2024</x:v>
      </x:c>
      <x:c r="D255" s="69" t="str">
        <x:v>line_item</x:v>
      </x:c>
      <x:c r="E255" s="69" t="str">
        <x:v>MD2023_2024_019-T01R004</x:v>
      </x:c>
      <x:c r="F255" s="71" t="str">
        <x:v>2TB 監控硬碟</x:v>
      </x:c>
      <x:c r="G255" s="71" t="str">
        <x:v>174-0155</x:v>
      </x:c>
      <x:c r="H255" s="71" t="str">
        <x:v>台</x:v>
      </x:c>
      <x:c r="I255" s="72" t="n">
        <x:v>1</x:v>
      </x:c>
      <x:c r="J255" s="69" t="str">
        <x:v>1.00</x:v>
      </x:c>
      <x:c r="K255" s="70" t="n">
        <x:v>2500</x:v>
      </x:c>
      <x:c r="L255" s="69" t="str">
        <x:v>2500.00</x:v>
      </x:c>
      <x:c r="M255" s="70" t="n">
        <x:v>2500</x:v>
      </x:c>
      <x:c r="N255" s="69" t="str">
        <x:v>2500</x:v>
      </x:c>
      <x:c r="O255" s="71" t="str">
        <x:v>來源表頭對應</x:v>
      </x:c>
      <x:c r="P255" s="71" t="str">
        <x:v>HTML表格1／列4</x:v>
      </x:c>
      <x:c r="Q255" s="71" t="str">
        <x:v>003 | 174-0155 | 2TB 監控硬碟 | 1.00 | 台 | 2500.00 | 2500 |</x:v>
      </x:c>
      <x:c r="R255" s="71" t="str">
        <x:v>各廠商合約&amp; 報價\MD檔案\20240802 宏交 弱電系統.md</x:v>
      </x:c>
    </x:row>
    <x:row r="256">
      <x:c r="A256" s="69" t="str">
        <x:v>ITEM00252</x:v>
      </x:c>
      <x:c r="B256" s="69" t="str">
        <x:v>SRC020</x:v>
      </x:c>
      <x:c r="C256" s="69" t="str">
        <x:v>2023-2024</x:v>
      </x:c>
      <x:c r="D256" s="69" t="str">
        <x:v>line_item</x:v>
      </x:c>
      <x:c r="E256" s="69" t="str">
        <x:v>MD2023_2024_019-T01R005</x:v>
      </x:c>
      <x:c r="F256" s="71" t="str">
        <x:v>22吋LED液晶螢幕</x:v>
      </x:c>
      <x:c r="G256" s="71" t="str">
        <x:v>165-0255-4</x:v>
      </x:c>
      <x:c r="H256" s="71" t="str">
        <x:v>台</x:v>
      </x:c>
      <x:c r="I256" s="72" t="n">
        <x:v>1</x:v>
      </x:c>
      <x:c r="J256" s="69" t="str">
        <x:v>1.00</x:v>
      </x:c>
      <x:c r="K256" s="70" t="n">
        <x:v>3000</x:v>
      </x:c>
      <x:c r="L256" s="69" t="str">
        <x:v>3000.00</x:v>
      </x:c>
      <x:c r="M256" s="70" t="n">
        <x:v>3000</x:v>
      </x:c>
      <x:c r="N256" s="69" t="str">
        <x:v>3000</x:v>
      </x:c>
      <x:c r="O256" s="71" t="str">
        <x:v>來源表頭對應</x:v>
      </x:c>
      <x:c r="P256" s="71" t="str">
        <x:v>HTML表格1／列5</x:v>
      </x:c>
      <x:c r="Q256" s="71" t="str">
        <x:v>004 | 165-0255-4 | 22吋LED液晶螢幕 | 1.00 | 台 | 3000.00 | 3000 |</x:v>
      </x:c>
      <x:c r="R256" s="71" t="str">
        <x:v>各廠商合約&amp; 報價\MD檔案\20240802 宏交 弱電系統.md</x:v>
      </x:c>
    </x:row>
    <x:row r="257">
      <x:c r="A257" s="69" t="str">
        <x:v>ITEM00253</x:v>
      </x:c>
      <x:c r="B257" s="69" t="str">
        <x:v>SRC020</x:v>
      </x:c>
      <x:c r="C257" s="69" t="str">
        <x:v>2023-2024</x:v>
      </x:c>
      <x:c r="D257" s="69" t="str">
        <x:v>line_item</x:v>
      </x:c>
      <x:c r="E257" s="69" t="str">
        <x:v>MD2023_2024_019-T01R006</x:v>
      </x:c>
      <x:c r="F257" s="71" t="str">
        <x:v>LCD 掛壁架</x:v>
      </x:c>
      <x:c r="G257" s="71" t="str">
        <x:v>083-0085-4</x:v>
      </x:c>
      <x:c r="H257" s="71" t="str">
        <x:v>個</x:v>
      </x:c>
      <x:c r="I257" s="72" t="n">
        <x:v>1</x:v>
      </x:c>
      <x:c r="J257" s="69" t="str">
        <x:v>1.00</x:v>
      </x:c>
      <x:c r="K257" s="70" t="n">
        <x:v>800</x:v>
      </x:c>
      <x:c r="L257" s="69" t="str">
        <x:v>800.00</x:v>
      </x:c>
      <x:c r="M257" s="70" t="n">
        <x:v>800</x:v>
      </x:c>
      <x:c r="N257" s="69" t="str">
        <x:v>800</x:v>
      </x:c>
      <x:c r="O257" s="71" t="str">
        <x:v>來源表頭對應</x:v>
      </x:c>
      <x:c r="P257" s="71" t="str">
        <x:v>HTML表格1／列6</x:v>
      </x:c>
      <x:c r="Q257" s="71" t="str">
        <x:v>005 | 083-0085-4 | LCD 掛壁架 | 1.00 | 個 | 800.00 | 800 |</x:v>
      </x:c>
      <x:c r="R257" s="71" t="str">
        <x:v>各廠商合約&amp; 報價\MD檔案\20240802 宏交 弱電系統.md</x:v>
      </x:c>
    </x:row>
    <x:row r="258">
      <x:c r="A258" s="69" t="str">
        <x:v>ITEM00254</x:v>
      </x:c>
      <x:c r="B258" s="69" t="str">
        <x:v>SRC020</x:v>
      </x:c>
      <x:c r="C258" s="69" t="str">
        <x:v>2023-2024</x:v>
      </x:c>
      <x:c r="D258" s="69" t="str">
        <x:v>line_item</x:v>
      </x:c>
      <x:c r="E258" s="69" t="str">
        <x:v>MD2023_2024_019-T01R007</x:v>
      </x:c>
      <x:c r="F258" s="71" t="str">
        <x:v>5MP攝影機</x:v>
      </x:c>
      <x:c r="G258" s="71" t="str">
        <x:v>174-0481</x:v>
      </x:c>
      <x:c r="H258" s="71" t="str">
        <x:v>台</x:v>
      </x:c>
      <x:c r="I258" s="72" t="n">
        <x:v>4</x:v>
      </x:c>
      <x:c r="J258" s="69" t="str">
        <x:v>4.00</x:v>
      </x:c>
      <x:c r="K258" s="70" t="n">
        <x:v>1900</x:v>
      </x:c>
      <x:c r="L258" s="69" t="str">
        <x:v>1900.00</x:v>
      </x:c>
      <x:c r="M258" s="70" t="n">
        <x:v>7600</x:v>
      </x:c>
      <x:c r="N258" s="69" t="str">
        <x:v>7600</x:v>
      </x:c>
      <x:c r="O258" s="71" t="str">
        <x:v>來源表頭對應</x:v>
      </x:c>
      <x:c r="P258" s="71" t="str">
        <x:v>HTML表格1／列7</x:v>
      </x:c>
      <x:c r="Q258" s="71" t="str">
        <x:v>006 | 174-0481 | 5MP攝影機 | 4.00 | 台 | 1900.00 | 7600 |</x:v>
      </x:c>
      <x:c r="R258" s="71" t="str">
        <x:v>各廠商合約&amp; 報價\MD檔案\20240802 宏交 弱電系統.md</x:v>
      </x:c>
    </x:row>
    <x:row r="259">
      <x:c r="A259" s="69" t="str">
        <x:v>ITEM00255</x:v>
      </x:c>
      <x:c r="B259" s="69" t="str">
        <x:v>SRC020</x:v>
      </x:c>
      <x:c r="C259" s="69" t="str">
        <x:v>2023-2024</x:v>
      </x:c>
      <x:c r="D259" s="69" t="str">
        <x:v>line_item</x:v>
      </x:c>
      <x:c r="E259" s="69" t="str">
        <x:v>MD2023_2024_019-T01R008</x:v>
      </x:c>
      <x:c r="F259" s="71" t="str">
        <x:v>5MP紅外線攝影機{半球}</x:v>
      </x:c>
      <x:c r="G259" s="71" t="str">
        <x:v>174-0853</x:v>
      </x:c>
      <x:c r="H259" s="71" t="str">
        <x:v>台</x:v>
      </x:c>
      <x:c r="I259" s="72" t="n">
        <x:v>1</x:v>
      </x:c>
      <x:c r="J259" s="69" t="str">
        <x:v>1.00</x:v>
      </x:c>
      <x:c r="K259" s="70" t="n">
        <x:v>1900</x:v>
      </x:c>
      <x:c r="L259" s="69" t="str">
        <x:v>1900.00</x:v>
      </x:c>
      <x:c r="M259" s="70" t="n">
        <x:v>1900</x:v>
      </x:c>
      <x:c r="N259" s="69" t="str">
        <x:v>1900</x:v>
      </x:c>
      <x:c r="O259" s="71" t="str">
        <x:v>來源表頭對應</x:v>
      </x:c>
      <x:c r="P259" s="71" t="str">
        <x:v>HTML表格1／列8</x:v>
      </x:c>
      <x:c r="Q259" s="71" t="str">
        <x:v>007 | 174-0853 | 5MP紅外線攝影機{半球} | 1.00 | 台 | 1900.00 | 1900 |</x:v>
      </x:c>
      <x:c r="R259" s="71" t="str">
        <x:v>各廠商合約&amp; 報價\MD檔案\20240802 宏交 弱電系統.md</x:v>
      </x:c>
    </x:row>
    <x:row r="260">
      <x:c r="A260" s="69" t="str">
        <x:v>ITEM00256</x:v>
      </x:c>
      <x:c r="B260" s="69" t="str">
        <x:v>SRC020</x:v>
      </x:c>
      <x:c r="C260" s="69" t="str">
        <x:v>2023-2024</x:v>
      </x:c>
      <x:c r="D260" s="69" t="str">
        <x:v>line_item</x:v>
      </x:c>
      <x:c r="E260" s="69" t="str">
        <x:v>MD2023_2024_019-T01R009</x:v>
      </x:c>
      <x:c r="F260" s="71" t="str">
        <x:v>防水盒</x:v>
      </x:c>
      <x:c r="G260" s="71" t="str">
        <x:v>633-0001</x:v>
      </x:c>
      <x:c r="H260" s="71" t="str">
        <x:v>個</x:v>
      </x:c>
      <x:c r="I260" s="72" t="n">
        <x:v>4</x:v>
      </x:c>
      <x:c r="J260" s="69" t="str">
        <x:v>4.00</x:v>
      </x:c>
      <x:c r="K260" s="70" t="n">
        <x:v>120</x:v>
      </x:c>
      <x:c r="L260" s="69" t="str">
        <x:v>120.00</x:v>
      </x:c>
      <x:c r="M260" s="70" t="n">
        <x:v>480</x:v>
      </x:c>
      <x:c r="N260" s="69" t="str">
        <x:v>480</x:v>
      </x:c>
      <x:c r="O260" s="71" t="str">
        <x:v>來源表頭對應</x:v>
      </x:c>
      <x:c r="P260" s="71" t="str">
        <x:v>HTML表格1／列9</x:v>
      </x:c>
      <x:c r="Q260" s="71" t="str">
        <x:v>008 | 633-0001 | 防水盒 | 4.00 | 個 | 120.00 | 480 |</x:v>
      </x:c>
      <x:c r="R260" s="71" t="str">
        <x:v>各廠商合約&amp; 報價\MD檔案\20240802 宏交 弱電系統.md</x:v>
      </x:c>
    </x:row>
    <x:row r="261">
      <x:c r="A261" s="69" t="str">
        <x:v>ITEM00257</x:v>
      </x:c>
      <x:c r="B261" s="69" t="str">
        <x:v>SRC020</x:v>
      </x:c>
      <x:c r="C261" s="69" t="str">
        <x:v>2023-2024</x:v>
      </x:c>
      <x:c r="D261" s="69" t="str">
        <x:v>line_item</x:v>
      </x:c>
      <x:c r="E261" s="69" t="str">
        <x:v>MD2023_2024_019-T01R010</x:v>
      </x:c>
      <x:c r="F261" s="71" t="str">
        <x:v>BNC頭 影像傳輸器</x:v>
      </x:c>
      <x:c r="G261" s="71" t="str">
        <x:v>148-0153</x:v>
      </x:c>
      <x:c r="H261" s="71" t="str">
        <x:v>條</x:v>
      </x:c>
      <x:c r="I261" s="72" t="n">
        <x:v>10</x:v>
      </x:c>
      <x:c r="J261" s="69" t="str">
        <x:v>10.00</x:v>
      </x:c>
      <x:c r="K261" s="70" t="n">
        <x:v>100</x:v>
      </x:c>
      <x:c r="L261" s="69" t="str">
        <x:v>100.00</x:v>
      </x:c>
      <x:c r="M261" s="70" t="n">
        <x:v>1000</x:v>
      </x:c>
      <x:c r="N261" s="69" t="str">
        <x:v>1000</x:v>
      </x:c>
      <x:c r="O261" s="71" t="str">
        <x:v>來源表頭對應</x:v>
      </x:c>
      <x:c r="P261" s="71" t="str">
        <x:v>HTML表格1／列10</x:v>
      </x:c>
      <x:c r="Q261" s="71" t="str">
        <x:v>009 | 148-0153 | BNC頭 影像傳輸器 | 10.00 | 條 | 100.00 | 1000 |</x:v>
      </x:c>
      <x:c r="R261" s="71" t="str">
        <x:v>各廠商合約&amp; 報價\MD檔案\20240802 宏交 弱電系統.md</x:v>
      </x:c>
    </x:row>
    <x:row r="262">
      <x:c r="A262" s="69" t="str">
        <x:v>ITEM00258</x:v>
      </x:c>
      <x:c r="B262" s="69" t="str">
        <x:v>SRC020</x:v>
      </x:c>
      <x:c r="C262" s="69" t="str">
        <x:v>2023-2024</x:v>
      </x:c>
      <x:c r="D262" s="69" t="str">
        <x:v>line_item</x:v>
      </x:c>
      <x:c r="E262" s="69" t="str">
        <x:v>MD2023_2024_019-T01R011</x:v>
      </x:c>
      <x:c r="F262" s="71" t="str">
        <x:v>母插</x:v>
      </x:c>
      <x:c r="G262" s="71" t="str">
        <x:v>016-0515</x:v>
      </x:c>
      <x:c r="H262" s="71" t="str">
        <x:v>個</x:v>
      </x:c>
      <x:c r="I262" s="72" t="n">
        <x:v>5</x:v>
      </x:c>
      <x:c r="J262" s="69" t="str">
        <x:v>5.00</x:v>
      </x:c>
      <x:c r="K262" s="70" t="n">
        <x:v>20</x:v>
      </x:c>
      <x:c r="L262" s="69" t="str">
        <x:v>20.00</x:v>
      </x:c>
      <x:c r="M262" s="70" t="n">
        <x:v>100</x:v>
      </x:c>
      <x:c r="N262" s="69" t="str">
        <x:v>100</x:v>
      </x:c>
      <x:c r="O262" s="71" t="str">
        <x:v>來源表頭對應</x:v>
      </x:c>
      <x:c r="P262" s="71" t="str">
        <x:v>HTML表格1／列11</x:v>
      </x:c>
      <x:c r="Q262" s="71" t="str">
        <x:v>010 | 016-0515 | 母插 | 5.00 | 個 | 20.00 | 100 |</x:v>
      </x:c>
      <x:c r="R262" s="71" t="str">
        <x:v>各廠商合約&amp; 報價\MD檔案\20240802 宏交 弱電系統.md</x:v>
      </x:c>
    </x:row>
    <x:row r="263">
      <x:c r="A263" s="69" t="str">
        <x:v>ITEM00259</x:v>
      </x:c>
      <x:c r="B263" s="69" t="str">
        <x:v>SRC020</x:v>
      </x:c>
      <x:c r="C263" s="69" t="str">
        <x:v>2023-2024</x:v>
      </x:c>
      <x:c r="D263" s="69" t="str">
        <x:v>line_item</x:v>
      </x:c>
      <x:c r="E263" s="69" t="str">
        <x:v>MD2023_2024_019-T01R012</x:v>
      </x:c>
      <x:c r="F263" s="71" t="str">
        <x:v>CAT.5e UTP / 4P+0.75mm*2C 複合線</x:v>
      </x:c>
      <x:c r="G263" s="71" t="str">
        <x:v>163-0056</x:v>
      </x:c>
      <x:c r="H263" s="71" t="str">
        <x:v>米</x:v>
      </x:c>
      <x:c r="I263" s="72" t="n">
        <x:v>85</x:v>
      </x:c>
      <x:c r="J263" s="69" t="str">
        <x:v>85.00</x:v>
      </x:c>
      <x:c r="K263" s="70" t="n">
        <x:v>38</x:v>
      </x:c>
      <x:c r="L263" s="69" t="str">
        <x:v>38.00</x:v>
      </x:c>
      <x:c r="M263" s="70" t="n">
        <x:v>3230</x:v>
      </x:c>
      <x:c r="N263" s="69" t="str">
        <x:v>3230</x:v>
      </x:c>
      <x:c r="O263" s="71" t="str">
        <x:v>來源表頭對應</x:v>
      </x:c>
      <x:c r="P263" s="71" t="str">
        <x:v>HTML表格1／列12</x:v>
      </x:c>
      <x:c r="Q263" s="71" t="str">
        <x:v>011 | 163-0056 | CAT.5e UTP / 4P+0.75mm*2C 複合線 | 85.00 | 米 | 38.00 | 3230 |</x:v>
      </x:c>
      <x:c r="R263" s="71" t="str">
        <x:v>各廠商合約&amp; 報價\MD檔案\20240802 宏交 弱電系統.md</x:v>
      </x:c>
    </x:row>
    <x:row r="264">
      <x:c r="A264" s="69" t="str">
        <x:v>ITEM00260</x:v>
      </x:c>
      <x:c r="B264" s="69" t="str">
        <x:v>SRC020</x:v>
      </x:c>
      <x:c r="C264" s="69" t="str">
        <x:v>2023-2024</x:v>
      </x:c>
      <x:c r="D264" s="69" t="str">
        <x:v>line_item</x:v>
      </x:c>
      <x:c r="E264" s="69" t="str">
        <x:v>MD2023_2024_019-T01R013</x:v>
      </x:c>
      <x:c r="F264" s="71" t="str">
        <x:v>多芯網路線 電梯線{軟線}</x:v>
      </x:c>
      <x:c r="G264" s="71" t="str">
        <x:v>010-0136</x:v>
      </x:c>
      <x:c r="H264" s="71" t="str">
        <x:v>米</x:v>
      </x:c>
      <x:c r="I264" s="72" t="n">
        <x:v>55</x:v>
      </x:c>
      <x:c r="J264" s="69" t="str">
        <x:v>55.00</x:v>
      </x:c>
      <x:c r="K264" s="70" t="n">
        <x:v>20</x:v>
      </x:c>
      <x:c r="L264" s="69" t="str">
        <x:v>20.00</x:v>
      </x:c>
      <x:c r="M264" s="70" t="n">
        <x:v>1100</x:v>
      </x:c>
      <x:c r="N264" s="69" t="str">
        <x:v>1100</x:v>
      </x:c>
      <x:c r="O264" s="71" t="str">
        <x:v>來源表頭對應</x:v>
      </x:c>
      <x:c r="P264" s="71" t="str">
        <x:v>HTML表格1／列13</x:v>
      </x:c>
      <x:c r="Q264" s="71" t="str">
        <x:v>012 | 010-0136 | 多芯網路線 電梯線{軟線} | 55.00 | 米 | 20.00 | 1100 |</x:v>
      </x:c>
      <x:c r="R264" s="71" t="str">
        <x:v>各廠商合約&amp; 報價\MD檔案\20240802 宏交 弱電系統.md</x:v>
      </x:c>
    </x:row>
    <x:row r="265">
      <x:c r="A265" s="69" t="str">
        <x:v>ITEM00261</x:v>
      </x:c>
      <x:c r="B265" s="69" t="str">
        <x:v>SRC020</x:v>
      </x:c>
      <x:c r="C265" s="69" t="str">
        <x:v>2023-2024</x:v>
      </x:c>
      <x:c r="D265" s="69" t="str">
        <x:v>line_item</x:v>
      </x:c>
      <x:c r="E265" s="69" t="str">
        <x:v>MD2023_2024_019-T01R014</x:v>
      </x:c>
      <x:c r="F265" s="71" t="str">
        <x:v>動力開關箱{取代機櫃}</x:v>
      </x:c>
      <x:c r="G265" s="71" t="str">
        <x:v>450-0354</x:v>
      </x:c>
      <x:c r="H265" s="71" t="str">
        <x:v>只</x:v>
      </x:c>
      <x:c r="I265" s="72" t="n">
        <x:v>1</x:v>
      </x:c>
      <x:c r="J265" s="69" t="str">
        <x:v>1.00</x:v>
      </x:c>
      <x:c r="K265" s="70" t="n">
        <x:v>2000</x:v>
      </x:c>
      <x:c r="L265" s="69" t="str">
        <x:v>2000.00</x:v>
      </x:c>
      <x:c r="M265" s="70" t="n">
        <x:v>2000</x:v>
      </x:c>
      <x:c r="N265" s="69" t="str">
        <x:v>2000</x:v>
      </x:c>
      <x:c r="O265" s="71" t="str">
        <x:v>來源表頭對應</x:v>
      </x:c>
      <x:c r="P265" s="71" t="str">
        <x:v>HTML表格1／列14</x:v>
      </x:c>
      <x:c r="Q265" s="71" t="str">
        <x:v>013 | 450-0354 | 動力開關箱{取代機櫃} | 1.00 | 只 | 2000.00 | 2000 |</x:v>
      </x:c>
      <x:c r="R265" s="71" t="str">
        <x:v>各廠商合約&amp; 報價\MD檔案\20240802 宏交 弱電系統.md</x:v>
      </x:c>
    </x:row>
    <x:row r="266">
      <x:c r="A266" s="69" t="str">
        <x:v>ITEM00262</x:v>
      </x:c>
      <x:c r="B266" s="69" t="str">
        <x:v>SRC020</x:v>
      </x:c>
      <x:c r="C266" s="69" t="str">
        <x:v>2023-2024</x:v>
      </x:c>
      <x:c r="D266" s="69" t="str">
        <x:v>line_item</x:v>
      </x:c>
      <x:c r="E266" s="69" t="str">
        <x:v>MD2023_2024_019-T01R015</x:v>
      </x:c>
      <x:c r="F266" s="71" t="str">
        <x:v>五金另料</x:v>
      </x:c>
      <x:c r="G266" s="71" t="str">
        <x:v>320-0030-1</x:v>
      </x:c>
      <x:c r="H266" s="71" t="str">
        <x:v>式</x:v>
      </x:c>
      <x:c r="I266" s="72" t="n">
        <x:v>1</x:v>
      </x:c>
      <x:c r="J266" s="69" t="str">
        <x:v>1.00</x:v>
      </x:c>
      <x:c r="K266" s="70" t="n">
        <x:v>1200</x:v>
      </x:c>
      <x:c r="L266" s="69" t="str">
        <x:v>1200.00</x:v>
      </x:c>
      <x:c r="M266" s="70" t="n">
        <x:v>1200</x:v>
      </x:c>
      <x:c r="N266" s="69" t="str">
        <x:v>1200</x:v>
      </x:c>
      <x:c r="O266" s="71" t="str">
        <x:v>來源表頭對應</x:v>
      </x:c>
      <x:c r="P266" s="71" t="str">
        <x:v>HTML表格1／列15</x:v>
      </x:c>
      <x:c r="Q266" s="71" t="str">
        <x:v>014 | 320-0030-1 | 五金另料 | 1.00 | 式 | 1200.00 | 1200 |</x:v>
      </x:c>
      <x:c r="R266" s="71" t="str">
        <x:v>各廠商合約&amp; 報價\MD檔案\20240802 宏交 弱電系統.md</x:v>
      </x:c>
    </x:row>
    <x:row r="267">
      <x:c r="A267" s="69" t="str">
        <x:v>ITEM00263</x:v>
      </x:c>
      <x:c r="B267" s="69" t="str">
        <x:v>SRC020</x:v>
      </x:c>
      <x:c r="C267" s="69" t="str">
        <x:v>2023-2024</x:v>
      </x:c>
      <x:c r="D267" s="69" t="str">
        <x:v>line_item</x:v>
      </x:c>
      <x:c r="E267" s="69" t="str">
        <x:v>MD2023_2024_019-T01R016</x:v>
      </x:c>
      <x:c r="F267" s="71" t="str">
        <x:v>拉線及設備安裝工資</x:v>
      </x:c>
      <x:c r="G267" s="71" t="str">
        <x:v>320-0001</x:v>
      </x:c>
      <x:c r="H267" s="71" t="str">
        <x:v>式</x:v>
      </x:c>
      <x:c r="I267" s="72" t="n">
        <x:v>1</x:v>
      </x:c>
      <x:c r="J267" s="69" t="str">
        <x:v>1.00</x:v>
      </x:c>
      <x:c r="K267" s="70" t="n">
        <x:v>8500</x:v>
      </x:c>
      <x:c r="L267" s="69" t="str">
        <x:v>8500.00</x:v>
      </x:c>
      <x:c r="M267" s="70" t="n">
        <x:v>8500</x:v>
      </x:c>
      <x:c r="N267" s="69" t="str">
        <x:v>8500</x:v>
      </x:c>
      <x:c r="O267" s="71" t="str">
        <x:v>來源表頭對應</x:v>
      </x:c>
      <x:c r="P267" s="71" t="str">
        <x:v>HTML表格1／列16</x:v>
      </x:c>
      <x:c r="Q267" s="71" t="str">
        <x:v>015 | 320-0001 | 拉線及設備安裝工資 | 1.00 | 式 | 8500.00 | 8500 |</x:v>
      </x:c>
      <x:c r="R267" s="71" t="str">
        <x:v>各廠商合約&amp; 報價\MD檔案\20240802 宏交 弱電系統.md</x:v>
      </x:c>
    </x:row>
    <x:row r="268">
      <x:c r="A268" s="69" t="str">
        <x:v>ITEM00264</x:v>
      </x:c>
      <x:c r="B268" s="69" t="str">
        <x:v>SRC020</x:v>
      </x:c>
      <x:c r="C268" s="69" t="str">
        <x:v>2023-2024</x:v>
      </x:c>
      <x:c r="D268" s="69" t="str">
        <x:v>line_item</x:v>
      </x:c>
      <x:c r="E268" s="69" t="str">
        <x:v>MD2023_2024_019-T01R017</x:v>
      </x:c>
      <x:c r="F268" s="71" t="str">
        <x:v>門禁系統:</x:v>
      </x:c>
      <x:c r="G268" s="71" t="str">
        <x:v>*</x:v>
      </x:c>
      <x:c r="H268" s="71" t="str"/>
      <x:c r="I268" s="72" t="n">
        <x:v>0</x:v>
      </x:c>
      <x:c r="J268" s="69" t="str">
        <x:v>0.00</x:v>
      </x:c>
      <x:c r="K268" s="70" t="n">
        <x:v>0</x:v>
      </x:c>
      <x:c r="L268" s="69" t="str">
        <x:v>0.00</x:v>
      </x:c>
      <x:c r="M268" s="70" t="n">
        <x:v>0</x:v>
      </x:c>
      <x:c r="N268" s="69" t="str">
        <x:v>0</x:v>
      </x:c>
      <x:c r="O268" s="71" t="str">
        <x:v>來源表頭對應</x:v>
      </x:c>
      <x:c r="P268" s="71" t="str">
        <x:v>HTML表格1／列17</x:v>
      </x:c>
      <x:c r="Q268" s="71" t="str">
        <x:v>016 | * | 門禁系統: | 0.00 | | 0.00 | 0 |</x:v>
      </x:c>
      <x:c r="R268" s="71" t="str">
        <x:v>各廠商合約&amp; 報價\MD檔案\20240802 宏交 弱電系統.md</x:v>
      </x:c>
    </x:row>
    <x:row r="269">
      <x:c r="A269" s="69" t="str">
        <x:v>ITEM00265</x:v>
      </x:c>
      <x:c r="B269" s="69" t="str">
        <x:v>SRC020</x:v>
      </x:c>
      <x:c r="C269" s="69" t="str">
        <x:v>2023-2024</x:v>
      </x:c>
      <x:c r="D269" s="69" t="str">
        <x:v>line_item</x:v>
      </x:c>
      <x:c r="E269" s="69" t="str">
        <x:v>MD2023_2024_019-T01R018</x:v>
      </x:c>
      <x:c r="F269" s="71" t="str">
        <x:v>LED背光式感應讀卡機</x:v>
      </x:c>
      <x:c r="G269" s="71" t="str">
        <x:v>168-0054</x:v>
      </x:c>
      <x:c r="H269" s="71" t="str">
        <x:v>台</x:v>
      </x:c>
      <x:c r="I269" s="72" t="n">
        <x:v>3</x:v>
      </x:c>
      <x:c r="J269" s="69" t="str">
        <x:v>3.00</x:v>
      </x:c>
      <x:c r="K269" s="70" t="n">
        <x:v>2500</x:v>
      </x:c>
      <x:c r="L269" s="69" t="str">
        <x:v>2500.00</x:v>
      </x:c>
      <x:c r="M269" s="70" t="n">
        <x:v>7500</x:v>
      </x:c>
      <x:c r="N269" s="69" t="str">
        <x:v>7500</x:v>
      </x:c>
      <x:c r="O269" s="71" t="str">
        <x:v>來源表頭對應</x:v>
      </x:c>
      <x:c r="P269" s="71" t="str">
        <x:v>HTML表格1／列18</x:v>
      </x:c>
      <x:c r="Q269" s="71" t="str">
        <x:v>017 | 168-0054 | LED背光式感應讀卡機 | 3.00 | 台 | 2500.00 | 7500 |</x:v>
      </x:c>
      <x:c r="R269" s="71" t="str">
        <x:v>各廠商合約&amp; 報價\MD檔案\20240802 宏交 弱電系統.md</x:v>
      </x:c>
    </x:row>
    <x:row r="270">
      <x:c r="A270" s="69" t="str">
        <x:v>ITEM00266</x:v>
      </x:c>
      <x:c r="B270" s="69" t="str">
        <x:v>SRC020</x:v>
      </x:c>
      <x:c r="C270" s="69" t="str">
        <x:v>2023-2024</x:v>
      </x:c>
      <x:c r="D270" s="69" t="str">
        <x:v>line_item</x:v>
      </x:c>
      <x:c r="E270" s="69" t="str">
        <x:v>MD2023_2024_019-T01R019</x:v>
      </x:c>
      <x:c r="F270" s="71" t="str">
        <x:v>感應讀卡機變壓器</x:v>
      </x:c>
      <x:c r="G270" s="71" t="str">
        <x:v>174-0011</x:v>
      </x:c>
      <x:c r="H270" s="71" t="str">
        <x:v>個</x:v>
      </x:c>
      <x:c r="I270" s="72" t="n">
        <x:v>3</x:v>
      </x:c>
      <x:c r="J270" s="69" t="str">
        <x:v>3.00</x:v>
      </x:c>
      <x:c r="K270" s="70" t="n">
        <x:v>250</x:v>
      </x:c>
      <x:c r="L270" s="69" t="str">
        <x:v>250.00</x:v>
      </x:c>
      <x:c r="M270" s="70" t="n">
        <x:v>750</x:v>
      </x:c>
      <x:c r="N270" s="69" t="str">
        <x:v>750</x:v>
      </x:c>
      <x:c r="O270" s="71" t="str">
        <x:v>來源表頭對應</x:v>
      </x:c>
      <x:c r="P270" s="71" t="str">
        <x:v>HTML表格1／列19</x:v>
      </x:c>
      <x:c r="Q270" s="71" t="str">
        <x:v>018 | 174-0011 | 感應讀卡機變壓器 | 3.00 | 個 | 250.00 | 750 |</x:v>
      </x:c>
      <x:c r="R270" s="71" t="str">
        <x:v>各廠商合約&amp; 報價\MD檔案\20240802 宏交 弱電系統.md</x:v>
      </x:c>
    </x:row>
    <x:row r="271">
      <x:c r="A271" s="69" t="str">
        <x:v>ITEM00267</x:v>
      </x:c>
      <x:c r="B271" s="69" t="str">
        <x:v>SRC020</x:v>
      </x:c>
      <x:c r="C271" s="69" t="str">
        <x:v>2023-2024</x:v>
      </x:c>
      <x:c r="D271" s="69" t="str">
        <x:v>line_item</x:v>
      </x:c>
      <x:c r="E271" s="69" t="str">
        <x:v>MD2023_2024_019-T01R020</x:v>
      </x:c>
      <x:c r="F271" s="71" t="str">
        <x:v>樓樓層控制器</x:v>
      </x:c>
      <x:c r="G271" s="71" t="str">
        <x:v>168-0060</x:v>
      </x:c>
      <x:c r="H271" s="71" t="str">
        <x:v>組</x:v>
      </x:c>
      <x:c r="I271" s="72" t="n">
        <x:v>1</x:v>
      </x:c>
      <x:c r="J271" s="69" t="str">
        <x:v>1.00</x:v>
      </x:c>
      <x:c r="K271" s="70" t="n">
        <x:v>6000</x:v>
      </x:c>
      <x:c r="L271" s="69" t="str">
        <x:v>6000.00</x:v>
      </x:c>
      <x:c r="M271" s="70" t="n">
        <x:v>6000</x:v>
      </x:c>
      <x:c r="N271" s="69" t="str">
        <x:v>6000</x:v>
      </x:c>
      <x:c r="O271" s="71" t="str">
        <x:v>來源表頭對應</x:v>
      </x:c>
      <x:c r="P271" s="71" t="str">
        <x:v>HTML表格1／列20</x:v>
      </x:c>
      <x:c r="Q271" s="71" t="str">
        <x:v>019 | 168-0060 | 樓樓層控制器 | 1.00 | 組 | 6000.00 | 6000 |</x:v>
      </x:c>
      <x:c r="R271" s="71" t="str">
        <x:v>各廠商合約&amp; 報價\MD檔案\20240802 宏交 弱電系統.md</x:v>
      </x:c>
    </x:row>
    <x:row r="272">
      <x:c r="A272" s="69" t="str">
        <x:v>ITEM00268</x:v>
      </x:c>
      <x:c r="B272" s="69" t="str">
        <x:v>SRC020</x:v>
      </x:c>
      <x:c r="C272" s="69" t="str">
        <x:v>2023-2024</x:v>
      </x:c>
      <x:c r="D272" s="69" t="str">
        <x:v>line_item</x:v>
      </x:c>
      <x:c r="E272" s="69" t="str">
        <x:v>MD2023_2024_019-T01R021</x:v>
      </x:c>
      <x:c r="F272" s="71" t="str">
        <x:v>陽極鎖</x:v>
      </x:c>
      <x:c r="G272" s="71" t="str">
        <x:v>168-0159</x:v>
      </x:c>
      <x:c r="H272" s="71" t="str">
        <x:v>支</x:v>
      </x:c>
      <x:c r="I272" s="72" t="n">
        <x:v>2</x:v>
      </x:c>
      <x:c r="J272" s="69" t="str">
        <x:v>2.00</x:v>
      </x:c>
      <x:c r="K272" s="70" t="n">
        <x:v>2100</x:v>
      </x:c>
      <x:c r="L272" s="69" t="str">
        <x:v>2100.00</x:v>
      </x:c>
      <x:c r="M272" s="70" t="n">
        <x:v>4200</x:v>
      </x:c>
      <x:c r="N272" s="69" t="str">
        <x:v>4200</x:v>
      </x:c>
      <x:c r="O272" s="71" t="str">
        <x:v>來源表頭對應</x:v>
      </x:c>
      <x:c r="P272" s="71" t="str">
        <x:v>HTML表格1／列21</x:v>
      </x:c>
      <x:c r="Q272" s="71" t="str">
        <x:v>020 | 168-0159 | 陽極鎖 | 2.00 | 支 | 2100.00 | 4200 |</x:v>
      </x:c>
      <x:c r="R272" s="71" t="str">
        <x:v>各廠商合約&amp; 報價\MD檔案\20240802 宏交 弱電系統.md</x:v>
      </x:c>
    </x:row>
    <x:row r="273">
      <x:c r="A273" s="69" t="str">
        <x:v>ITEM00269</x:v>
      </x:c>
      <x:c r="B273" s="69" t="str">
        <x:v>SRC020</x:v>
      </x:c>
      <x:c r="C273" s="69" t="str">
        <x:v>2023-2024</x:v>
      </x:c>
      <x:c r="D273" s="69" t="str">
        <x:v>line_item</x:v>
      </x:c>
      <x:c r="E273" s="69" t="str">
        <x:v>MD2023_2024_019-T01R022</x:v>
      </x:c>
      <x:c r="F273" s="71" t="str">
        <x:v>陽極鎖輔助支架</x:v>
      </x:c>
      <x:c r="G273" s="71" t="str">
        <x:v>168-0152-2</x:v>
      </x:c>
      <x:c r="H273" s="71" t="str">
        <x:v>支</x:v>
      </x:c>
      <x:c r="I273" s="72" t="n">
        <x:v>2</x:v>
      </x:c>
      <x:c r="J273" s="69" t="str">
        <x:v>2.00</x:v>
      </x:c>
      <x:c r="K273" s="70" t="n">
        <x:v>900</x:v>
      </x:c>
      <x:c r="L273" s="69" t="str">
        <x:v>900.00</x:v>
      </x:c>
      <x:c r="M273" s="70" t="n">
        <x:v>1800</x:v>
      </x:c>
      <x:c r="N273" s="69" t="str">
        <x:v>1800</x:v>
      </x:c>
      <x:c r="O273" s="71" t="str">
        <x:v>來源表頭對應</x:v>
      </x:c>
      <x:c r="P273" s="71" t="str">
        <x:v>HTML表格1／列22</x:v>
      </x:c>
      <x:c r="Q273" s="71" t="str">
        <x:v>021 | 168-0152-2 | 陽極鎖輔助支架 | 2.00 | 支 | 900.00 | 1800 |</x:v>
      </x:c>
      <x:c r="R273" s="71" t="str">
        <x:v>各廠商合約&amp; 報價\MD檔案\20240802 宏交 弱電系統.md</x:v>
      </x:c>
    </x:row>
    <x:row r="274">
      <x:c r="A274" s="69" t="str">
        <x:v>ITEM00270</x:v>
      </x:c>
      <x:c r="B274" s="69" t="str">
        <x:v>SRC020</x:v>
      </x:c>
      <x:c r="C274" s="69" t="str">
        <x:v>2023-2024</x:v>
      </x:c>
      <x:c r="D274" s="69" t="str">
        <x:v>line_item</x:v>
      </x:c>
      <x:c r="E274" s="69" t="str">
        <x:v>MD2023_2024_019-T01R023</x:v>
      </x:c>
      <x:c r="F274" s="71" t="str">
        <x:v>陽極鎖變壓器</x:v>
      </x:c>
      <x:c r="G274" s="71" t="str">
        <x:v>174-0011-1</x:v>
      </x:c>
      <x:c r="H274" s="71" t="str">
        <x:v>個</x:v>
      </x:c>
      <x:c r="I274" s="72" t="n">
        <x:v>2</x:v>
      </x:c>
      <x:c r="J274" s="69" t="str">
        <x:v>2.00</x:v>
      </x:c>
      <x:c r="K274" s="70" t="n">
        <x:v>250</x:v>
      </x:c>
      <x:c r="L274" s="69" t="str">
        <x:v>250.00</x:v>
      </x:c>
      <x:c r="M274" s="70" t="n">
        <x:v>500</x:v>
      </x:c>
      <x:c r="N274" s="69" t="str">
        <x:v>500</x:v>
      </x:c>
      <x:c r="O274" s="71" t="str">
        <x:v>來源表頭對應</x:v>
      </x:c>
      <x:c r="P274" s="71" t="str">
        <x:v>HTML表格1／列23</x:v>
      </x:c>
      <x:c r="Q274" s="71" t="str">
        <x:v>022 | 174-0011-1 | 陽極鎖變壓器 | 2.00 | 個 | 250.00 | 500 |</x:v>
      </x:c>
      <x:c r="R274" s="71" t="str">
        <x:v>各廠商合約&amp; 報價\MD檔案\20240802 宏交 弱電系統.md</x:v>
      </x:c>
    </x:row>
    <x:row r="275">
      <x:c r="A275" s="69" t="str">
        <x:v>ITEM00271</x:v>
      </x:c>
      <x:c r="B275" s="69" t="str">
        <x:v>SRC020</x:v>
      </x:c>
      <x:c r="C275" s="69" t="str">
        <x:v>2023-2024</x:v>
      </x:c>
      <x:c r="D275" s="69" t="str">
        <x:v>line_item</x:v>
      </x:c>
      <x:c r="E275" s="69" t="str">
        <x:v>MD2023_2024_019-T01R024</x:v>
      </x:c>
      <x:c r="F275" s="71" t="str">
        <x:v>開門按鈕</x:v>
      </x:c>
      <x:c r="G275" s="71" t="str">
        <x:v>051-0008</x:v>
      </x:c>
      <x:c r="H275" s="71" t="str">
        <x:v>只</x:v>
      </x:c>
      <x:c r="I275" s="72" t="n">
        <x:v>2</x:v>
      </x:c>
      <x:c r="J275" s="69" t="str">
        <x:v>2.00</x:v>
      </x:c>
      <x:c r="K275" s="70" t="n">
        <x:v>700</x:v>
      </x:c>
      <x:c r="L275" s="69" t="str">
        <x:v>700.00</x:v>
      </x:c>
      <x:c r="M275" s="70" t="n">
        <x:v>1400</x:v>
      </x:c>
      <x:c r="N275" s="69" t="str">
        <x:v>1400</x:v>
      </x:c>
      <x:c r="O275" s="71" t="str">
        <x:v>來源表頭對應</x:v>
      </x:c>
      <x:c r="P275" s="71" t="str">
        <x:v>HTML表格1／列24</x:v>
      </x:c>
      <x:c r="Q275" s="71" t="str">
        <x:v>023 | 051-0008 | 開門按鈕 | 2.00 | 只 | 700.00 | 1400 |</x:v>
      </x:c>
      <x:c r="R275" s="71" t="str">
        <x:v>各廠商合約&amp; 報價\MD檔案\20240802 宏交 弱電系統.md</x:v>
      </x:c>
    </x:row>
    <x:row r="276">
      <x:c r="A276" s="69" t="str">
        <x:v>ITEM00272</x:v>
      </x:c>
      <x:c r="B276" s="69" t="str">
        <x:v>SRC020</x:v>
      </x:c>
      <x:c r="C276" s="69" t="str">
        <x:v>2023-2024</x:v>
      </x:c>
      <x:c r="D276" s="69" t="str">
        <x:v>line_item</x:v>
      </x:c>
      <x:c r="E276" s="69" t="str">
        <x:v>MD2023_2024_019-T02R002</x:v>
      </x:c>
      <x:c r="F276" s="71" t="str">
        <x:v>感應扣(11戶*=33、管理室*7)</x:v>
      </x:c>
      <x:c r="G276" s="71" t="str">
        <x:v>168-0100-1</x:v>
      </x:c>
      <x:c r="H276" s="71" t="str">
        <x:v>個</x:v>
      </x:c>
      <x:c r="I276" s="72" t="n">
        <x:v>40</x:v>
      </x:c>
      <x:c r="J276" s="69" t="str">
        <x:v>40.00</x:v>
      </x:c>
      <x:c r="K276" s="70" t="n">
        <x:v>100</x:v>
      </x:c>
      <x:c r="L276" s="69" t="str">
        <x:v>100.00</x:v>
      </x:c>
      <x:c r="M276" s="70" t="n">
        <x:v>4000</x:v>
      </x:c>
      <x:c r="N276" s="69" t="str">
        <x:v>4000</x:v>
      </x:c>
      <x:c r="O276" s="71" t="str">
        <x:v>來源表頭對應</x:v>
      </x:c>
      <x:c r="P276" s="71" t="str">
        <x:v>HTML表格2／列2</x:v>
      </x:c>
      <x:c r="Q276" s="71" t="str">
        <x:v>024 | 168-0100-1 | 感應扣(11戶*=33、管理室*7) | 40.00 | 個 | 100.00 | 4000 |</x:v>
      </x:c>
      <x:c r="R276" s="71" t="str">
        <x:v>各廠商合約&amp; 報價\MD檔案\20240802 宏交 弱電系統.md</x:v>
      </x:c>
    </x:row>
    <x:row r="277">
      <x:c r="A277" s="69" t="str">
        <x:v>ITEM00273</x:v>
      </x:c>
      <x:c r="B277" s="69" t="str">
        <x:v>SRC020</x:v>
      </x:c>
      <x:c r="C277" s="69" t="str">
        <x:v>2023-2024</x:v>
      </x:c>
      <x:c r="D277" s="69" t="str">
        <x:v>line_item</x:v>
      </x:c>
      <x:c r="E277" s="69" t="str">
        <x:v>MD2023_2024_019-T02R003</x:v>
      </x:c>
      <x:c r="F277" s="71" t="str">
        <x:v>線材</x:v>
      </x:c>
      <x:c r="G277" s="71" t="str">
        <x:v>UJ-03</x:v>
      </x:c>
      <x:c r="H277" s="71" t="str">
        <x:v>件</x:v>
      </x:c>
      <x:c r="I277" s="72" t="n">
        <x:v>1</x:v>
      </x:c>
      <x:c r="J277" s="69" t="str">
        <x:v>1.00</x:v>
      </x:c>
      <x:c r="K277" s="70" t="n">
        <x:v>2800</x:v>
      </x:c>
      <x:c r="L277" s="69" t="str">
        <x:v>2800.00</x:v>
      </x:c>
      <x:c r="M277" s="70" t="n">
        <x:v>2800</x:v>
      </x:c>
      <x:c r="N277" s="69" t="str">
        <x:v>2800</x:v>
      </x:c>
      <x:c r="O277" s="71" t="str">
        <x:v>來源表頭對應</x:v>
      </x:c>
      <x:c r="P277" s="71" t="str">
        <x:v>HTML表格2／列3</x:v>
      </x:c>
      <x:c r="Q277" s="71" t="str">
        <x:v>025 | UJ-03 | 線材 | 1.00 | 件 | 2800.00 | 2800 |</x:v>
      </x:c>
      <x:c r="R277" s="71" t="str">
        <x:v>各廠商合約&amp; 報價\MD檔案\20240802 宏交 弱電系統.md</x:v>
      </x:c>
    </x:row>
    <x:row r="278">
      <x:c r="A278" s="69" t="str">
        <x:v>ITEM00274</x:v>
      </x:c>
      <x:c r="B278" s="69" t="str">
        <x:v>SRC020</x:v>
      </x:c>
      <x:c r="C278" s="69" t="str">
        <x:v>2023-2024</x:v>
      </x:c>
      <x:c r="D278" s="69" t="str">
        <x:v>line_item</x:v>
      </x:c>
      <x:c r="E278" s="69" t="str">
        <x:v>MD2023_2024_019-T02R004</x:v>
      </x:c>
      <x:c r="F278" s="71" t="str">
        <x:v>拉線及設備安裝工資</x:v>
      </x:c>
      <x:c r="G278" s="71" t="str">
        <x:v>320-0001</x:v>
      </x:c>
      <x:c r="H278" s="71" t="str">
        <x:v>式</x:v>
      </x:c>
      <x:c r="I278" s="72" t="n">
        <x:v>2</x:v>
      </x:c>
      <x:c r="J278" s="69" t="str">
        <x:v>2.00</x:v>
      </x:c>
      <x:c r="K278" s="70" t="n">
        <x:v>4500</x:v>
      </x:c>
      <x:c r="L278" s="69" t="str">
        <x:v>4500.00</x:v>
      </x:c>
      <x:c r="M278" s="70" t="n">
        <x:v>9000</x:v>
      </x:c>
      <x:c r="N278" s="69" t="str">
        <x:v>9000</x:v>
      </x:c>
      <x:c r="O278" s="71" t="str">
        <x:v>來源表頭對應</x:v>
      </x:c>
      <x:c r="P278" s="71" t="str">
        <x:v>HTML表格2／列4</x:v>
      </x:c>
      <x:c r="Q278" s="71" t="str">
        <x:v>026 | 320-0001 | 拉線及設備安裝工資 | 2.00 | 式 | 4500.00 | 9000 |</x:v>
      </x:c>
      <x:c r="R278" s="71" t="str">
        <x:v>各廠商合約&amp; 報價\MD檔案\20240802 宏交 弱電系統.md</x:v>
      </x:c>
    </x:row>
    <x:row r="279">
      <x:c r="A279" s="69" t="str">
        <x:v>ITEM00275</x:v>
      </x:c>
      <x:c r="B279" s="69" t="str">
        <x:v>SRC020</x:v>
      </x:c>
      <x:c r="C279" s="69" t="str">
        <x:v>2023-2024</x:v>
      </x:c>
      <x:c r="D279" s="69" t="str">
        <x:v>line_item</x:v>
      </x:c>
      <x:c r="E279" s="69" t="str">
        <x:v>MD2023_2024_019-T02R005</x:v>
      </x:c>
      <x:c r="F279" s="71" t="str">
        <x:v>樓層控制拉線及設備安裝工資</x:v>
      </x:c>
      <x:c r="G279" s="71" t="str">
        <x:v>320-0002</x:v>
      </x:c>
      <x:c r="H279" s="71" t="str">
        <x:v>式</x:v>
      </x:c>
      <x:c r="I279" s="72" t="n">
        <x:v>1</x:v>
      </x:c>
      <x:c r="J279" s="69" t="str">
        <x:v>1.00</x:v>
      </x:c>
      <x:c r="K279" s="70" t="n">
        <x:v>1200</x:v>
      </x:c>
      <x:c r="L279" s="69" t="str">
        <x:v>1200.00</x:v>
      </x:c>
      <x:c r="M279" s="70" t="n">
        <x:v>1200</x:v>
      </x:c>
      <x:c r="N279" s="69" t="str">
        <x:v>1200</x:v>
      </x:c>
      <x:c r="O279" s="71" t="str">
        <x:v>來源表頭對應</x:v>
      </x:c>
      <x:c r="P279" s="71" t="str">
        <x:v>HTML表格2／列5</x:v>
      </x:c>
      <x:c r="Q279" s="71" t="str">
        <x:v>027 | 320-0002 | 樓層控制拉線及設備安裝工資 | 1.00 | 式 | 1200.00 | 1200 |</x:v>
      </x:c>
      <x:c r="R279" s="71" t="str">
        <x:v>各廠商合約&amp; 報價\MD檔案\20240802 宏交 弱電系統.md</x:v>
      </x:c>
    </x:row>
    <x:row r="280">
      <x:c r="A280" s="69" t="str">
        <x:v>ITEM00276</x:v>
      </x:c>
      <x:c r="B280" s="69" t="str">
        <x:v>SRC020</x:v>
      </x:c>
      <x:c r="C280" s="69" t="str">
        <x:v>2023-2024</x:v>
      </x:c>
      <x:c r="D280" s="69" t="str">
        <x:v>line_item</x:v>
      </x:c>
      <x:c r="E280" s="69" t="str">
        <x:v>MD2023_2024_019-T02R006</x:v>
      </x:c>
      <x:c r="F280" s="71" t="str">
        <x:v>對講機系統:</x:v>
      </x:c>
      <x:c r="G280" s="71" t="str">
        <x:v>*</x:v>
      </x:c>
      <x:c r="H280" s="71" t="str"/>
      <x:c r="I280" s="72" t="n">
        <x:v>0</x:v>
      </x:c>
      <x:c r="J280" s="69" t="str">
        <x:v>0.00</x:v>
      </x:c>
      <x:c r="K280" s="70" t="n">
        <x:v>0</x:v>
      </x:c>
      <x:c r="L280" s="69" t="str">
        <x:v>0.00</x:v>
      </x:c>
      <x:c r="M280" s="70" t="n">
        <x:v>0</x:v>
      </x:c>
      <x:c r="N280" s="69" t="str">
        <x:v>0</x:v>
      </x:c>
      <x:c r="O280" s="71" t="str">
        <x:v>來源表頭對應</x:v>
      </x:c>
      <x:c r="P280" s="71" t="str">
        <x:v>HTML表格2／列6</x:v>
      </x:c>
      <x:c r="Q280" s="71" t="str">
        <x:v>028 | * | 對講機系統: | 0.00 | | 0.00 | 0 |</x:v>
      </x:c>
      <x:c r="R280" s="71" t="str">
        <x:v>各廠商合約&amp; 報價\MD檔案\20240802 宏交 弱電系統.md</x:v>
      </x:c>
    </x:row>
    <x:row r="281">
      <x:c r="A281" s="69" t="str">
        <x:v>ITEM00277</x:v>
      </x:c>
      <x:c r="B281" s="69" t="str">
        <x:v>SRC020</x:v>
      </x:c>
      <x:c r="C281" s="69" t="str">
        <x:v>2023-2024</x:v>
      </x:c>
      <x:c r="D281" s="69" t="str">
        <x:v>line_item</x:v>
      </x:c>
      <x:c r="E281" s="69" t="str">
        <x:v>MD2023_2024_019-T02R007</x:v>
      </x:c>
      <x:c r="F281" s="71" t="str">
        <x:v>感應彩色影視大門口機 4.3</x:v>
      </x:c>
      <x:c r="G281" s="71" t="str">
        <x:v>207-0210</x:v>
      </x:c>
      <x:c r="H281" s="71" t="str">
        <x:v>台</x:v>
      </x:c>
      <x:c r="I281" s="72" t="n">
        <x:v>1</x:v>
      </x:c>
      <x:c r="J281" s="69" t="str">
        <x:v>1.00</x:v>
      </x:c>
      <x:c r="K281" s="70" t="n">
        <x:v>19500</x:v>
      </x:c>
      <x:c r="L281" s="69" t="str">
        <x:v>19500.00</x:v>
      </x:c>
      <x:c r="M281" s="70" t="n">
        <x:v>19500</x:v>
      </x:c>
      <x:c r="N281" s="69" t="str">
        <x:v>19500</x:v>
      </x:c>
      <x:c r="O281" s="71" t="str">
        <x:v>來源表頭對應</x:v>
      </x:c>
      <x:c r="P281" s="71" t="str">
        <x:v>HTML表格2／列7</x:v>
      </x:c>
      <x:c r="Q281" s="71" t="str">
        <x:v>029 | 207-0210 | 感應彩色影視大門口機 4.3 | 1.00 | 台 | 19500.00 | 19500 |</x:v>
      </x:c>
      <x:c r="R281" s="71" t="str">
        <x:v>各廠商合約&amp; 報價\MD檔案\20240802 宏交 弱電系統.md</x:v>
      </x:c>
    </x:row>
    <x:row r="282">
      <x:c r="A282" s="69" t="str">
        <x:v>ITEM00278</x:v>
      </x:c>
      <x:c r="B282" s="69" t="str">
        <x:v>SRC020</x:v>
      </x:c>
      <x:c r="C282" s="69" t="str">
        <x:v>2023-2024</x:v>
      </x:c>
      <x:c r="D282" s="69" t="str">
        <x:v>line_item</x:v>
      </x:c>
      <x:c r="E282" s="69" t="str">
        <x:v>MD2023_2024_019-T02R008</x:v>
      </x:c>
      <x:c r="F282" s="71" t="str">
        <x:v>7吋觸控對講室內機</x:v>
      </x:c>
      <x:c r="G282" s="71" t="str">
        <x:v>207-0126</x:v>
      </x:c>
      <x:c r="H282" s="71" t="str">
        <x:v>台</x:v>
      </x:c>
      <x:c r="I282" s="72" t="n">
        <x:v>11</x:v>
      </x:c>
      <x:c r="J282" s="69" t="str">
        <x:v>11.00</x:v>
      </x:c>
      <x:c r="K282" s="70" t="n">
        <x:v>6800</x:v>
      </x:c>
      <x:c r="L282" s="69" t="str">
        <x:v>6800.00</x:v>
      </x:c>
      <x:c r="M282" s="70" t="n">
        <x:v>74800</x:v>
      </x:c>
      <x:c r="N282" s="69" t="str">
        <x:v>74800</x:v>
      </x:c>
      <x:c r="O282" s="71" t="str">
        <x:v>來源表頭對應</x:v>
      </x:c>
      <x:c r="P282" s="71" t="str">
        <x:v>HTML表格2／列8</x:v>
      </x:c>
      <x:c r="Q282" s="71" t="str">
        <x:v>030 | 207-0126 | 7吋觸控對講室內機 | 11.00 | 台 | 6800.00 | 74800 |</x:v>
      </x:c>
      <x:c r="R282" s="71" t="str">
        <x:v>各廠商合約&amp; 報價\MD檔案\20240802 宏交 弱電系統.md</x:v>
      </x:c>
    </x:row>
    <x:row r="283">
      <x:c r="A283" s="69" t="str">
        <x:v>ITEM00279</x:v>
      </x:c>
      <x:c r="B283" s="69" t="str">
        <x:v>SRC020</x:v>
      </x:c>
      <x:c r="C283" s="69" t="str">
        <x:v>2023-2024</x:v>
      </x:c>
      <x:c r="D283" s="69" t="str">
        <x:v>line_item</x:v>
      </x:c>
      <x:c r="E283" s="69" t="str">
        <x:v>MD2023_2024_019-T02R009</x:v>
      </x:c>
      <x:c r="F283" s="71" t="str">
        <x:v>住戶門鈴{無對講.無影像.純響鈴}</x:v>
      </x:c>
      <x:c r="G283" s="71" t="str">
        <x:v>UJ-03</x:v>
      </x:c>
      <x:c r="H283" s="71" t="str">
        <x:v>件</x:v>
      </x:c>
      <x:c r="I283" s="72" t="n">
        <x:v>11</x:v>
      </x:c>
      <x:c r="J283" s="69" t="str">
        <x:v>11.00</x:v>
      </x:c>
      <x:c r="K283" s="70" t="n">
        <x:v>800</x:v>
      </x:c>
      <x:c r="L283" s="69" t="str">
        <x:v>800.00</x:v>
      </x:c>
      <x:c r="M283" s="70" t="n">
        <x:v>8800</x:v>
      </x:c>
      <x:c r="N283" s="69" t="str">
        <x:v>8800</x:v>
      </x:c>
      <x:c r="O283" s="71" t="str">
        <x:v>來源表頭對應</x:v>
      </x:c>
      <x:c r="P283" s="71" t="str">
        <x:v>HTML表格2／列9</x:v>
      </x:c>
      <x:c r="Q283" s="71" t="str">
        <x:v>031 | UJ-03 | 住戶門鈴{無對講.無影像.純響鈴} | 11.00 | 件 | 800.00 | 8800 |</x:v>
      </x:c>
      <x:c r="R283" s="71" t="str">
        <x:v>各廠商合約&amp; 報價\MD檔案\20240802 宏交 弱電系統.md</x:v>
      </x:c>
    </x:row>
    <x:row r="284">
      <x:c r="A284" s="69" t="str">
        <x:v>ITEM00280</x:v>
      </x:c>
      <x:c r="B284" s="69" t="str">
        <x:v>SRC020</x:v>
      </x:c>
      <x:c r="C284" s="69" t="str">
        <x:v>2023-2024</x:v>
      </x:c>
      <x:c r="D284" s="69" t="str">
        <x:v>line_item</x:v>
      </x:c>
      <x:c r="E284" s="69" t="str">
        <x:v>MD2023_2024_019-T02R010</x:v>
      </x:c>
      <x:c r="F284" s="71" t="str">
        <x:v>網路專用對講集線器</x:v>
      </x:c>
      <x:c r="G284" s="71" t="str">
        <x:v>001-0403</x:v>
      </x:c>
      <x:c r="H284" s="71" t="str">
        <x:v>台</x:v>
      </x:c>
      <x:c r="I284" s="72" t="n">
        <x:v>3</x:v>
      </x:c>
      <x:c r="J284" s="69" t="str">
        <x:v>3.00</x:v>
      </x:c>
      <x:c r="K284" s="70" t="n">
        <x:v>2950</x:v>
      </x:c>
      <x:c r="L284" s="69" t="str">
        <x:v>2950.00</x:v>
      </x:c>
      <x:c r="M284" s="70" t="n">
        <x:v>8850</x:v>
      </x:c>
      <x:c r="N284" s="69" t="str">
        <x:v>8850</x:v>
      </x:c>
      <x:c r="O284" s="71" t="str">
        <x:v>來源表頭對應</x:v>
      </x:c>
      <x:c r="P284" s="71" t="str">
        <x:v>HTML表格2／列10</x:v>
      </x:c>
      <x:c r="Q284" s="71" t="str">
        <x:v>032 | 001-0403 | 網路專用對講集線器 | 3.00 | 台 | 2950.00 | 8850 |</x:v>
      </x:c>
      <x:c r="R284" s="71" t="str">
        <x:v>各廠商合約&amp; 報價\MD檔案\20240802 宏交 弱電系統.md</x:v>
      </x:c>
    </x:row>
    <x:row r="285">
      <x:c r="A285" s="69" t="str">
        <x:v>ITEM00281</x:v>
      </x:c>
      <x:c r="B285" s="69" t="str">
        <x:v>SRC020</x:v>
      </x:c>
      <x:c r="C285" s="69" t="str">
        <x:v>2023-2024</x:v>
      </x:c>
      <x:c r="D285" s="69" t="str">
        <x:v>line_item</x:v>
      </x:c>
      <x:c r="E285" s="69" t="str">
        <x:v>MD2023_2024_019-T02R011</x:v>
      </x:c>
      <x:c r="F285" s="71" t="str">
        <x:v>電源供應器</x:v>
      </x:c>
      <x:c r="G285" s="71" t="str">
        <x:v>001-9085</x:v>
      </x:c>
      <x:c r="H285" s="71" t="str">
        <x:v>個</x:v>
      </x:c>
      <x:c r="I285" s="72" t="n">
        <x:v>3</x:v>
      </x:c>
      <x:c r="J285" s="69" t="str">
        <x:v>3.00</x:v>
      </x:c>
      <x:c r="K285" s="70" t="n">
        <x:v>750</x:v>
      </x:c>
      <x:c r="L285" s="69" t="str">
        <x:v>750.00</x:v>
      </x:c>
      <x:c r="M285" s="70" t="n">
        <x:v>2250</x:v>
      </x:c>
      <x:c r="N285" s="69" t="str">
        <x:v>2250</x:v>
      </x:c>
      <x:c r="O285" s="71" t="str">
        <x:v>來源表頭對應</x:v>
      </x:c>
      <x:c r="P285" s="71" t="str">
        <x:v>HTML表格2／列11</x:v>
      </x:c>
      <x:c r="Q285" s="71" t="str">
        <x:v>033 | 001-9085 | 電源供應器 | 3.00 | 個 | 750.00 | 2250 |</x:v>
      </x:c>
      <x:c r="R285" s="71" t="str">
        <x:v>各廠商合約&amp; 報價\MD檔案\20240802 宏交 弱電系統.md</x:v>
      </x:c>
    </x:row>
    <x:row r="286">
      <x:c r="A286" s="69" t="str">
        <x:v>ITEM00282</x:v>
      </x:c>
      <x:c r="B286" s="69" t="str">
        <x:v>SRC020</x:v>
      </x:c>
      <x:c r="C286" s="69" t="str">
        <x:v>2023-2024</x:v>
      </x:c>
      <x:c r="D286" s="69" t="str">
        <x:v>line_item</x:v>
      </x:c>
      <x:c r="E286" s="69" t="str">
        <x:v>MD2023_2024_019-T02R012</x:v>
      </x:c>
      <x:c r="F286" s="71" t="str">
        <x:v>CAT.6e*4p 網路線灰色</x:v>
      </x:c>
      <x:c r="G286" s="71" t="str">
        <x:v>174-0720</x:v>
      </x:c>
      <x:c r="H286" s="71" t="str">
        <x:v>米</x:v>
      </x:c>
      <x:c r="I286" s="72" t="n">
        <x:v>395</x:v>
      </x:c>
      <x:c r="J286" s="69" t="str">
        <x:v>395.00</x:v>
      </x:c>
      <x:c r="K286" s="70" t="n">
        <x:v>13</x:v>
      </x:c>
      <x:c r="L286" s="69" t="str">
        <x:v>13.00</x:v>
      </x:c>
      <x:c r="M286" s="70" t="n">
        <x:v>5135</x:v>
      </x:c>
      <x:c r="N286" s="69" t="str">
        <x:v>5135</x:v>
      </x:c>
      <x:c r="O286" s="71" t="str">
        <x:v>來源表頭對應</x:v>
      </x:c>
      <x:c r="P286" s="71" t="str">
        <x:v>HTML表格2／列12</x:v>
      </x:c>
      <x:c r="Q286" s="71" t="str">
        <x:v>034 | 174-0720 | CAT.6e*4p 網路線灰色 | 395.00 | 米 | 13.00 | 5135 |</x:v>
      </x:c>
      <x:c r="R286" s="71" t="str">
        <x:v>各廠商合約&amp; 報價\MD檔案\20240802 宏交 弱電系統.md</x:v>
      </x:c>
    </x:row>
    <x:row r="287">
      <x:c r="A287" s="69" t="str">
        <x:v>ITEM00283</x:v>
      </x:c>
      <x:c r="B287" s="69" t="str">
        <x:v>SRC020</x:v>
      </x:c>
      <x:c r="C287" s="69" t="str">
        <x:v>2023-2024</x:v>
      </x:c>
      <x:c r="D287" s="69" t="str">
        <x:v>line_item</x:v>
      </x:c>
      <x:c r="E287" s="69" t="str">
        <x:v>MD2023_2024_019-T02R013</x:v>
      </x:c>
      <x:c r="F287" s="71" t="str">
        <x:v>0.75*2C PVC電源線</x:v>
      </x:c>
      <x:c r="G287" s="71" t="str">
        <x:v>129-0071</x:v>
      </x:c>
      <x:c r="H287" s="71" t="str">
        <x:v>米</x:v>
      </x:c>
      <x:c r="I287" s="72" t="n">
        <x:v>95</x:v>
      </x:c>
      <x:c r="J287" s="69" t="str">
        <x:v>95.00</x:v>
      </x:c>
      <x:c r="K287" s="70" t="n">
        <x:v>15</x:v>
      </x:c>
      <x:c r="L287" s="69" t="str">
        <x:v>15.00</x:v>
      </x:c>
      <x:c r="M287" s="70" t="n">
        <x:v>1425</x:v>
      </x:c>
      <x:c r="N287" s="69" t="str">
        <x:v>1425</x:v>
      </x:c>
      <x:c r="O287" s="71" t="str">
        <x:v>來源表頭對應</x:v>
      </x:c>
      <x:c r="P287" s="71" t="str">
        <x:v>HTML表格2／列13</x:v>
      </x:c>
      <x:c r="Q287" s="71" t="str">
        <x:v>035 | 129-0071 | 0.75*2C PVC電源線 | 95.00 | 米 | 15.00 | 1425 |</x:v>
      </x:c>
      <x:c r="R287" s="71" t="str">
        <x:v>各廠商合約&amp; 報價\MD檔案\20240802 宏交 弱電系統.md</x:v>
      </x:c>
    </x:row>
    <x:row r="288">
      <x:c r="A288" s="69" t="str">
        <x:v>ITEM00284</x:v>
      </x:c>
      <x:c r="B288" s="69" t="str">
        <x:v>SRC020</x:v>
      </x:c>
      <x:c r="C288" s="69" t="str">
        <x:v>2023-2024</x:v>
      </x:c>
      <x:c r="D288" s="69" t="str">
        <x:v>line_item</x:v>
      </x:c>
      <x:c r="E288" s="69" t="str">
        <x:v>MD2023_2024_019-T02R014</x:v>
      </x:c>
      <x:c r="F288" s="71" t="str">
        <x:v>五金另料</x:v>
      </x:c>
      <x:c r="G288" s="71" t="str">
        <x:v>320-0030</x:v>
      </x:c>
      <x:c r="H288" s="71" t="str">
        <x:v>式</x:v>
      </x:c>
      <x:c r="I288" s="72" t="n">
        <x:v>1</x:v>
      </x:c>
      <x:c r="J288" s="69" t="str">
        <x:v>1.00</x:v>
      </x:c>
      <x:c r="K288" s="70" t="n">
        <x:v>1273</x:v>
      </x:c>
      <x:c r="L288" s="69" t="str">
        <x:v>1273.00</x:v>
      </x:c>
      <x:c r="M288" s="70" t="n">
        <x:v>1273</x:v>
      </x:c>
      <x:c r="N288" s="69" t="str">
        <x:v>1273</x:v>
      </x:c>
      <x:c r="O288" s="71" t="str">
        <x:v>來源表頭對應</x:v>
      </x:c>
      <x:c r="P288" s="71" t="str">
        <x:v>HTML表格2／列14</x:v>
      </x:c>
      <x:c r="Q288" s="71" t="str">
        <x:v>036 | 320-0030 | 五金另料 | 1.00 | 式 | 1273.00 | 1273 |</x:v>
      </x:c>
      <x:c r="R288" s="71" t="str">
        <x:v>各廠商合約&amp; 報價\MD檔案\20240802 宏交 弱電系統.md</x:v>
      </x:c>
    </x:row>
    <x:row r="289">
      <x:c r="A289" s="69" t="str">
        <x:v>ITEM00285</x:v>
      </x:c>
      <x:c r="B289" s="69" t="str">
        <x:v>SRC020</x:v>
      </x:c>
      <x:c r="C289" s="69" t="str">
        <x:v>2023-2024</x:v>
      </x:c>
      <x:c r="D289" s="69" t="str">
        <x:v>line_item</x:v>
      </x:c>
      <x:c r="E289" s="69" t="str">
        <x:v>MD2023_2024_019-T02R015</x:v>
      </x:c>
      <x:c r="F289" s="71" t="str">
        <x:v>配線及安裝工資</x:v>
      </x:c>
      <x:c r="G289" s="71" t="str">
        <x:v>321-0038-1</x:v>
      </x:c>
      <x:c r="H289" s="71" t="str">
        <x:v>式</x:v>
      </x:c>
      <x:c r="I289" s="72" t="n">
        <x:v>1</x:v>
      </x:c>
      <x:c r="J289" s="69" t="str">
        <x:v>1.00</x:v>
      </x:c>
      <x:c r="K289" s="70" t="n">
        <x:v>18500</x:v>
      </x:c>
      <x:c r="L289" s="69" t="str">
        <x:v>18500.00</x:v>
      </x:c>
      <x:c r="M289" s="70" t="n">
        <x:v>18500</x:v>
      </x:c>
      <x:c r="N289" s="69" t="str">
        <x:v>18500</x:v>
      </x:c>
      <x:c r="O289" s="71" t="str">
        <x:v>來源表頭對應</x:v>
      </x:c>
      <x:c r="P289" s="71" t="str">
        <x:v>HTML表格2／列15</x:v>
      </x:c>
      <x:c r="Q289" s="71" t="str">
        <x:v>037 | 321-0038-1 | 配線及安裝工資 | 1.00 | 式 | 18500.00 | 18500 |</x:v>
      </x:c>
      <x:c r="R289" s="71" t="str">
        <x:v>各廠商合約&amp; 報價\MD檔案\20240802 宏交 弱電系統.md</x:v>
      </x:c>
    </x:row>
    <x:row r="290">
      <x:c r="A290" s="69" t="str">
        <x:v>ITEM00286</x:v>
      </x:c>
      <x:c r="B290" s="69" t="str">
        <x:v>SRC020</x:v>
      </x:c>
      <x:c r="C290" s="69" t="str">
        <x:v>2023-2024</x:v>
      </x:c>
      <x:c r="D290" s="69" t="str">
        <x:v>line_item</x:v>
      </x:c>
      <x:c r="E290" s="69" t="str">
        <x:v>MD2023_2024_019-T02R016</x:v>
      </x:c>
      <x:c r="F290" s="71" t="str">
        <x:v>車道管理系統:</x:v>
      </x:c>
      <x:c r="G290" s="71" t="str">
        <x:v>*</x:v>
      </x:c>
      <x:c r="H290" s="71" t="str"/>
      <x:c r="I290" s="72" t="n">
        <x:v>0</x:v>
      </x:c>
      <x:c r="J290" s="69" t="str">
        <x:v>0.00</x:v>
      </x:c>
      <x:c r="K290" s="70" t="n">
        <x:v>0</x:v>
      </x:c>
      <x:c r="L290" s="69" t="str">
        <x:v>0.00</x:v>
      </x:c>
      <x:c r="M290" s="70" t="n">
        <x:v>0</x:v>
      </x:c>
      <x:c r="N290" s="69" t="str">
        <x:v>0</x:v>
      </x:c>
      <x:c r="O290" s="71" t="str">
        <x:v>來源表頭對應</x:v>
      </x:c>
      <x:c r="P290" s="71" t="str">
        <x:v>HTML表格2／列16</x:v>
      </x:c>
      <x:c r="Q290" s="71" t="str">
        <x:v>038 | * | 車道管理系統: | 0.00 | | 0.00 | 0 |</x:v>
      </x:c>
      <x:c r="R290" s="71" t="str">
        <x:v>各廠商合約&amp; 報價\MD檔案\20240802 宏交 弱電系統.md</x:v>
      </x:c>
    </x:row>
    <x:row r="291">
      <x:c r="A291" s="69" t="str">
        <x:v>ITEM00287</x:v>
      </x:c>
      <x:c r="B291" s="69" t="str">
        <x:v>SRC020</x:v>
      </x:c>
      <x:c r="C291" s="69" t="str">
        <x:v>2023-2024</x:v>
      </x:c>
      <x:c r="D291" s="69" t="str">
        <x:v>line_item</x:v>
      </x:c>
      <x:c r="E291" s="69" t="str">
        <x:v>MD2023_2024_019-T02R017</x:v>
      </x:c>
      <x:c r="F291" s="71" t="str">
        <x:v>柵欄機</x:v>
      </x:c>
      <x:c r="G291" s="71" t="str">
        <x:v>452-0004</x:v>
      </x:c>
      <x:c r="H291" s="71" t="str">
        <x:v>台</x:v>
      </x:c>
      <x:c r="I291" s="72" t="n">
        <x:v>1</x:v>
      </x:c>
      <x:c r="J291" s="69" t="str">
        <x:v>1.00</x:v>
      </x:c>
      <x:c r="K291" s="70" t="n">
        <x:v>28500</x:v>
      </x:c>
      <x:c r="L291" s="69" t="str">
        <x:v>28500.00</x:v>
      </x:c>
      <x:c r="M291" s="70" t="n">
        <x:v>28500</x:v>
      </x:c>
      <x:c r="N291" s="69" t="str">
        <x:v>28500</x:v>
      </x:c>
      <x:c r="O291" s="71" t="str">
        <x:v>來源表頭對應</x:v>
      </x:c>
      <x:c r="P291" s="71" t="str">
        <x:v>HTML表格2／列17</x:v>
      </x:c>
      <x:c r="Q291" s="71" t="str">
        <x:v>039 | 452-0004 | 柵欄機 | 1.00 | 台 | 28500.00 | 28500 |</x:v>
      </x:c>
      <x:c r="R291" s="71" t="str">
        <x:v>各廠商合約&amp; 報價\MD檔案\20240802 宏交 弱電系統.md</x:v>
      </x:c>
    </x:row>
    <x:row r="292">
      <x:c r="A292" s="69" t="str">
        <x:v>ITEM00288</x:v>
      </x:c>
      <x:c r="B292" s="69" t="str">
        <x:v>SRC020</x:v>
      </x:c>
      <x:c r="C292" s="69" t="str">
        <x:v>2023-2024</x:v>
      </x:c>
      <x:c r="D292" s="69" t="str">
        <x:v>line_item</x:v>
      </x:c>
      <x:c r="E292" s="69" t="str">
        <x:v>MD2023_2024_019-T02R018</x:v>
      </x:c>
      <x:c r="F292" s="71" t="str">
        <x:v>遙控器</x:v>
      </x:c>
      <x:c r="G292" s="71" t="str">
        <x:v>452-0250</x:v>
      </x:c>
      <x:c r="H292" s="71" t="str">
        <x:v>個</x:v>
      </x:c>
      <x:c r="I292" s="72" t="n">
        <x:v>15</x:v>
      </x:c>
      <x:c r="J292" s="69" t="str">
        <x:v>15.00</x:v>
      </x:c>
      <x:c r="K292" s="70" t="n">
        <x:v>500</x:v>
      </x:c>
      <x:c r="L292" s="69" t="str">
        <x:v>500.00</x:v>
      </x:c>
      <x:c r="M292" s="70" t="n">
        <x:v>7500</x:v>
      </x:c>
      <x:c r="N292" s="69" t="str">
        <x:v>7500</x:v>
      </x:c>
      <x:c r="O292" s="71" t="str">
        <x:v>來源表頭對應</x:v>
      </x:c>
      <x:c r="P292" s="71" t="str">
        <x:v>HTML表格2／列18</x:v>
      </x:c>
      <x:c r="Q292" s="71" t="str">
        <x:v>040 | 452-0250 | 遙控器 | 15.00 | 個 | 500.00 | 7500 |</x:v>
      </x:c>
      <x:c r="R292" s="71" t="str">
        <x:v>各廠商合約&amp; 報價\MD檔案\20240802 宏交 弱電系統.md</x:v>
      </x:c>
    </x:row>
    <x:row r="293">
      <x:c r="A293" s="69" t="str">
        <x:v>ITEM00289</x:v>
      </x:c>
      <x:c r="B293" s="69" t="str">
        <x:v>SRC020</x:v>
      </x:c>
      <x:c r="C293" s="69" t="str">
        <x:v>2023-2024</x:v>
      </x:c>
      <x:c r="D293" s="69" t="str">
        <x:v>line_item</x:v>
      </x:c>
      <x:c r="E293" s="69" t="str">
        <x:v>MD2023_2024_019-T02R019</x:v>
      </x:c>
      <x:c r="F293" s="71" t="str">
        <x:v>防壓感應線圈</x:v>
      </x:c>
      <x:c r="G293" s="71" t="str">
        <x:v>452-0200</x:v>
      </x:c>
      <x:c r="H293" s="71" t="str">
        <x:v>米</x:v>
      </x:c>
      <x:c r="I293" s="72" t="n">
        <x:v>45</x:v>
      </x:c>
      <x:c r="J293" s="69" t="str">
        <x:v>45.00</x:v>
      </x:c>
      <x:c r="K293" s="70" t="n">
        <x:v>35</x:v>
      </x:c>
      <x:c r="L293" s="69" t="str">
        <x:v>35.00</x:v>
      </x:c>
      <x:c r="M293" s="70" t="n">
        <x:v>1575</x:v>
      </x:c>
      <x:c r="N293" s="69" t="str">
        <x:v>1575</x:v>
      </x:c>
      <x:c r="O293" s="71" t="str">
        <x:v>來源表頭對應</x:v>
      </x:c>
      <x:c r="P293" s="71" t="str">
        <x:v>HTML表格2／列19</x:v>
      </x:c>
      <x:c r="Q293" s="71" t="str">
        <x:v>041 | 452-0200 | 防壓感應線圈 | 45.00 | 米 | 35.00 | 1575 |</x:v>
      </x:c>
      <x:c r="R293" s="71" t="str">
        <x:v>各廠商合約&amp; 報價\MD檔案\20240802 宏交 弱電系統.md</x:v>
      </x:c>
    </x:row>
    <x:row r="294">
      <x:c r="A294" s="69" t="str">
        <x:v>ITEM00290</x:v>
      </x:c>
      <x:c r="B294" s="69" t="str">
        <x:v>SRC020</x:v>
      </x:c>
      <x:c r="C294" s="69" t="str">
        <x:v>2023-2024</x:v>
      </x:c>
      <x:c r="D294" s="69" t="str">
        <x:v>line_item</x:v>
      </x:c>
      <x:c r="E294" s="69" t="str">
        <x:v>MD2023_2024_019-T02R020</x:v>
      </x:c>
      <x:c r="F294" s="71" t="str">
        <x:v>數位式感應線圈車輛偵測器(柵欄機防下壓)</x:v>
      </x:c>
      <x:c r="G294" s="71" t="str">
        <x:v>452-0065</x:v>
      </x:c>
      <x:c r="H294" s="71" t="str">
        <x:v>組</x:v>
      </x:c>
      <x:c r="I294" s="72" t="n">
        <x:v>1</x:v>
      </x:c>
      <x:c r="J294" s="69" t="str">
        <x:v>1.00</x:v>
      </x:c>
      <x:c r="K294" s="70" t="n">
        <x:v>4500</x:v>
      </x:c>
      <x:c r="L294" s="69" t="str">
        <x:v>4500.00</x:v>
      </x:c>
      <x:c r="M294" s="70" t="n">
        <x:v>4500</x:v>
      </x:c>
      <x:c r="N294" s="69" t="str">
        <x:v>4500</x:v>
      </x:c>
      <x:c r="O294" s="71" t="str">
        <x:v>來源表頭對應</x:v>
      </x:c>
      <x:c r="P294" s="71" t="str">
        <x:v>HTML表格2／列20</x:v>
      </x:c>
      <x:c r="Q294" s="71" t="str">
        <x:v>042 | 452-0065 | 數位式感應線圈車輛偵測器(柵欄機防下壓) | 1.00 | 組 | 4500.00 | 4500 |</x:v>
      </x:c>
      <x:c r="R294" s="71" t="str">
        <x:v>各廠商合約&amp; 報價\MD檔案\20240802 宏交 弱電系統.md</x:v>
      </x:c>
    </x:row>
    <x:row r="295">
      <x:c r="A295" s="69" t="str">
        <x:v>ITEM00291</x:v>
      </x:c>
      <x:c r="B295" s="69" t="str">
        <x:v>SRC020</x:v>
      </x:c>
      <x:c r="C295" s="69" t="str">
        <x:v>2023-2024</x:v>
      </x:c>
      <x:c r="D295" s="69" t="str">
        <x:v>line_item</x:v>
      </x:c>
      <x:c r="E295" s="69" t="str">
        <x:v>MD2023_2024_019-T02R021</x:v>
      </x:c>
      <x:c r="F295" s="71" t="str">
        <x:v>長距離讀頭-E-tag(不要裝e-tag43.44.45.46可以不要)</x:v>
      </x:c>
      <x:c r="G295" s="71" t="str">
        <x:v>168-0022</x:v>
      </x:c>
      <x:c r="H295" s="71" t="str">
        <x:v>台</x:v>
      </x:c>
      <x:c r="I295" s="72" t="n">
        <x:v>1</x:v>
      </x:c>
      <x:c r="J295" s="69" t="str">
        <x:v>1.00</x:v>
      </x:c>
      <x:c r="K295" s="70" t="n">
        <x:v>13500</x:v>
      </x:c>
      <x:c r="L295" s="69" t="str">
        <x:v>13500.00</x:v>
      </x:c>
      <x:c r="M295" s="70" t="n">
        <x:v>13500</x:v>
      </x:c>
      <x:c r="N295" s="69" t="str">
        <x:v>13500</x:v>
      </x:c>
      <x:c r="O295" s="71" t="str">
        <x:v>來源表頭對應</x:v>
      </x:c>
      <x:c r="P295" s="71" t="str">
        <x:v>HTML表格2／列21</x:v>
      </x:c>
      <x:c r="Q295" s="71" t="str">
        <x:v>043 | 168-0022 | 長距離讀頭-E-tag(不要裝e-tag43.44.45.46可以不要) | 1.00 | 台 | 13500.00 | 13500 |</x:v>
      </x:c>
      <x:c r="R295" s="71" t="str">
        <x:v>各廠商合約&amp; 報價\MD檔案\20240802 宏交 弱電系統.md</x:v>
      </x:c>
    </x:row>
    <x:row r="296">
      <x:c r="A296" s="69" t="str">
        <x:v>ITEM00292</x:v>
      </x:c>
      <x:c r="B296" s="69" t="str">
        <x:v>SRC020</x:v>
      </x:c>
      <x:c r="C296" s="69" t="str">
        <x:v>2023-2024</x:v>
      </x:c>
      <x:c r="D296" s="69" t="str">
        <x:v>line_item</x:v>
      </x:c>
      <x:c r="E296" s="69" t="str">
        <x:v>MD2023_2024_019-T02R022</x:v>
      </x:c>
      <x:c r="F296" s="71" t="str">
        <x:v>中文背光感應機(讀到條碼,設定哪些車輛可以進出)</x:v>
      </x:c>
      <x:c r="G296" s="71" t="str">
        <x:v>168-0056</x:v>
      </x:c>
      <x:c r="H296" s="71" t="str">
        <x:v>台</x:v>
      </x:c>
      <x:c r="I296" s="72" t="n">
        <x:v>1</x:v>
      </x:c>
      <x:c r="J296" s="69" t="str">
        <x:v>1.00</x:v>
      </x:c>
      <x:c r="K296" s="70" t="n">
        <x:v>4800</x:v>
      </x:c>
      <x:c r="L296" s="69" t="str">
        <x:v>4800.00</x:v>
      </x:c>
      <x:c r="M296" s="70" t="n">
        <x:v>4800</x:v>
      </x:c>
      <x:c r="N296" s="69" t="str">
        <x:v>4800</x:v>
      </x:c>
      <x:c r="O296" s="71" t="str">
        <x:v>來源表頭對應</x:v>
      </x:c>
      <x:c r="P296" s="71" t="str">
        <x:v>HTML表格2／列22</x:v>
      </x:c>
      <x:c r="Q296" s="71" t="str">
        <x:v>044 | 168-0056 | 中文背光感應機(讀到條碼,設定哪些車輛可以進出) | 1.00 | 台 | 4800.00 | 4800 |</x:v>
      </x:c>
      <x:c r="R296" s="71" t="str">
        <x:v>各廠商合約&amp; 報價\MD檔案\20240802 宏交 弱電系統.md</x:v>
      </x:c>
    </x:row>
    <x:row r="297">
      <x:c r="A297" s="69" t="str">
        <x:v>ITEM00293</x:v>
      </x:c>
      <x:c r="B297" s="69" t="str">
        <x:v>SRC020</x:v>
      </x:c>
      <x:c r="C297" s="69" t="str">
        <x:v>2023-2024</x:v>
      </x:c>
      <x:c r="D297" s="69" t="str">
        <x:v>line_item</x:v>
      </x:c>
      <x:c r="E297" s="69" t="str">
        <x:v>MD2023_2024_019-T02R023</x:v>
      </x:c>
      <x:c r="F297" s="71" t="str">
        <x:v>ETAG貼紙</x:v>
      </x:c>
      <x:c r="G297" s="71" t="str">
        <x:v>452-9024</x:v>
      </x:c>
      <x:c r="H297" s="71" t="str">
        <x:v>張</x:v>
      </x:c>
      <x:c r="I297" s="72" t="n">
        <x:v>15</x:v>
      </x:c>
      <x:c r="J297" s="69" t="str">
        <x:v>15.00</x:v>
      </x:c>
      <x:c r="K297" s="70" t="n">
        <x:v>150</x:v>
      </x:c>
      <x:c r="L297" s="69" t="str">
        <x:v>150.00</x:v>
      </x:c>
      <x:c r="M297" s="70" t="n">
        <x:v>2250</x:v>
      </x:c>
      <x:c r="N297" s="69" t="str">
        <x:v>2250</x:v>
      </x:c>
      <x:c r="O297" s="71" t="str">
        <x:v>來源表頭對應</x:v>
      </x:c>
      <x:c r="P297" s="71" t="str">
        <x:v>HTML表格2／列23</x:v>
      </x:c>
      <x:c r="Q297" s="71" t="str">
        <x:v>045 | 452-9024 | ETAG貼紙 | 15.00 | 張 | 150.00 | 2250 |</x:v>
      </x:c>
      <x:c r="R297" s="71" t="str">
        <x:v>各廠商合約&amp; 報價\MD檔案\20240802 宏交 弱電系統.md</x:v>
      </x:c>
    </x:row>
    <x:row r="298">
      <x:c r="A298" s="69" t="str">
        <x:v>ITEM00294</x:v>
      </x:c>
      <x:c r="B298" s="69" t="str">
        <x:v>SRC020</x:v>
      </x:c>
      <x:c r="C298" s="69" t="str">
        <x:v>2023-2024</x:v>
      </x:c>
      <x:c r="D298" s="69" t="str">
        <x:v>line_item</x:v>
      </x:c>
      <x:c r="E298" s="69" t="str">
        <x:v>MD2023_2024_019-T03R002</x:v>
      </x:c>
      <x:c r="F298" s="71" t="str">
        <x:v>數位式感應線圈車輛偵測器(感應啟動讀頭)</x:v>
      </x:c>
      <x:c r="G298" s="71" t="str">
        <x:v>452-0065</x:v>
      </x:c>
      <x:c r="H298" s="71" t="str">
        <x:v>組</x:v>
      </x:c>
      <x:c r="I298" s="72" t="n">
        <x:v>1</x:v>
      </x:c>
      <x:c r="J298" s="69" t="str">
        <x:v>1.00</x:v>
      </x:c>
      <x:c r="K298" s="70" t="n">
        <x:v>4500</x:v>
      </x:c>
      <x:c r="L298" s="69" t="str">
        <x:v>4500.00</x:v>
      </x:c>
      <x:c r="M298" s="70" t="n">
        <x:v>4500</x:v>
      </x:c>
      <x:c r="N298" s="69" t="str">
        <x:v>4500</x:v>
      </x:c>
      <x:c r="O298" s="71" t="str">
        <x:v>來源表頭對應</x:v>
      </x:c>
      <x:c r="P298" s="71" t="str">
        <x:v>HTML表格3／列2</x:v>
      </x:c>
      <x:c r="Q298" s="71" t="str">
        <x:v>046 | 452-0065 | 數位式感應線圈車輛偵測器(感應啟動讀頭) | 1.00 | 組 | 4500.00 | 4500 |</x:v>
      </x:c>
      <x:c r="R298" s="71" t="str">
        <x:v>各廠商合約&amp; 報價\MD檔案\20240802 宏交 弱電系統.md</x:v>
      </x:c>
    </x:row>
    <x:row r="299">
      <x:c r="A299" s="69" t="str">
        <x:v>ITEM00295</x:v>
      </x:c>
      <x:c r="B299" s="69" t="str">
        <x:v>SRC020</x:v>
      </x:c>
      <x:c r="C299" s="69" t="str">
        <x:v>2023-2024</x:v>
      </x:c>
      <x:c r="D299" s="69" t="str">
        <x:v>line_item</x:v>
      </x:c>
      <x:c r="E299" s="69" t="str">
        <x:v>MD2023_2024_019-T03R003</x:v>
      </x:c>
      <x:c r="F299" s="71" t="str">
        <x:v>車道三代主機</x:v>
      </x:c>
      <x:c r="G299" s="71" t="str">
        <x:v>452-0076</x:v>
      </x:c>
      <x:c r="H299" s="71" t="str">
        <x:v>台</x:v>
      </x:c>
      <x:c r="I299" s="72" t="n">
        <x:v>1</x:v>
      </x:c>
      <x:c r="J299" s="69" t="str">
        <x:v>1.00</x:v>
      </x:c>
      <x:c r="K299" s="70" t="n">
        <x:v>6500</x:v>
      </x:c>
      <x:c r="L299" s="69" t="str">
        <x:v>6500.00</x:v>
      </x:c>
      <x:c r="M299" s="70" t="n">
        <x:v>6500</x:v>
      </x:c>
      <x:c r="N299" s="69" t="str">
        <x:v>6500</x:v>
      </x:c>
      <x:c r="O299" s="71" t="str">
        <x:v>來源表頭對應</x:v>
      </x:c>
      <x:c r="P299" s="71" t="str">
        <x:v>HTML表格3／列3</x:v>
      </x:c>
      <x:c r="Q299" s="71" t="str">
        <x:v>047 | 452-0076 | 車道三代主機 | 1.00 | 台 | 6500.00 | 6500 |</x:v>
      </x:c>
      <x:c r="R299" s="71" t="str">
        <x:v>各廠商合約&amp; 報價\MD檔案\20240802 宏交 弱電系統.md</x:v>
      </x:c>
    </x:row>
    <x:row r="300">
      <x:c r="A300" s="69" t="str">
        <x:v>ITEM00296</x:v>
      </x:c>
      <x:c r="B300" s="69" t="str">
        <x:v>SRC020</x:v>
      </x:c>
      <x:c r="C300" s="69" t="str">
        <x:v>2023-2024</x:v>
      </x:c>
      <x:c r="D300" s="69" t="str">
        <x:v>line_item</x:v>
      </x:c>
      <x:c r="E300" s="69" t="str">
        <x:v>MD2023_2024_019-T03R004</x:v>
      </x:c>
      <x:c r="F300" s="71" t="str">
        <x:v>對照式紅外線</x:v>
      </x:c>
      <x:c r="G300" s="71" t="str">
        <x:v>452-0050</x:v>
      </x:c>
      <x:c r="H300" s="71" t="str">
        <x:v>組</x:v>
      </x:c>
      <x:c r="I300" s="72" t="n">
        <x:v>2</x:v>
      </x:c>
      <x:c r="J300" s="69" t="str">
        <x:v>2.00</x:v>
      </x:c>
      <x:c r="K300" s="70" t="n">
        <x:v>2600</x:v>
      </x:c>
      <x:c r="L300" s="69" t="str">
        <x:v>2600.00</x:v>
      </x:c>
      <x:c r="M300" s="70" t="n">
        <x:v>5200</x:v>
      </x:c>
      <x:c r="N300" s="69" t="str">
        <x:v>5200</x:v>
      </x:c>
      <x:c r="O300" s="71" t="str">
        <x:v>來源表頭對應</x:v>
      </x:c>
      <x:c r="P300" s="71" t="str">
        <x:v>HTML表格3／列4</x:v>
      </x:c>
      <x:c r="Q300" s="71" t="str">
        <x:v>048 | 452-0050 | 對照式紅外線 | 2.00 | 組 | 2600.00 | 5200 |</x:v>
      </x:c>
      <x:c r="R300" s="71" t="str">
        <x:v>各廠商合約&amp; 報價\MD檔案\20240802 宏交 弱電系統.md</x:v>
      </x:c>
    </x:row>
    <x:row r="301">
      <x:c r="A301" s="69" t="str">
        <x:v>ITEM00297</x:v>
      </x:c>
      <x:c r="B301" s="69" t="str">
        <x:v>SRC020</x:v>
      </x:c>
      <x:c r="C301" s="69" t="str">
        <x:v>2023-2024</x:v>
      </x:c>
      <x:c r="D301" s="69" t="str">
        <x:v>line_item</x:v>
      </x:c>
      <x:c r="E301" s="69" t="str">
        <x:v>MD2023_2024_019-T03R005</x:v>
      </x:c>
      <x:c r="F301" s="71" t="str">
        <x:v>精緻型LED紅綠燈</x:v>
      </x:c>
      <x:c r="G301" s="71" t="str">
        <x:v>452-0080</x:v>
      </x:c>
      <x:c r="H301" s="71" t="str">
        <x:v>塊</x:v>
      </x:c>
      <x:c r="I301" s="72" t="n">
        <x:v>3</x:v>
      </x:c>
      <x:c r="J301" s="69" t="str">
        <x:v>3.00</x:v>
      </x:c>
      <x:c r="K301" s="70" t="n">
        <x:v>5200</x:v>
      </x:c>
      <x:c r="L301" s="69" t="str">
        <x:v>5200.00</x:v>
      </x:c>
      <x:c r="M301" s="70" t="n">
        <x:v>15600</x:v>
      </x:c>
      <x:c r="N301" s="69" t="str">
        <x:v>15600</x:v>
      </x:c>
      <x:c r="O301" s="71" t="str">
        <x:v>來源表頭對應</x:v>
      </x:c>
      <x:c r="P301" s="71" t="str">
        <x:v>HTML表格3／列5</x:v>
      </x:c>
      <x:c r="Q301" s="71" t="str">
        <x:v>049 | 452-0080 | 精緻型LED紅綠燈 | 3.00 | 塊 | 5200.00 | 15600 |</x:v>
      </x:c>
      <x:c r="R301" s="71" t="str">
        <x:v>各廠商合約&amp; 報價\MD檔案\20240802 宏交 弱電系統.md</x:v>
      </x:c>
    </x:row>
    <x:row r="302">
      <x:c r="A302" s="69" t="str">
        <x:v>ITEM00298</x:v>
      </x:c>
      <x:c r="B302" s="69" t="str">
        <x:v>SRC020</x:v>
      </x:c>
      <x:c r="C302" s="69" t="str">
        <x:v>2023-2024</x:v>
      </x:c>
      <x:c r="D302" s="69" t="str">
        <x:v>line_item</x:v>
      </x:c>
      <x:c r="E302" s="69" t="str">
        <x:v>MD2023_2024_019-T03R006</x:v>
      </x:c>
      <x:c r="F302" s="71" t="str">
        <x:v>旋轉警示燈 LED</x:v>
      </x:c>
      <x:c r="G302" s="71" t="str">
        <x:v>210-0060</x:v>
      </x:c>
      <x:c r="H302" s="71" t="str">
        <x:v>只</x:v>
      </x:c>
      <x:c r="I302" s="72" t="n">
        <x:v>3</x:v>
      </x:c>
      <x:c r="J302" s="69" t="str">
        <x:v>3.00</x:v>
      </x:c>
      <x:c r="K302" s="70" t="n">
        <x:v>1000</x:v>
      </x:c>
      <x:c r="L302" s="69" t="str">
        <x:v>1000.00</x:v>
      </x:c>
      <x:c r="M302" s="70" t="n">
        <x:v>3000</x:v>
      </x:c>
      <x:c r="N302" s="69" t="str">
        <x:v>3000</x:v>
      </x:c>
      <x:c r="O302" s="71" t="str">
        <x:v>來源表頭對應</x:v>
      </x:c>
      <x:c r="P302" s="71" t="str">
        <x:v>HTML表格3／列6</x:v>
      </x:c>
      <x:c r="Q302" s="71" t="str">
        <x:v>050 | 210-0060 | 旋轉警示燈 LED | 3.00 | 只 | 1000.00 | 3000 |</x:v>
      </x:c>
      <x:c r="R302" s="71" t="str">
        <x:v>各廠商合約&amp; 報價\MD檔案\20240802 宏交 弱電系統.md</x:v>
      </x:c>
    </x:row>
    <x:row r="303">
      <x:c r="A303" s="69" t="str">
        <x:v>ITEM00299</x:v>
      </x:c>
      <x:c r="B303" s="69" t="str">
        <x:v>SRC020</x:v>
      </x:c>
      <x:c r="C303" s="69" t="str">
        <x:v>2023-2024</x:v>
      </x:c>
      <x:c r="D303" s="69" t="str">
        <x:v>line_item</x:v>
      </x:c>
      <x:c r="E303" s="69" t="str">
        <x:v>MD2023_2024_019-T03R007</x:v>
      </x:c>
      <x:c r="F303" s="71" t="str">
        <x:v>五金另料</x:v>
      </x:c>
      <x:c r="G303" s="71" t="str">
        <x:v>320-0030</x:v>
      </x:c>
      <x:c r="H303" s="71" t="str">
        <x:v>式</x:v>
      </x:c>
      <x:c r="I303" s="72" t="n">
        <x:v>1</x:v>
      </x:c>
      <x:c r="J303" s="69" t="str">
        <x:v>1.00</x:v>
      </x:c>
      <x:c r="K303" s="70" t="n">
        <x:v>1500</x:v>
      </x:c>
      <x:c r="L303" s="69" t="str">
        <x:v>1500.00</x:v>
      </x:c>
      <x:c r="M303" s="70" t="n">
        <x:v>1500</x:v>
      </x:c>
      <x:c r="N303" s="69" t="str">
        <x:v>1500</x:v>
      </x:c>
      <x:c r="O303" s="71" t="str">
        <x:v>來源表頭對應</x:v>
      </x:c>
      <x:c r="P303" s="71" t="str">
        <x:v>HTML表格3／列7</x:v>
      </x:c>
      <x:c r="Q303" s="71" t="str">
        <x:v>051 | 320-0030 | 五金另料 | 1.00 | 式 | 1500.00 | 1500 |</x:v>
      </x:c>
      <x:c r="R303" s="71" t="str">
        <x:v>各廠商合約&amp; 報價\MD檔案\20240802 宏交 弱電系統.md</x:v>
      </x:c>
    </x:row>
    <x:row r="304">
      <x:c r="A304" s="69" t="str">
        <x:v>ITEM00300</x:v>
      </x:c>
      <x:c r="B304" s="69" t="str">
        <x:v>SRC020</x:v>
      </x:c>
      <x:c r="C304" s="69" t="str">
        <x:v>2023-2024</x:v>
      </x:c>
      <x:c r="D304" s="69" t="str">
        <x:v>line_item</x:v>
      </x:c>
      <x:c r="E304" s="69" t="str">
        <x:v>MD2023_2024_019-T03R008</x:v>
      </x:c>
      <x:c r="F304" s="71" t="str">
        <x:v>配線及安裝工資(管委會教育訓練)</x:v>
      </x:c>
      <x:c r="G304" s="71" t="str">
        <x:v>321-0038-1</x:v>
      </x:c>
      <x:c r="H304" s="71" t="str">
        <x:v>式</x:v>
      </x:c>
      <x:c r="I304" s="72" t="n">
        <x:v>1</x:v>
      </x:c>
      <x:c r="J304" s="69" t="str">
        <x:v>1.00</x:v>
      </x:c>
      <x:c r="K304" s="70" t="n">
        <x:v>24500</x:v>
      </x:c>
      <x:c r="L304" s="69" t="str">
        <x:v>24500.00</x:v>
      </x:c>
      <x:c r="M304" s="70" t="n">
        <x:v>24500</x:v>
      </x:c>
      <x:c r="N304" s="69" t="str">
        <x:v>24500</x:v>
      </x:c>
      <x:c r="O304" s="71" t="str">
        <x:v>來源表頭對應</x:v>
      </x:c>
      <x:c r="P304" s="71" t="str">
        <x:v>HTML表格3／列8</x:v>
      </x:c>
      <x:c r="Q304" s="71" t="str">
        <x:v>052 | 321-0038-1 | 配線及安裝工資(管委會教育訓練) | 1.00 | 式 | 24500.00 | 24500 |</x:v>
      </x:c>
      <x:c r="R304" s="71" t="str">
        <x:v>各廠商合約&amp; 報價\MD檔案\20240802 宏交 弱電系統.md</x:v>
      </x:c>
    </x:row>
    <x:row r="305">
      <x:c r="A305" s="69" t="str">
        <x:v>ITEM00301</x:v>
      </x:c>
      <x:c r="B305" s="69" t="str">
        <x:v>SRC020</x:v>
      </x:c>
      <x:c r="C305" s="69" t="str">
        <x:v>2023-2024</x:v>
      </x:c>
      <x:c r="D305" s="69" t="str">
        <x:v>line_item</x:v>
      </x:c>
      <x:c r="E305" s="69" t="str">
        <x:v>MD2023_2024_019-T03R009</x:v>
      </x:c>
      <x:c r="F305" s="71" t="str">
        <x:v>經議價後,優惠金額</x:v>
      </x:c>
      <x:c r="G305" s="71" t="str">
        <x:v>327-0053</x:v>
      </x:c>
      <x:c r="H305" s="71" t="str">
        <x:v>式</x:v>
      </x:c>
      <x:c r="I305" s="72" t="n">
        <x:v>-1</x:v>
      </x:c>
      <x:c r="J305" s="69" t="str">
        <x:v>-1.00</x:v>
      </x:c>
      <x:c r="K305" s="70" t="n">
        <x:v>38556</x:v>
      </x:c>
      <x:c r="L305" s="69" t="str">
        <x:v>38556.00</x:v>
      </x:c>
      <x:c r="M305" s="70" t="n">
        <x:v>-38556</x:v>
      </x:c>
      <x:c r="N305" s="69" t="str">
        <x:v>-38556</x:v>
      </x:c>
      <x:c r="O305" s="71" t="str">
        <x:v>來源表頭對應</x:v>
      </x:c>
      <x:c r="P305" s="71" t="str">
        <x:v>HTML表格3／列9</x:v>
      </x:c>
      <x:c r="Q305" s="71" t="str">
        <x:v>053 | 327-0053 | 經議價後,優惠金額 | -1.00 | 式 | 38556.00 | -38556 |</x:v>
      </x:c>
      <x:c r="R305" s="71" t="str">
        <x:v>各廠商合約&amp; 報價\MD檔案\20240802 宏交 弱電系統.md</x:v>
      </x:c>
    </x:row>
    <x:row r="306">
      <x:c r="A306" s="69" t="str">
        <x:v>ITEM00302</x:v>
      </x:c>
      <x:c r="B306" s="69" t="str">
        <x:v>SRC020</x:v>
      </x:c>
      <x:c r="C306" s="69" t="str">
        <x:v>2023-2024</x:v>
      </x:c>
      <x:c r="D306" s="69" t="str">
        <x:v>total_or_tax</x:v>
      </x:c>
      <x:c r="E306" s="69" t="str">
        <x:v>MD2023_2024_019-T03R010</x:v>
      </x:c>
      <x:c r="F306" s="71" t="str">
        <x:v>文件未載明</x:v>
      </x:c>
      <x:c r="G306" s="71" t="str"/>
      <x:c r="H306" s="71" t="str"/>
      <x:c r="I306" s="72"/>
      <x:c r="J306" s="69" t="str"/>
      <x:c r="K306" s="70"/>
      <x:c r="L306" s="69" t="str">
        <x:v>合計:</x:v>
      </x:c>
      <x:c r="M306" s="70" t="n">
        <x:v>304762</x:v>
      </x:c>
      <x:c r="N306" s="69" t="str">
        <x:v>304762</x:v>
      </x:c>
      <x:c r="O306" s="71" t="str">
        <x:v>來源表頭對應</x:v>
      </x:c>
      <x:c r="P306" s="71" t="str">
        <x:v>HTML表格3／列10</x:v>
      </x:c>
      <x:c r="Q306" s="71" t="str">
        <x:v>| | | | | 合計: | 304762 |</x:v>
      </x:c>
      <x:c r="R306" s="71" t="str">
        <x:v>各廠商合約&amp; 報價\MD檔案\20240802 宏交 弱電系統.md</x:v>
      </x:c>
    </x:row>
    <x:row r="307">
      <x:c r="A307" s="69" t="str">
        <x:v>ITEM00303</x:v>
      </x:c>
      <x:c r="B307" s="69" t="str">
        <x:v>SRC020</x:v>
      </x:c>
      <x:c r="C307" s="69" t="str">
        <x:v>2023-2024</x:v>
      </x:c>
      <x:c r="D307" s="69" t="str">
        <x:v>total_or_tax</x:v>
      </x:c>
      <x:c r="E307" s="69" t="str">
        <x:v>MD2023_2024_019-T03R011</x:v>
      </x:c>
      <x:c r="F307" s="71" t="str">
        <x:v>文件未載明</x:v>
      </x:c>
      <x:c r="G307" s="71" t="str"/>
      <x:c r="H307" s="71" t="str"/>
      <x:c r="I307" s="72"/>
      <x:c r="J307" s="69" t="str"/>
      <x:c r="K307" s="70"/>
      <x:c r="L307" s="69" t="str">
        <x:v>稅金:</x:v>
      </x:c>
      <x:c r="M307" s="70" t="n">
        <x:v>15238</x:v>
      </x:c>
      <x:c r="N307" s="69" t="str">
        <x:v>15238</x:v>
      </x:c>
      <x:c r="O307" s="71" t="str">
        <x:v>來源表頭對應</x:v>
      </x:c>
      <x:c r="P307" s="71" t="str">
        <x:v>HTML表格3／列11</x:v>
      </x:c>
      <x:c r="Q307" s="71" t="str">
        <x:v>| | | | | 稅金: | 15238 |</x:v>
      </x:c>
      <x:c r="R307" s="71" t="str">
        <x:v>各廠商合約&amp; 報價\MD檔案\20240802 宏交 弱電系統.md</x:v>
      </x:c>
    </x:row>
    <x:row r="308">
      <x:c r="A308" s="69" t="str">
        <x:v>ITEM00304</x:v>
      </x:c>
      <x:c r="B308" s="69" t="str">
        <x:v>SRC020</x:v>
      </x:c>
      <x:c r="C308" s="69" t="str">
        <x:v>2023-2024</x:v>
      </x:c>
      <x:c r="D308" s="69" t="str">
        <x:v>total_or_tax</x:v>
      </x:c>
      <x:c r="E308" s="69" t="str">
        <x:v>MD2023_2024_019-T03R012</x:v>
      </x:c>
      <x:c r="F308" s="71" t="str">
        <x:v>文件未載明</x:v>
      </x:c>
      <x:c r="G308" s="71" t="str"/>
      <x:c r="H308" s="71" t="str"/>
      <x:c r="I308" s="72"/>
      <x:c r="J308" s="69" t="str"/>
      <x:c r="K308" s="70"/>
      <x:c r="L308" s="69" t="str">
        <x:v>總計:</x:v>
      </x:c>
      <x:c r="M308" s="70" t="n">
        <x:v>320000</x:v>
      </x:c>
      <x:c r="N308" s="69" t="str">
        <x:v>320000</x:v>
      </x:c>
      <x:c r="O308" s="71" t="str">
        <x:v>來源表頭對應</x:v>
      </x:c>
      <x:c r="P308" s="71" t="str">
        <x:v>HTML表格3／列12</x:v>
      </x:c>
      <x:c r="Q308" s="71" t="str">
        <x:v>| | | | | 總計: | 320000 |</x:v>
      </x:c>
      <x:c r="R308" s="71" t="str">
        <x:v>各廠商合約&amp; 報價\MD檔案\20240802 宏交 弱電系統.md</x:v>
      </x:c>
    </x:row>
    <x:row r="309">
      <x:c r="A309" s="69" t="str">
        <x:v>ITEM00305</x:v>
      </x:c>
      <x:c r="B309" s="69" t="str">
        <x:v>SRC021</x:v>
      </x:c>
      <x:c r="C309" s="69" t="str">
        <x:v>2023-2024</x:v>
      </x:c>
      <x:c r="D309" s="69" t="str">
        <x:v>line_item</x:v>
      </x:c>
      <x:c r="E309" s="69" t="str">
        <x:v>MD2023_2024_020-T01R005</x:v>
      </x:c>
      <x:c r="F309" s="71" t="str">
        <x:v>正向立面2F~7F玻璃欄杆 2850+525X900</x:v>
      </x:c>
      <x:c r="G309" s="71" t="str">
        <x:v>文件未載明</x:v>
      </x:c>
      <x:c r="H309" s="71" t="str">
        <x:v>文件未載明</x:v>
      </x:c>
      <x:c r="I309" s="72" t="n">
        <x:v>6</x:v>
      </x:c>
      <x:c r="J309" s="69" t="str">
        <x:v>6</x:v>
      </x:c>
      <x:c r="K309" s="70" t="n">
        <x:v>18344</x:v>
      </x:c>
      <x:c r="L309" s="69" t="str">
        <x:v>18,344</x:v>
      </x:c>
      <x:c r="M309" s="70" t="n">
        <x:v>110064</x:v>
      </x:c>
      <x:c r="N309" s="69" t="str">
        <x:v>110,064</x:v>
      </x:c>
      <x:c r="O309" s="71" t="str">
        <x:v>來源表頭對應</x:v>
      </x:c>
      <x:c r="P309" s="71" t="str">
        <x:v>HTML表格1／列5</x:v>
      </x:c>
      <x:c r="Q309" s="71" t="str">
        <x:v>1 | 正向立面2F~7F玻璃欄杆 2850+525X900 | 6 | 粉體塗裝(參照說明) | 18,344 | 110,064 |</x:v>
      </x:c>
      <x:c r="R309" s="71" t="str">
        <x:v>各廠商合約&amp; 報價\MD檔案\20240809 塑豐 玻璃欄桿.md</x:v>
      </x:c>
    </x:row>
    <x:row r="310">
      <x:c r="A310" s="69" t="str">
        <x:v>ITEM00306</x:v>
      </x:c>
      <x:c r="B310" s="69" t="str">
        <x:v>SRC021</x:v>
      </x:c>
      <x:c r="C310" s="69" t="str">
        <x:v>2023-2024</x:v>
      </x:c>
      <x:c r="D310" s="69" t="str">
        <x:v>line_item</x:v>
      </x:c>
      <x:c r="E310" s="69" t="str">
        <x:v>MD2023_2024_020-T01R006</x:v>
      </x:c>
      <x:c r="F310" s="71" t="str">
        <x:v>正向立面R1F玻璃欄杆 2850+525X1100</x:v>
      </x:c>
      <x:c r="G310" s="71" t="str">
        <x:v>文件未載明</x:v>
      </x:c>
      <x:c r="H310" s="71" t="str">
        <x:v>文件未載明</x:v>
      </x:c>
      <x:c r="I310" s="72" t="n">
        <x:v>1</x:v>
      </x:c>
      <x:c r="J310" s="69" t="str">
        <x:v>1</x:v>
      </x:c>
      <x:c r="K310" s="70" t="n">
        <x:v>20790</x:v>
      </x:c>
      <x:c r="L310" s="69" t="str">
        <x:v>20,790</x:v>
      </x:c>
      <x:c r="M310" s="70" t="n">
        <x:v>20790</x:v>
      </x:c>
      <x:c r="N310" s="69" t="str">
        <x:v>20,790</x:v>
      </x:c>
      <x:c r="O310" s="71" t="str">
        <x:v>來源表頭對應</x:v>
      </x:c>
      <x:c r="P310" s="71" t="str">
        <x:v>HTML表格1／列6</x:v>
      </x:c>
      <x:c r="Q310" s="71" t="str">
        <x:v>2 | 正向立面R1F玻璃欄杆 2850+525X1100 | 1 | 粉體塗裝(參照說明) | 20,790 | 20,790 |</x:v>
      </x:c>
      <x:c r="R310" s="71" t="str">
        <x:v>各廠商合約&amp; 報價\MD檔案\20240809 塑豐 玻璃欄桿.md</x:v>
      </x:c>
    </x:row>
    <x:row r="311">
      <x:c r="A311" s="69" t="str">
        <x:v>ITEM00307</x:v>
      </x:c>
      <x:c r="B311" s="69" t="str">
        <x:v>SRC021</x:v>
      </x:c>
      <x:c r="C311" s="69" t="str">
        <x:v>2023-2024</x:v>
      </x:c>
      <x:c r="D311" s="69" t="str">
        <x:v>line_item</x:v>
      </x:c>
      <x:c r="E311" s="69" t="str">
        <x:v>MD2023_2024_020-T01R007</x:v>
      </x:c>
      <x:c r="F311" s="71" t="str">
        <x:v>背向立面2F~6F玻璃欄杆 1325+2490X900</x:v>
      </x:c>
      <x:c r="G311" s="71" t="str">
        <x:v>文件未載明</x:v>
      </x:c>
      <x:c r="H311" s="71" t="str">
        <x:v>文件未載明</x:v>
      </x:c>
      <x:c r="I311" s="72" t="n">
        <x:v>5</x:v>
      </x:c>
      <x:c r="J311" s="69" t="str">
        <x:v>5</x:v>
      </x:c>
      <x:c r="K311" s="70" t="n">
        <x:v>17809</x:v>
      </x:c>
      <x:c r="L311" s="69" t="str">
        <x:v>17,809</x:v>
      </x:c>
      <x:c r="M311" s="70" t="n">
        <x:v>89045</x:v>
      </x:c>
      <x:c r="N311" s="69" t="str">
        <x:v>89,045</x:v>
      </x:c>
      <x:c r="O311" s="71" t="str">
        <x:v>來源表頭對應</x:v>
      </x:c>
      <x:c r="P311" s="71" t="str">
        <x:v>HTML表格1／列7</x:v>
      </x:c>
      <x:c r="Q311" s="71" t="str">
        <x:v>3 | 背向立面2F~6F玻璃欄杆 1325+2490X900 | 5 | 粉體塗裝(參照說明) | 17,809 | 89,045 |</x:v>
      </x:c>
      <x:c r="R311" s="71" t="str">
        <x:v>各廠商合約&amp; 報價\MD檔案\20240809 塑豐 玻璃欄桿.md</x:v>
      </x:c>
    </x:row>
    <x:row r="312">
      <x:c r="A312" s="69" t="str">
        <x:v>ITEM00308</x:v>
      </x:c>
      <x:c r="B312" s="69" t="str">
        <x:v>SRC021</x:v>
      </x:c>
      <x:c r="C312" s="69" t="str">
        <x:v>2023-2024</x:v>
      </x:c>
      <x:c r="D312" s="69" t="str">
        <x:v>line_item</x:v>
      </x:c>
      <x:c r="E312" s="69" t="str">
        <x:v>MD2023_2024_020-T01R008</x:v>
      </x:c>
      <x:c r="F312" s="71" t="str">
        <x:v>背向立面7F玻璃欄杆 1325+2490X1100</x:v>
      </x:c>
      <x:c r="G312" s="71" t="str">
        <x:v>文件未載明</x:v>
      </x:c>
      <x:c r="H312" s="71" t="str">
        <x:v>文件未載明</x:v>
      </x:c>
      <x:c r="I312" s="72" t="n">
        <x:v>1</x:v>
      </x:c>
      <x:c r="J312" s="69" t="str">
        <x:v>1</x:v>
      </x:c>
      <x:c r="K312" s="70" t="n">
        <x:v>19883</x:v>
      </x:c>
      <x:c r="L312" s="69" t="str">
        <x:v>19,883</x:v>
      </x:c>
      <x:c r="M312" s="70" t="n">
        <x:v>19883</x:v>
      </x:c>
      <x:c r="N312" s="69" t="str">
        <x:v>19,883</x:v>
      </x:c>
      <x:c r="O312" s="71" t="str">
        <x:v>來源表頭對應</x:v>
      </x:c>
      <x:c r="P312" s="71" t="str">
        <x:v>HTML表格1／列8</x:v>
      </x:c>
      <x:c r="Q312" s="71" t="str">
        <x:v>4 | 背向立面7F玻璃欄杆 1325+2490X1100 | 1 | 粉體塗裝(參照說明) | 19,883 | 19,883 |</x:v>
      </x:c>
      <x:c r="R312" s="71" t="str">
        <x:v>各廠商合約&amp; 報價\MD檔案\20240809 塑豐 玻璃欄桿.md</x:v>
      </x:c>
    </x:row>
    <x:row r="313">
      <x:c r="A313" s="69" t="str">
        <x:v>ITEM00309</x:v>
      </x:c>
      <x:c r="B313" s="69" t="str">
        <x:v>SRC021</x:v>
      </x:c>
      <x:c r="C313" s="69" t="str">
        <x:v>2023-2024</x:v>
      </x:c>
      <x:c r="D313" s="69" t="str">
        <x:v>line_item</x:v>
      </x:c>
      <x:c r="E313" s="69" t="str">
        <x:v>MD2023_2024_020-T01R009</x:v>
      </x:c>
      <x:c r="F313" s="71" t="str">
        <x:v>右側立面2F~7F玻璃欄杆3420+540X900</x:v>
      </x:c>
      <x:c r="G313" s="71" t="str">
        <x:v>文件未載明</x:v>
      </x:c>
      <x:c r="H313" s="71" t="str">
        <x:v>文件未載明</x:v>
      </x:c>
      <x:c r="I313" s="72" t="n">
        <x:v>6</x:v>
      </x:c>
      <x:c r="J313" s="69" t="str">
        <x:v>6</x:v>
      </x:c>
      <x:c r="K313" s="70" t="n">
        <x:v>18425</x:v>
      </x:c>
      <x:c r="L313" s="69" t="str">
        <x:v>18,425</x:v>
      </x:c>
      <x:c r="M313" s="70" t="n">
        <x:v>110550</x:v>
      </x:c>
      <x:c r="N313" s="69" t="str">
        <x:v>110,550</x:v>
      </x:c>
      <x:c r="O313" s="71" t="str">
        <x:v>來源表頭對應</x:v>
      </x:c>
      <x:c r="P313" s="71" t="str">
        <x:v>HTML表格1／列9</x:v>
      </x:c>
      <x:c r="Q313" s="71" t="str">
        <x:v>5 | 右側立面2F~7F玻璃欄杆3420+540X900 | 6 | 粉體塗裝(參照說明) | 18,425 | 110,550 |</x:v>
      </x:c>
      <x:c r="R313" s="71" t="str">
        <x:v>各廠商合約&amp; 報價\MD檔案\20240809 塑豐 玻璃欄桿.md</x:v>
      </x:c>
    </x:row>
    <x:row r="314">
      <x:c r="A314" s="69" t="str">
        <x:v>ITEM00310</x:v>
      </x:c>
      <x:c r="B314" s="69" t="str">
        <x:v>SRC021</x:v>
      </x:c>
      <x:c r="C314" s="69" t="str">
        <x:v>2023-2024</x:v>
      </x:c>
      <x:c r="D314" s="69" t="str">
        <x:v>line_item</x:v>
      </x:c>
      <x:c r="E314" s="69" t="str">
        <x:v>MD2023_2024_020-T01R010</x:v>
      </x:c>
      <x:c r="F314" s="71" t="str">
        <x:v>右側立面R1F玻璃欄杆 3420+540X1100</x:v>
      </x:c>
      <x:c r="G314" s="71" t="str">
        <x:v>文件未載明</x:v>
      </x:c>
      <x:c r="H314" s="71" t="str">
        <x:v>文件未載明</x:v>
      </x:c>
      <x:c r="I314" s="72" t="n">
        <x:v>1</x:v>
      </x:c>
      <x:c r="J314" s="69" t="str">
        <x:v>1</x:v>
      </x:c>
      <x:c r="K314" s="70" t="n">
        <x:v>20515</x:v>
      </x:c>
      <x:c r="L314" s="69" t="str">
        <x:v>20,515</x:v>
      </x:c>
      <x:c r="M314" s="70" t="n">
        <x:v>20515</x:v>
      </x:c>
      <x:c r="N314" s="69" t="str">
        <x:v>20,515</x:v>
      </x:c>
      <x:c r="O314" s="71" t="str">
        <x:v>來源表頭對應</x:v>
      </x:c>
      <x:c r="P314" s="71" t="str">
        <x:v>HTML表格1／列10</x:v>
      </x:c>
      <x:c r="Q314" s="71" t="str">
        <x:v>6 | 右側立面R1F玻璃欄杆 3420+540X1100 | 1 | 粉體塗裝(參照說明) | 20,515 | 20,515 |</x:v>
      </x:c>
      <x:c r="R314" s="71" t="str">
        <x:v>各廠商合約&amp; 報價\MD檔案\20240809 塑豐 玻璃欄桿.md</x:v>
      </x:c>
    </x:row>
    <x:row r="315">
      <x:c r="A315" s="69" t="str">
        <x:v>ITEM00311</x:v>
      </x:c>
      <x:c r="B315" s="69" t="str">
        <x:v>SRC021</x:v>
      </x:c>
      <x:c r="C315" s="69" t="str">
        <x:v>2023-2024</x:v>
      </x:c>
      <x:c r="D315" s="69" t="str">
        <x:v>line_item</x:v>
      </x:c>
      <x:c r="E315" s="69" t="str">
        <x:v>MD2023_2024_020-T01R011</x:v>
      </x:c>
      <x:c r="F315" s="71" t="str">
        <x:v>右側立面2F~7F玻璃欄杆3360X900</x:v>
      </x:c>
      <x:c r="G315" s="71" t="str">
        <x:v>文件未載明</x:v>
      </x:c>
      <x:c r="H315" s="71" t="str">
        <x:v>文件未載明</x:v>
      </x:c>
      <x:c r="I315" s="72" t="n">
        <x:v>6</x:v>
      </x:c>
      <x:c r="J315" s="69" t="str">
        <x:v>6</x:v>
      </x:c>
      <x:c r="K315" s="70" t="n">
        <x:v>15676</x:v>
      </x:c>
      <x:c r="L315" s="69" t="str">
        <x:v>15,676</x:v>
      </x:c>
      <x:c r="M315" s="70" t="n">
        <x:v>94056</x:v>
      </x:c>
      <x:c r="N315" s="69" t="str">
        <x:v>94,056</x:v>
      </x:c>
      <x:c r="O315" s="71" t="str">
        <x:v>來源表頭對應</x:v>
      </x:c>
      <x:c r="P315" s="71" t="str">
        <x:v>HTML表格1／列11</x:v>
      </x:c>
      <x:c r="Q315" s="71" t="str">
        <x:v>7 | 右側立面2F~7F玻璃欄杆3360X900 | 6 | 粉體塗裝(參照說明) | 15,676 | 94,056 |</x:v>
      </x:c>
      <x:c r="R315" s="71" t="str">
        <x:v>各廠商合約&amp; 報價\MD檔案\20240809 塑豐 玻璃欄桿.md</x:v>
      </x:c>
    </x:row>
    <x:row r="316">
      <x:c r="A316" s="69" t="str">
        <x:v>ITEM00312</x:v>
      </x:c>
      <x:c r="B316" s="69" t="str">
        <x:v>SRC021</x:v>
      </x:c>
      <x:c r="C316" s="69" t="str">
        <x:v>2023-2024</x:v>
      </x:c>
      <x:c r="D316" s="69" t="str">
        <x:v>line_item</x:v>
      </x:c>
      <x:c r="E316" s="69" t="str">
        <x:v>MD2023_2024_020-T01R012</x:v>
      </x:c>
      <x:c r="F316" s="71" t="str">
        <x:v>右側立面R1F玻璃欄杆 3360X1100</x:v>
      </x:c>
      <x:c r="G316" s="71" t="str">
        <x:v>文件未載明</x:v>
      </x:c>
      <x:c r="H316" s="71" t="str">
        <x:v>文件未載明</x:v>
      </x:c>
      <x:c r="I316" s="72" t="n">
        <x:v>1</x:v>
      </x:c>
      <x:c r="J316" s="69" t="str">
        <x:v>1</x:v>
      </x:c>
      <x:c r="K316" s="70" t="n">
        <x:v>17561</x:v>
      </x:c>
      <x:c r="L316" s="69" t="str">
        <x:v>17,561</x:v>
      </x:c>
      <x:c r="M316" s="70" t="n">
        <x:v>17561</x:v>
      </x:c>
      <x:c r="N316" s="69" t="str">
        <x:v>17,561</x:v>
      </x:c>
      <x:c r="O316" s="71" t="str">
        <x:v>來源表頭對應</x:v>
      </x:c>
      <x:c r="P316" s="71" t="str">
        <x:v>HTML表格1／列12</x:v>
      </x:c>
      <x:c r="Q316" s="71" t="str">
        <x:v>8 | 右側立面R1F玻璃欄杆 3360X1100 | 1 | 粉體塗裝(參照說明) | 17,561 | 17,561 |</x:v>
      </x:c>
      <x:c r="R316" s="71" t="str">
        <x:v>各廠商合約&amp; 報價\MD檔案\20240809 塑豐 玻璃欄桿.md</x:v>
      </x:c>
    </x:row>
    <x:row r="317">
      <x:c r="A317" s="69" t="str">
        <x:v>ITEM00313</x:v>
      </x:c>
      <x:c r="B317" s="69" t="str">
        <x:v>SRC021</x:v>
      </x:c>
      <x:c r="C317" s="69" t="str">
        <x:v>2023-2024</x:v>
      </x:c>
      <x:c r="D317" s="69" t="str">
        <x:v>line_item</x:v>
      </x:c>
      <x:c r="E317" s="69" t="str">
        <x:v>MD2023_2024_020-T01R013</x:v>
      </x:c>
      <x:c r="F317" s="71" t="str">
        <x:v>右側立面2F~6F玻璃欄杆540+2550X900</x:v>
      </x:c>
      <x:c r="G317" s="71" t="str">
        <x:v>文件未載明</x:v>
      </x:c>
      <x:c r="H317" s="71" t="str">
        <x:v>文件未載明</x:v>
      </x:c>
      <x:c r="I317" s="72" t="n">
        <x:v>5</x:v>
      </x:c>
      <x:c r="J317" s="69" t="str">
        <x:v>5</x:v>
      </x:c>
      <x:c r="K317" s="70" t="n">
        <x:v>14450</x:v>
      </x:c>
      <x:c r="L317" s="69" t="str">
        <x:v>14,450</x:v>
      </x:c>
      <x:c r="M317" s="70" t="n">
        <x:v>72250</x:v>
      </x:c>
      <x:c r="N317" s="69" t="str">
        <x:v>72,250</x:v>
      </x:c>
      <x:c r="O317" s="71" t="str">
        <x:v>來源表頭對應</x:v>
      </x:c>
      <x:c r="P317" s="71" t="str">
        <x:v>HTML表格1／列13</x:v>
      </x:c>
      <x:c r="Q317" s="71" t="str">
        <x:v>9 | 右側立面2F~6F玻璃欄杆540+2550X900 | 5 | 粉體塗裝(參照說明) | 14,450 | 72,250 |</x:v>
      </x:c>
      <x:c r="R317" s="71" t="str">
        <x:v>各廠商合約&amp; 報價\MD檔案\20240809 塑豐 玻璃欄桿.md</x:v>
      </x:c>
    </x:row>
    <x:row r="318">
      <x:c r="A318" s="69" t="str">
        <x:v>ITEM00314</x:v>
      </x:c>
      <x:c r="B318" s="69" t="str">
        <x:v>SRC021</x:v>
      </x:c>
      <x:c r="C318" s="69" t="str">
        <x:v>2023-2024</x:v>
      </x:c>
      <x:c r="D318" s="69" t="str">
        <x:v>line_item</x:v>
      </x:c>
      <x:c r="E318" s="69" t="str">
        <x:v>MD2023_2024_020-T01R014</x:v>
      </x:c>
      <x:c r="F318" s="71" t="str">
        <x:v>右側立面7F玻璃欄杆540+2550X1100</x:v>
      </x:c>
      <x:c r="G318" s="71" t="str">
        <x:v>文件未載明</x:v>
      </x:c>
      <x:c r="H318" s="71" t="str">
        <x:v>文件未載明</x:v>
      </x:c>
      <x:c r="I318" s="72" t="n">
        <x:v>1</x:v>
      </x:c>
      <x:c r="J318" s="69" t="str">
        <x:v>1</x:v>
      </x:c>
      <x:c r="K318" s="70" t="n">
        <x:v>16168</x:v>
      </x:c>
      <x:c r="L318" s="69" t="str">
        <x:v>16,168</x:v>
      </x:c>
      <x:c r="M318" s="70" t="n">
        <x:v>16168</x:v>
      </x:c>
      <x:c r="N318" s="69" t="str">
        <x:v>16,168</x:v>
      </x:c>
      <x:c r="O318" s="71" t="str">
        <x:v>來源表頭對應</x:v>
      </x:c>
      <x:c r="P318" s="71" t="str">
        <x:v>HTML表格1／列14</x:v>
      </x:c>
      <x:c r="Q318" s="71" t="str">
        <x:v>10 | 右側立面7F玻璃欄杆540+2550X1100 | 1 | 粉體塗裝(參照說明) | 16,168 | 16,168 |</x:v>
      </x:c>
      <x:c r="R318" s="71" t="str">
        <x:v>各廠商合約&amp; 報價\MD檔案\20240809 塑豐 玻璃欄桿.md</x:v>
      </x:c>
    </x:row>
    <x:row r="319">
      <x:c r="A319" s="69" t="str">
        <x:v>ITEM00315</x:v>
      </x:c>
      <x:c r="B319" s="69" t="str">
        <x:v>SRC021</x:v>
      </x:c>
      <x:c r="C319" s="69" t="str">
        <x:v>2023-2024</x:v>
      </x:c>
      <x:c r="D319" s="69" t="str">
        <x:v>other_table_row</x:v>
      </x:c>
      <x:c r="E319" s="69" t="str">
        <x:v>MD2023_2024_020-T01R015</x:v>
      </x:c>
      <x:c r="F319" s="71" t="str">
        <x:v>以下空白</x:v>
      </x:c>
      <x:c r="G319" s="71" t="str">
        <x:v>文件未載明</x:v>
      </x:c>
      <x:c r="H319" s="71" t="str">
        <x:v>文件未載明</x:v>
      </x:c>
      <x:c r="I319" s="72"/>
      <x:c r="J319" s="69" t="str"/>
      <x:c r="K319" s="70"/>
      <x:c r="L319" s="69" t="str"/>
      <x:c r="M319" s="70"/>
      <x:c r="N319" s="69" t="str"/>
      <x:c r="O319" s="71" t="str">
        <x:v>來源表頭對應</x:v>
      </x:c>
      <x:c r="P319" s="71" t="str">
        <x:v>HTML表格1／列15</x:v>
      </x:c>
      <x:c r="Q319" s="71" t="str">
        <x:v>| 以下空白 | | - | | |</x:v>
      </x:c>
      <x:c r="R319" s="71" t="str">
        <x:v>各廠商合約&amp; 報價\MD檔案\20240809 塑豐 玻璃欄桿.md</x:v>
      </x:c>
    </x:row>
    <x:row r="320">
      <x:c r="A320" s="69" t="str">
        <x:v>ITEM00316</x:v>
      </x:c>
      <x:c r="B320" s="69" t="str">
        <x:v>SRC021</x:v>
      </x:c>
      <x:c r="C320" s="69" t="str">
        <x:v>2023-2024</x:v>
      </x:c>
      <x:c r="D320" s="69" t="str">
        <x:v>total_or_tax</x:v>
      </x:c>
      <x:c r="E320" s="69" t="str">
        <x:v>MD2023_2024_020-T01R016</x:v>
      </x:c>
      <x:c r="F320" s="71" t="str">
        <x:v>合計: 570,882稅金: 28,544總計: 599,426</x:v>
      </x:c>
      <x:c r="G320" s="71" t="str">
        <x:v>文件未載明</x:v>
      </x:c>
      <x:c r="H320" s="71" t="str">
        <x:v>文件未載明</x:v>
      </x:c>
      <x:c r="I320" s="72"/>
      <x:c r="J320" s="69" t="str">
        <x:v>合計: 570,882稅金: 28,544總計: 599,426</x:v>
      </x:c>
      <x:c r="K320" s="70"/>
      <x:c r="L320" s="69" t="str">
        <x:v>合計: 570,882稅金: 28,544總計: 599,426</x:v>
      </x:c>
      <x:c r="M320" s="70"/>
      <x:c r="N320" s="69" t="str">
        <x:v>合計: 570,882稅金: 28,544總計: 599,426</x:v>
      </x:c>
      <x:c r="O320" s="71" t="str">
        <x:v>來源表頭對應</x:v>
      </x:c>
      <x:c r="P320" s="71" t="str">
        <x:v>HTML表格1／列16</x:v>
      </x:c>
      <x:c r="Q320" s="71" t="str">
        <x:v>合計: 570,882稅金: 28,544總計: 599,426 | 合計: 570,882稅金: 28,544總計: 599,426 | 合計: 570,882稅金: 28,544總計: 599,426 | 合計: 570,882稅金: 28,544總計: 599,426 | 合計: 570,882稅金: 28,544總計: 599,426 | 合計: 570,882稅金: 28,544總計: 599,426 | 合計: 570,882稅金: 28,544總計: 599,426</x:v>
      </x:c>
      <x:c r="R320" s="71" t="str">
        <x:v>各廠商合約&amp; 報價\MD檔案\20240809 塑豐 玻璃欄桿.md</x:v>
      </x:c>
    </x:row>
    <x:row r="321">
      <x:c r="A321" s="69" t="str">
        <x:v>ITEM00317</x:v>
      </x:c>
      <x:c r="B321" s="69" t="str">
        <x:v>SRC022</x:v>
      </x:c>
      <x:c r="C321" s="69" t="str">
        <x:v>2023-2024</x:v>
      </x:c>
      <x:c r="D321" s="69" t="str">
        <x:v>note_or_description</x:v>
      </x:c>
      <x:c r="E321" s="69" t="str">
        <x:v>MD2023_2024_021-T01R002</x:v>
      </x:c>
      <x:c r="F321" s="71" t="str">
        <x:v>文件未載明</x:v>
      </x:c>
      <x:c r="G321" s="71" t="str">
        <x:v>5*10*21</x:v>
      </x:c>
      <x:c r="H321" s="71" t="str"/>
      <x:c r="I321" s="72"/>
      <x:c r="J321" s="69" t="str">
        <x:v>文件未載明</x:v>
      </x:c>
      <x:c r="K321" s="70" t="n">
        <x:v>2.4</x:v>
      </x:c>
      <x:c r="L321" s="69" t="str">
        <x:v>2.4</x:v>
      </x:c>
      <x:c r="M321" s="70"/>
      <x:c r="N321" s="69" t="str">
        <x:v>文件未載明</x:v>
      </x:c>
      <x:c r="O321" s="71" t="str">
        <x:v>表頭未能對應品項欄，待確認</x:v>
      </x:c>
      <x:c r="P321" s="71" t="str">
        <x:v>HTML表格1／列2</x:v>
      </x:c>
      <x:c r="Q321" s="71" t="str">
        <x:v>紅磚 | 竹東磚 | 5*10*21 | | 塊 | 2.4 | 10000磚以上 拖車送到</x:v>
      </x:c>
      <x:c r="R321" s="71" t="str">
        <x:v>各廠商合約&amp; 報價\MD檔案\20240812 協力建材行.md</x:v>
      </x:c>
    </x:row>
    <x:row r="322">
      <x:c r="A322" s="69" t="str">
        <x:v>ITEM00318</x:v>
      </x:c>
      <x:c r="B322" s="69" t="str">
        <x:v>SRC022</x:v>
      </x:c>
      <x:c r="C322" s="69" t="str">
        <x:v>2023-2024</x:v>
      </x:c>
      <x:c r="D322" s="69" t="str">
        <x:v>note_or_description</x:v>
      </x:c>
      <x:c r="E322" s="69" t="str">
        <x:v>MD2023_2024_021-T01R003</x:v>
      </x:c>
      <x:c r="F322" s="71" t="str">
        <x:v>文件未載明</x:v>
      </x:c>
      <x:c r="G322" s="71" t="str">
        <x:v>5*10*21</x:v>
      </x:c>
      <x:c r="H322" s="71" t="str"/>
      <x:c r="I322" s="72"/>
      <x:c r="J322" s="69" t="str">
        <x:v>文件未載明</x:v>
      </x:c>
      <x:c r="K322" s="70" t="n">
        <x:v>3.3</x:v>
      </x:c>
      <x:c r="L322" s="69" t="str">
        <x:v>3.3</x:v>
      </x:c>
      <x:c r="M322" s="70"/>
      <x:c r="N322" s="69" t="str">
        <x:v>文件未載明</x:v>
      </x:c>
      <x:c r="O322" s="71" t="str">
        <x:v>表頭未能對應品項欄，待確認</x:v>
      </x:c>
      <x:c r="P322" s="71" t="str">
        <x:v>HTML表格1／列3</x:v>
      </x:c>
      <x:c r="Q322" s="71" t="str">
        <x:v>紅磚 | 竹東磚 | 5*10*21 | | 塊 | 3.3 | 店出</x:v>
      </x:c>
      <x:c r="R322" s="71" t="str">
        <x:v>各廠商合約&amp; 報價\MD檔案\20240812 協力建材行.md</x:v>
      </x:c>
    </x:row>
    <x:row r="323">
      <x:c r="A323" s="69" t="str">
        <x:v>ITEM00319</x:v>
      </x:c>
      <x:c r="B323" s="69" t="str">
        <x:v>SRC022</x:v>
      </x:c>
      <x:c r="C323" s="69" t="str">
        <x:v>2023-2024</x:v>
      </x:c>
      <x:c r="D323" s="69" t="str">
        <x:v>note_or_description</x:v>
      </x:c>
      <x:c r="E323" s="69" t="str">
        <x:v>MD2023_2024_021-T01R004</x:v>
      </x:c>
      <x:c r="F323" s="71" t="str">
        <x:v>文件未載明</x:v>
      </x:c>
      <x:c r="G323" s="71" t="str"/>
      <x:c r="H323" s="71" t="str"/>
      <x:c r="I323" s="72"/>
      <x:c r="J323" s="69" t="str">
        <x:v>文件未載明</x:v>
      </x:c>
      <x:c r="K323" s="70" t="n">
        <x:v>1100</x:v>
      </x:c>
      <x:c r="L323" s="69" t="str">
        <x:v>1100</x:v>
      </x:c>
      <x:c r="M323" s="70"/>
      <x:c r="N323" s="69" t="str">
        <x:v>文件未載明</x:v>
      </x:c>
      <x:c r="O323" s="71" t="str">
        <x:v>表頭未能對應品項欄，待確認</x:v>
      </x:c>
      <x:c r="P323" s="71" t="str">
        <x:v>HTML表格1／列4</x:v>
      </x:c>
      <x:c r="Q323" s="71" t="str">
        <x:v>砂 | 粗砂 | | | 米 | 1100 | 地板料</x:v>
      </x:c>
      <x:c r="R323" s="71" t="str">
        <x:v>各廠商合約&amp; 報價\MD檔案\20240812 協力建材行.md</x:v>
      </x:c>
    </x:row>
    <x:row r="324">
      <x:c r="A324" s="69" t="str">
        <x:v>ITEM00320</x:v>
      </x:c>
      <x:c r="B324" s="69" t="str">
        <x:v>SRC022</x:v>
      </x:c>
      <x:c r="C324" s="69" t="str">
        <x:v>2023-2024</x:v>
      </x:c>
      <x:c r="D324" s="69" t="str">
        <x:v>note_or_description</x:v>
      </x:c>
      <x:c r="E324" s="69" t="str">
        <x:v>MD2023_2024_021-T01R005</x:v>
      </x:c>
      <x:c r="F324" s="71" t="str">
        <x:v>文件未載明</x:v>
      </x:c>
      <x:c r="G324" s="71" t="str"/>
      <x:c r="H324" s="71" t="str"/>
      <x:c r="I324" s="72"/>
      <x:c r="J324" s="69" t="str">
        <x:v>文件未載明</x:v>
      </x:c>
      <x:c r="K324" s="70" t="n">
        <x:v>1100</x:v>
      </x:c>
      <x:c r="L324" s="69" t="str">
        <x:v>1100</x:v>
      </x:c>
      <x:c r="M324" s="70"/>
      <x:c r="N324" s="69" t="str">
        <x:v>文件未載明</x:v>
      </x:c>
      <x:c r="O324" s="71" t="str">
        <x:v>表頭未能對應品項欄，待確認</x:v>
      </x:c>
      <x:c r="P324" s="71" t="str">
        <x:v>HTML表格1／列5</x:v>
      </x:c>
      <x:c r="Q324" s="71" t="str">
        <x:v>砂 | 細砂 | | | 米 | 1100 | 部分高屏砂</x:v>
      </x:c>
      <x:c r="R324" s="71" t="str">
        <x:v>各廠商合約&amp; 報價\MD檔案\20240812 協力建材行.md</x:v>
      </x:c>
    </x:row>
    <x:row r="325">
      <x:c r="A325" s="69" t="str">
        <x:v>ITEM00321</x:v>
      </x:c>
      <x:c r="B325" s="69" t="str">
        <x:v>SRC022</x:v>
      </x:c>
      <x:c r="C325" s="69" t="str">
        <x:v>2023-2024</x:v>
      </x:c>
      <x:c r="D325" s="69" t="str">
        <x:v>note_or_description</x:v>
      </x:c>
      <x:c r="E325" s="69" t="str">
        <x:v>MD2023_2024_021-T01R006</x:v>
      </x:c>
      <x:c r="F325" s="71" t="str">
        <x:v>文件未載明</x:v>
      </x:c>
      <x:c r="G325" s="71" t="str"/>
      <x:c r="H325" s="71" t="str"/>
      <x:c r="I325" s="72"/>
      <x:c r="J325" s="69" t="str">
        <x:v>文件未載明</x:v>
      </x:c>
      <x:c r="K325" s="70" t="n">
        <x:v>1180</x:v>
      </x:c>
      <x:c r="L325" s="69" t="str">
        <x:v>1180</x:v>
      </x:c>
      <x:c r="M325" s="70"/>
      <x:c r="N325" s="69" t="str">
        <x:v>文件未載明</x:v>
      </x:c>
      <x:c r="O325" s="71" t="str">
        <x:v>表頭未能對應品項欄，待確認</x:v>
      </x:c>
      <x:c r="P325" s="71" t="str">
        <x:v>HTML表格1／列6</x:v>
      </x:c>
      <x:c r="Q325" s="71" t="str">
        <x:v>砂 | A細砂 | | | 米 | 1180 | 較多高屏砂 近中砂顆粒</x:v>
      </x:c>
      <x:c r="R325" s="71" t="str">
        <x:v>各廠商合約&amp; 報價\MD檔案\20240812 協力建材行.md</x:v>
      </x:c>
    </x:row>
    <x:row r="326">
      <x:c r="A326" s="69" t="str">
        <x:v>ITEM00322</x:v>
      </x:c>
      <x:c r="B326" s="69" t="str">
        <x:v>SRC022</x:v>
      </x:c>
      <x:c r="C326" s="69" t="str">
        <x:v>2023-2024</x:v>
      </x:c>
      <x:c r="D326" s="69" t="str">
        <x:v>note_or_description</x:v>
      </x:c>
      <x:c r="E326" s="69" t="str">
        <x:v>MD2023_2024_021-T01R007</x:v>
      </x:c>
      <x:c r="F326" s="71" t="str">
        <x:v>文件未載明</x:v>
      </x:c>
      <x:c r="G326" s="71" t="str"/>
      <x:c r="H326" s="71" t="str"/>
      <x:c r="I326" s="72"/>
      <x:c r="J326" s="69" t="str">
        <x:v>文件未載明</x:v>
      </x:c>
      <x:c r="K326" s="70" t="n">
        <x:v>1300</x:v>
      </x:c>
      <x:c r="L326" s="69" t="str">
        <x:v>1300</x:v>
      </x:c>
      <x:c r="M326" s="70"/>
      <x:c r="N326" s="69" t="str">
        <x:v>文件未載明</x:v>
      </x:c>
      <x:c r="O326" s="71" t="str">
        <x:v>表頭未能對應品項欄，待確認</x:v>
      </x:c>
      <x:c r="P326" s="71" t="str">
        <x:v>HTML表格1／列7</x:v>
      </x:c>
      <x:c r="Q326" s="71" t="str">
        <x:v>砂 | 高屏砂 | | | 米 | 1300 | 低含泥量 有出廠證明</x:v>
      </x:c>
      <x:c r="R326" s="71" t="str">
        <x:v>各廠商合約&amp; 報價\MD檔案\20240812 協力建材行.md</x:v>
      </x:c>
    </x:row>
    <x:row r="327">
      <x:c r="A327" s="69" t="str">
        <x:v>ITEM00323</x:v>
      </x:c>
      <x:c r="B327" s="69" t="str">
        <x:v>SRC022</x:v>
      </x:c>
      <x:c r="C327" s="69" t="str">
        <x:v>2023-2024</x:v>
      </x:c>
      <x:c r="D327" s="69" t="str">
        <x:v>note_or_description</x:v>
      </x:c>
      <x:c r="E327" s="69" t="str">
        <x:v>MD2023_2024_021-T01R008</x:v>
      </x:c>
      <x:c r="F327" s="71" t="str">
        <x:v>文件未載明</x:v>
      </x:c>
      <x:c r="G327" s="71" t="str">
        <x:v>車子米數依車斗實際數量(非他其它家灌水)</x:v>
      </x:c>
      <x:c r="H327" s="71" t="str">
        <x:v>車子米數依車斗實際數量(非他其它家灌水)</x:v>
      </x:c>
      <x:c r="I327" s="72"/>
      <x:c r="J327" s="69" t="str">
        <x:v>文件未載明</x:v>
      </x:c>
      <x:c r="K327" s="70"/>
      <x:c r="L327" s="69" t="str">
        <x:v>車子米數依車斗實際數量(非他其它家灌水)</x:v>
      </x:c>
      <x:c r="M327" s="70"/>
      <x:c r="N327" s="69" t="str">
        <x:v>文件未載明</x:v>
      </x:c>
      <x:c r="O327" s="71" t="str">
        <x:v>表頭未能對應品項欄，待確認</x:v>
      </x:c>
      <x:c r="P327" s="71" t="str">
        <x:v>HTML表格1／列8</x:v>
      </x:c>
      <x:c r="Q327" s="71" t="str">
        <x:v>砂 | 車子米數依車斗實際數量(非他其它家灌水) | 車子米數依車斗實際數量(非他其它家灌水) | 車子米數依車斗實際數量(非他其它家灌水) | 車子米數依車斗實際數量(非他其它家灌水) | 車子米數依車斗實際數量(非他其它家灌水) | 車子米數依車斗實際數量(非他其它家灌水)</x:v>
      </x:c>
      <x:c r="R327" s="71" t="str">
        <x:v>各廠商合約&amp; 報價\MD檔案\20240812 協力建材行.md</x:v>
      </x:c>
    </x:row>
    <x:row r="328">
      <x:c r="A328" s="69" t="str">
        <x:v>ITEM00324</x:v>
      </x:c>
      <x:c r="B328" s="69" t="str">
        <x:v>SRC022</x:v>
      </x:c>
      <x:c r="C328" s="69" t="str">
        <x:v>2023-2024</x:v>
      </x:c>
      <x:c r="D328" s="69" t="str">
        <x:v>note_or_description</x:v>
      </x:c>
      <x:c r="E328" s="69" t="str">
        <x:v>MD2023_2024_021-T01R009</x:v>
      </x:c>
      <x:c r="F328" s="71" t="str">
        <x:v>文件未載明</x:v>
      </x:c>
      <x:c r="G328" s="71" t="str"/>
      <x:c r="H328" s="71" t="str">
        <x:v>40kg</x:v>
      </x:c>
      <x:c r="I328" s="72"/>
      <x:c r="J328" s="69" t="str">
        <x:v>文件未載明</x:v>
      </x:c>
      <x:c r="K328" s="70" t="n">
        <x:v>165</x:v>
      </x:c>
      <x:c r="L328" s="69" t="str">
        <x:v>165</x:v>
      </x:c>
      <x:c r="M328" s="70"/>
      <x:c r="N328" s="69" t="str">
        <x:v>文件未載明</x:v>
      </x:c>
      <x:c r="O328" s="71" t="str">
        <x:v>表頭未能對應品項欄，待確認</x:v>
      </x:c>
      <x:c r="P328" s="71" t="str">
        <x:v>HTML表格1／列9</x:v>
      </x:c>
      <x:c r="Q328" s="71" t="str">
        <x:v>水泥 | 台泥(品牌) | | 40kg | 包 | 165 | 目前價格</x:v>
      </x:c>
      <x:c r="R328" s="71" t="str">
        <x:v>各廠商合約&amp; 報價\MD檔案\20240812 協力建材行.md</x:v>
      </x:c>
    </x:row>
    <x:row r="329">
      <x:c r="A329" s="69" t="str">
        <x:v>ITEM00325</x:v>
      </x:c>
      <x:c r="B329" s="69" t="str">
        <x:v>SRC022</x:v>
      </x:c>
      <x:c r="C329" s="69" t="str">
        <x:v>2023-2024</x:v>
      </x:c>
      <x:c r="D329" s="69" t="str">
        <x:v>note_or_description</x:v>
      </x:c>
      <x:c r="E329" s="69" t="str">
        <x:v>MD2023_2024_021-T01R010</x:v>
      </x:c>
      <x:c r="F329" s="71" t="str">
        <x:v>文件未載明</x:v>
      </x:c>
      <x:c r="G329" s="71" t="str"/>
      <x:c r="H329" s="71" t="str">
        <x:v>40kg</x:v>
      </x:c>
      <x:c r="I329" s="72"/>
      <x:c r="J329" s="69" t="str">
        <x:v>文件未載明</x:v>
      </x:c>
      <x:c r="K329" s="70" t="n">
        <x:v>165</x:v>
      </x:c>
      <x:c r="L329" s="69" t="str">
        <x:v>165</x:v>
      </x:c>
      <x:c r="M329" s="70"/>
      <x:c r="N329" s="69" t="str">
        <x:v>文件未載明</x:v>
      </x:c>
      <x:c r="O329" s="71" t="str">
        <x:v>表頭未能對應品項欄，待確認</x:v>
      </x:c>
      <x:c r="P329" s="71" t="str">
        <x:v>HTML表格1／列10</x:v>
      </x:c>
      <x:c r="Q329" s="71" t="str">
        <x:v>水泥 | 亞泥(洋房) | | 40kg | 包 | 165 | 目前價格</x:v>
      </x:c>
      <x:c r="R329" s="71" t="str">
        <x:v>各廠商合約&amp; 報價\MD檔案\20240812 協力建材行.md</x:v>
      </x:c>
    </x:row>
    <x:row r="330">
      <x:c r="A330" s="69" t="str">
        <x:v>ITEM00326</x:v>
      </x:c>
      <x:c r="B330" s="69" t="str">
        <x:v>SRC022</x:v>
      </x:c>
      <x:c r="C330" s="69" t="str">
        <x:v>2023-2024</x:v>
      </x:c>
      <x:c r="D330" s="69" t="str">
        <x:v>note_or_description</x:v>
      </x:c>
      <x:c r="E330" s="69" t="str">
        <x:v>MD2023_2024_021-T01R011</x:v>
      </x:c>
      <x:c r="F330" s="71" t="str">
        <x:v>文件未載明</x:v>
      </x:c>
      <x:c r="G330" s="71" t="str">
        <x:v>此價格為黏著劑一起配合價</x:v>
      </x:c>
      <x:c r="H330" s="71" t="str">
        <x:v>此價格為黏著劑一起配合價</x:v>
      </x:c>
      <x:c r="I330" s="72"/>
      <x:c r="J330" s="69" t="str">
        <x:v>文件未載明</x:v>
      </x:c>
      <x:c r="K330" s="70"/>
      <x:c r="L330" s="69" t="str">
        <x:v>此價格為黏著劑一起配合價</x:v>
      </x:c>
      <x:c r="M330" s="70"/>
      <x:c r="N330" s="69" t="str">
        <x:v>文件未載明</x:v>
      </x:c>
      <x:c r="O330" s="71" t="str">
        <x:v>表頭未能對應品項欄，待確認</x:v>
      </x:c>
      <x:c r="P330" s="71" t="str">
        <x:v>HTML表格1／列11</x:v>
      </x:c>
      <x:c r="Q330" s="71" t="str">
        <x:v>| 此價格為黏著劑一起配合價 | 此價格為黏著劑一起配合價 | 此價格為黏著劑一起配合價 | 此價格為黏著劑一起配合價 | 此價格為黏著劑一起配合價 | 此價格為黏著劑一起配合價</x:v>
      </x:c>
      <x:c r="R330" s="71" t="str">
        <x:v>各廠商合約&amp; 報價\MD檔案\20240812 協力建材行.md</x:v>
      </x:c>
    </x:row>
    <x:row r="331">
      <x:c r="A331" s="69" t="str">
        <x:v>ITEM00327</x:v>
      </x:c>
      <x:c r="B331" s="69" t="str">
        <x:v>SRC022</x:v>
      </x:c>
      <x:c r="C331" s="69" t="str">
        <x:v>2023-2024</x:v>
      </x:c>
      <x:c r="D331" s="69" t="str">
        <x:v>note_or_description</x:v>
      </x:c>
      <x:c r="E331" s="69" t="str">
        <x:v>MD2023_2024_021-T01R012</x:v>
      </x:c>
      <x:c r="F331" s="71" t="str">
        <x:v>文件未載明</x:v>
      </x:c>
      <x:c r="G331" s="71" t="str">
        <x:v>黏著劑</x:v>
      </x:c>
      <x:c r="H331" s="71" t="str">
        <x:v>25kg</x:v>
      </x:c>
      <x:c r="I331" s="72"/>
      <x:c r="J331" s="69" t="str">
        <x:v>文件未載明</x:v>
      </x:c>
      <x:c r="K331" s="70" t="n">
        <x:v>155</x:v>
      </x:c>
      <x:c r="L331" s="69" t="str">
        <x:v>155</x:v>
      </x:c>
      <x:c r="M331" s="70"/>
      <x:c r="N331" s="69" t="str">
        <x:v>文件未載明</x:v>
      </x:c>
      <x:c r="O331" s="71" t="str">
        <x:v>表頭未能對應品項欄，待確認</x:v>
      </x:c>
      <x:c r="P331" s="71" t="str">
        <x:v>HTML表格1／列12</x:v>
      </x:c>
      <x:c r="Q331" s="71" t="str">
        <x:v>黏著劑 | 巴師父 | 黏著劑 | 25kg | 包 | 155 | 30*30以下適用同潤泰830等級</x:v>
      </x:c>
      <x:c r="R331" s="71" t="str">
        <x:v>各廠商合約&amp; 報價\MD檔案\20240812 協力建材行.md</x:v>
      </x:c>
    </x:row>
    <x:row r="332">
      <x:c r="A332" s="69" t="str">
        <x:v>ITEM00328</x:v>
      </x:c>
      <x:c r="B332" s="69" t="str">
        <x:v>SRC022</x:v>
      </x:c>
      <x:c r="C332" s="69" t="str">
        <x:v>2023-2024</x:v>
      </x:c>
      <x:c r="D332" s="69" t="str">
        <x:v>note_or_description</x:v>
      </x:c>
      <x:c r="E332" s="69" t="str">
        <x:v>MD2023_2024_021-T01R013</x:v>
      </x:c>
      <x:c r="F332" s="71" t="str">
        <x:v>文件未載明</x:v>
      </x:c>
      <x:c r="G332" s="71" t="str">
        <x:v>X1</x:v>
      </x:c>
      <x:c r="H332" s="71" t="str">
        <x:v>25kg</x:v>
      </x:c>
      <x:c r="I332" s="72"/>
      <x:c r="J332" s="69" t="str">
        <x:v>文件未載明</x:v>
      </x:c>
      <x:c r="K332" s="70" t="n">
        <x:v>215</x:v>
      </x:c>
      <x:c r="L332" s="69" t="str">
        <x:v>215</x:v>
      </x:c>
      <x:c r="M332" s="70"/>
      <x:c r="N332" s="69" t="str">
        <x:v>文件未載明</x:v>
      </x:c>
      <x:c r="O332" s="71" t="str">
        <x:v>表頭未能對應品項欄，待確認</x:v>
      </x:c>
      <x:c r="P332" s="71" t="str">
        <x:v>HTML表格1／列13</x:v>
      </x:c>
      <x:c r="Q332" s="71" t="str">
        <x:v>黏著劑 | 德國亞德士 | X1 | 25kg | 包 | 215 | 80*80以下是適用同南星與潤泰850等級通過CNS12311</x:v>
      </x:c>
      <x:c r="R332" s="71" t="str">
        <x:v>各廠商合約&amp; 報價\MD檔案\20240812 協力建材行.md</x:v>
      </x:c>
    </x:row>
    <x:row r="333">
      <x:c r="A333" s="69" t="str">
        <x:v>ITEM00329</x:v>
      </x:c>
      <x:c r="B333" s="69" t="str">
        <x:v>SRC022</x:v>
      </x:c>
      <x:c r="C333" s="69" t="str">
        <x:v>2023-2024</x:v>
      </x:c>
      <x:c r="D333" s="69" t="str">
        <x:v>note_or_description</x:v>
      </x:c>
      <x:c r="E333" s="69" t="str">
        <x:v>MD2023_2024_021-T01R014</x:v>
      </x:c>
      <x:c r="F333" s="71" t="str">
        <x:v>文件未載明</x:v>
      </x:c>
      <x:c r="G333" s="71" t="str"/>
      <x:c r="H333" s="71" t="str">
        <x:v>25kg</x:v>
      </x:c>
      <x:c r="I333" s="72"/>
      <x:c r="J333" s="69" t="str">
        <x:v>文件未載明</x:v>
      </x:c>
      <x:c r="K333" s="70" t="n">
        <x:v>260</x:v>
      </x:c>
      <x:c r="L333" s="69" t="str">
        <x:v>260</x:v>
      </x:c>
      <x:c r="M333" s="70"/>
      <x:c r="N333" s="69" t="str">
        <x:v>文件未載明</x:v>
      </x:c>
      <x:c r="O333" s="71" t="str">
        <x:v>表頭未能對應品項欄，待確認</x:v>
      </x:c>
      <x:c r="P333" s="71" t="str">
        <x:v>HTML表格1／列14</x:v>
      </x:c>
      <x:c r="Q333" s="71" t="str">
        <x:v>黏著劑 | 南星黏著劑 | | 25kg | 包 | 260 |</x:v>
      </x:c>
      <x:c r="R333" s="71" t="str">
        <x:v>各廠商合約&amp; 報價\MD檔案\20240812 協力建材行.md</x:v>
      </x:c>
    </x:row>
    <x:row r="334">
      <x:c r="A334" s="69" t="str">
        <x:v>ITEM00330</x:v>
      </x:c>
      <x:c r="B334" s="69" t="str">
        <x:v>SRC022</x:v>
      </x:c>
      <x:c r="C334" s="69" t="str">
        <x:v>2023-2024</x:v>
      </x:c>
      <x:c r="D334" s="69" t="str">
        <x:v>note_or_description</x:v>
      </x:c>
      <x:c r="E334" s="69" t="str">
        <x:v>MD2023_2024_021-T01R015</x:v>
      </x:c>
      <x:c r="F334" s="71" t="str">
        <x:v>文件未載明</x:v>
      </x:c>
      <x:c r="G334" s="71" t="str">
        <x:v>本色</x:v>
      </x:c>
      <x:c r="H334" s="71" t="str">
        <x:v>25kg</x:v>
      </x:c>
      <x:c r="I334" s="72"/>
      <x:c r="J334" s="69" t="str">
        <x:v>文件未載明</x:v>
      </x:c>
      <x:c r="K334" s="70" t="n">
        <x:v>140</x:v>
      </x:c>
      <x:c r="L334" s="69" t="str">
        <x:v>140</x:v>
      </x:c>
      <x:c r="M334" s="70"/>
      <x:c r="N334" s="69" t="str">
        <x:v>文件未載明</x:v>
      </x:c>
      <x:c r="O334" s="71" t="str">
        <x:v>表頭未能對應品項欄，待確認</x:v>
      </x:c>
      <x:c r="P334" s="71" t="str">
        <x:v>HTML表格1／列15</x:v>
      </x:c>
      <x:c r="Q334" s="71" t="str">
        <x:v>填縫劑 | 巴師父 | 本色 | 25kg | 包 | 140 | 其他顏色另議</x:v>
      </x:c>
      <x:c r="R334" s="71" t="str">
        <x:v>各廠商合約&amp; 報價\MD檔案\20240812 協力建材行.md</x:v>
      </x:c>
    </x:row>
    <x:row r="335">
      <x:c r="A335" s="69" t="str">
        <x:v>ITEM00331</x:v>
      </x:c>
      <x:c r="B335" s="69" t="str">
        <x:v>SRC022</x:v>
      </x:c>
      <x:c r="C335" s="69" t="str">
        <x:v>2023-2024</x:v>
      </x:c>
      <x:c r="D335" s="69" t="str">
        <x:v>note_or_description</x:v>
      </x:c>
      <x:c r="E335" s="69" t="str">
        <x:v>MD2023_2024_021-T01R016</x:v>
      </x:c>
      <x:c r="F335" s="71" t="str">
        <x:v>文件未載明</x:v>
      </x:c>
      <x:c r="G335" s="71" t="str">
        <x:v>本色細縫</x:v>
      </x:c>
      <x:c r="H335" s="71" t="str">
        <x:v>5kg</x:v>
      </x:c>
      <x:c r="I335" s="72"/>
      <x:c r="J335" s="69" t="str">
        <x:v>文件未載明</x:v>
      </x:c>
      <x:c r="K335" s="70" t="n">
        <x:v>250</x:v>
      </x:c>
      <x:c r="L335" s="69" t="str">
        <x:v>250</x:v>
      </x:c>
      <x:c r="M335" s="70"/>
      <x:c r="N335" s="69" t="str">
        <x:v>文件未載明</x:v>
      </x:c>
      <x:c r="O335" s="71" t="str">
        <x:v>表頭未能對應品項欄，待確認</x:v>
      </x:c>
      <x:c r="P335" s="71" t="str">
        <x:v>HTML表格1／列16</x:v>
      </x:c>
      <x:c r="Q335" s="71" t="str">
        <x:v>填縫劑 | 巴師父 | 本色細縫 | 5kg | 桶 | 250 | 其他顏色另議</x:v>
      </x:c>
      <x:c r="R335" s="71" t="str">
        <x:v>各廠商合約&amp; 報價\MD檔案\20240812 協力建材行.md</x:v>
      </x:c>
    </x:row>
    <x:row r="336">
      <x:c r="A336" s="69" t="str">
        <x:v>ITEM00332</x:v>
      </x:c>
      <x:c r="B336" s="69" t="str">
        <x:v>SRC022</x:v>
      </x:c>
      <x:c r="C336" s="69" t="str">
        <x:v>2023-2024</x:v>
      </x:c>
      <x:c r="D336" s="69" t="str">
        <x:v>note_or_description</x:v>
      </x:c>
      <x:c r="E336" s="69" t="str">
        <x:v>MD2023_2024_021-T01R017</x:v>
      </x:c>
      <x:c r="F336" s="71" t="str">
        <x:v>文件未載明</x:v>
      </x:c>
      <x:c r="G336" s="71" t="str">
        <x:v>細縫拋光</x:v>
      </x:c>
      <x:c r="H336" s="71" t="str">
        <x:v>5kg</x:v>
      </x:c>
      <x:c r="I336" s="72"/>
      <x:c r="J336" s="69" t="str">
        <x:v>文件未載明</x:v>
      </x:c>
      <x:c r="K336" s="70" t="n">
        <x:v>350</x:v>
      </x:c>
      <x:c r="L336" s="69" t="str">
        <x:v>350</x:v>
      </x:c>
      <x:c r="M336" s="70"/>
      <x:c r="N336" s="69" t="str">
        <x:v>文件未載明</x:v>
      </x:c>
      <x:c r="O336" s="71" t="str">
        <x:v>表頭未能對應品項欄，待確認</x:v>
      </x:c>
      <x:c r="P336" s="71" t="str">
        <x:v>HTML表格1／列17</x:v>
      </x:c>
      <x:c r="Q336" s="71" t="str">
        <x:v>填縫劑 | 德國亞德士 | 細縫拋光 | 5kg | 包 | 350 | 需提早訂貨 全顏色統一價</x:v>
      </x:c>
      <x:c r="R336" s="71" t="str">
        <x:v>各廠商合約&amp; 報價\MD檔案\20240812 協力建材行.md</x:v>
      </x:c>
    </x:row>
    <x:row r="337">
      <x:c r="A337" s="69" t="str">
        <x:v>ITEM00333</x:v>
      </x:c>
      <x:c r="B337" s="69" t="str">
        <x:v>SRC022</x:v>
      </x:c>
      <x:c r="C337" s="69" t="str">
        <x:v>2023-2024</x:v>
      </x:c>
      <x:c r="D337" s="69" t="str">
        <x:v>note_or_description</x:v>
      </x:c>
      <x:c r="E337" s="69" t="str">
        <x:v>MD2023_2024_021-T01R018</x:v>
      </x:c>
      <x:c r="F337" s="71" t="str">
        <x:v>文件未載明</x:v>
      </x:c>
      <x:c r="G337" s="71" t="str">
        <x:v>粉光材(細)330</x:v>
      </x:c>
      <x:c r="H337" s="71" t="str">
        <x:v>40kg</x:v>
      </x:c>
      <x:c r="I337" s="72"/>
      <x:c r="J337" s="69" t="str">
        <x:v>文件未載明</x:v>
      </x:c>
      <x:c r="K337" s="70" t="n">
        <x:v>150</x:v>
      </x:c>
      <x:c r="L337" s="69" t="str">
        <x:v>150</x:v>
      </x:c>
      <x:c r="M337" s="70"/>
      <x:c r="N337" s="69" t="str">
        <x:v>文件未載明</x:v>
      </x:c>
      <x:c r="O337" s="71" t="str">
        <x:v>表頭未能對應品項欄，待確認</x:v>
      </x:c>
      <x:c r="P337" s="71" t="str">
        <x:v>HTML表格1／列18</x:v>
      </x:c>
      <x:c r="Q337" s="71" t="str">
        <x:v>潤泰乾拌砂 | 粉光材(細)330 | 粉光材(細)330 | 40kg | 包 | 150 | 目前價格</x:v>
      </x:c>
      <x:c r="R337" s="71" t="str">
        <x:v>各廠商合約&amp; 報價\MD檔案\20240812 協力建材行.md</x:v>
      </x:c>
    </x:row>
    <x:row r="338">
      <x:c r="A338" s="69" t="str">
        <x:v>ITEM00334</x:v>
      </x:c>
      <x:c r="B338" s="69" t="str">
        <x:v>SRC022</x:v>
      </x:c>
      <x:c r="C338" s="69" t="str">
        <x:v>2023-2024</x:v>
      </x:c>
      <x:c r="D338" s="69" t="str">
        <x:v>note_or_description</x:v>
      </x:c>
      <x:c r="E338" s="69" t="str">
        <x:v>MD2023_2024_021-T01R019</x:v>
      </x:c>
      <x:c r="F338" s="71" t="str">
        <x:v>文件未載明</x:v>
      </x:c>
      <x:c r="G338" s="71" t="str">
        <x:v>地板材(粗)190</x:v>
      </x:c>
      <x:c r="H338" s="71" t="str">
        <x:v>40kg</x:v>
      </x:c>
      <x:c r="I338" s="72"/>
      <x:c r="J338" s="69" t="str">
        <x:v>文件未載明</x:v>
      </x:c>
      <x:c r="K338" s="70" t="n">
        <x:v>140</x:v>
      </x:c>
      <x:c r="L338" s="69" t="str">
        <x:v>140</x:v>
      </x:c>
      <x:c r="M338" s="70"/>
      <x:c r="N338" s="69" t="str">
        <x:v>文件未載明</x:v>
      </x:c>
      <x:c r="O338" s="71" t="str">
        <x:v>表頭未能對應品項欄，待確認</x:v>
      </x:c>
      <x:c r="P338" s="71" t="str">
        <x:v>HTML表格1／列19</x:v>
      </x:c>
      <x:c r="Q338" s="71" t="str">
        <x:v>潤泰乾拌砂 | 地板材(粗)190 | 地板材(粗)190 | 40kg | 包 | 140 | 目前價格</x:v>
      </x:c>
      <x:c r="R338" s="71" t="str">
        <x:v>各廠商合約&amp; 報價\MD檔案\20240812 協力建材行.md</x:v>
      </x:c>
    </x:row>
    <x:row r="339">
      <x:c r="A339" s="69" t="str">
        <x:v>ITEM00335</x:v>
      </x:c>
      <x:c r="B339" s="69" t="str">
        <x:v>SRC022</x:v>
      </x:c>
      <x:c r="C339" s="69" t="str">
        <x:v>2023-2024</x:v>
      </x:c>
      <x:c r="D339" s="69" t="str">
        <x:v>note_or_description</x:v>
      </x:c>
      <x:c r="E339" s="69" t="str">
        <x:v>MD2023_2024_021-T01R020</x:v>
      </x:c>
      <x:c r="F339" s="71" t="str">
        <x:v>文件未載明</x:v>
      </x:c>
      <x:c r="G339" s="71" t="str">
        <x:v>品牌/項目/內容</x:v>
      </x:c>
      <x:c r="H339" s="71" t="str">
        <x:v>包裝</x:v>
      </x:c>
      <x:c r="I339" s="72"/>
      <x:c r="J339" s="69" t="str">
        <x:v>文件未載明</x:v>
      </x:c>
      <x:c r="K339" s="70"/>
      <x:c r="L339" s="69" t="str">
        <x:v>單價</x:v>
      </x:c>
      <x:c r="M339" s="70"/>
      <x:c r="N339" s="69" t="str">
        <x:v>文件未載明</x:v>
      </x:c>
      <x:c r="O339" s="71" t="str">
        <x:v>表頭未能對應品項欄，待確認</x:v>
      </x:c>
      <x:c r="P339" s="71" t="str">
        <x:v>HTML表格1／列20</x:v>
      </x:c>
      <x:c r="Q339" s="71" t="str">
        <x:v>雜項 | 品牌/項目/內容 | 品牌/項目/內容 | 包裝 | 單位 | 單價 | 備註欄</x:v>
      </x:c>
      <x:c r="R339" s="71" t="str">
        <x:v>各廠商合約&amp; 報價\MD檔案\20240812 協力建材行.md</x:v>
      </x:c>
    </x:row>
    <x:row r="340">
      <x:c r="A340" s="69" t="str">
        <x:v>ITEM00336</x:v>
      </x:c>
      <x:c r="B340" s="69" t="str">
        <x:v>SRC022</x:v>
      </x:c>
      <x:c r="C340" s="69" t="str">
        <x:v>2023-2024</x:v>
      </x:c>
      <x:c r="D340" s="69" t="str">
        <x:v>note_or_description</x:v>
      </x:c>
      <x:c r="E340" s="69" t="str">
        <x:v>MD2023_2024_021-T01R021</x:v>
      </x:c>
      <x:c r="F340" s="71" t="str">
        <x:v>文件未載明</x:v>
      </x:c>
      <x:c r="G340" s="71" t="str">
        <x:v>SP-001</x:v>
      </x:c>
      <x:c r="H340" s="71" t="str">
        <x:v>5加侖</x:v>
      </x:c>
      <x:c r="I340" s="72"/>
      <x:c r="J340" s="69" t="str">
        <x:v>文件未載明</x:v>
      </x:c>
      <x:c r="K340" s="70" t="n">
        <x:v>1900</x:v>
      </x:c>
      <x:c r="L340" s="69" t="str">
        <x:v>1900</x:v>
      </x:c>
      <x:c r="M340" s="70"/>
      <x:c r="N340" s="69" t="str">
        <x:v>文件未載明</x:v>
      </x:c>
      <x:c r="O340" s="71" t="str">
        <x:v>表頭未能對應品項欄，待確認</x:v>
      </x:c>
      <x:c r="P340" s="71" t="str">
        <x:v>HTML表格1／列21</x:v>
      </x:c>
      <x:c r="Q340" s="71" t="str">
        <x:v>新舊水泥接著劑 | SP-001 | SP-001 | 5加侖 | 桶 | 1900 | 與SP360同工廠(員合工業)</x:v>
      </x:c>
      <x:c r="R340" s="71" t="str">
        <x:v>各廠商合約&amp; 報價\MD檔案\20240812 協力建材行.md</x:v>
      </x:c>
    </x:row>
    <x:row r="341">
      <x:c r="A341" s="69" t="str">
        <x:v>ITEM00337</x:v>
      </x:c>
      <x:c r="B341" s="69" t="str">
        <x:v>SRC022</x:v>
      </x:c>
      <x:c r="C341" s="69" t="str">
        <x:v>2023-2024</x:v>
      </x:c>
      <x:c r="D341" s="69" t="str">
        <x:v>note_or_description</x:v>
      </x:c>
      <x:c r="E341" s="69" t="str">
        <x:v>MD2023_2024_021-T01R022</x:v>
      </x:c>
      <x:c r="F341" s="71" t="str">
        <x:v>文件未載明</x:v>
      </x:c>
      <x:c r="G341" s="71" t="str">
        <x:v>六合化工(員和化工)</x:v>
      </x:c>
      <x:c r="H341" s="71" t="str">
        <x:v>5加侖</x:v>
      </x:c>
      <x:c r="I341" s="72"/>
      <x:c r="J341" s="69" t="str">
        <x:v>文件未載明</x:v>
      </x:c>
      <x:c r="K341" s="70" t="n">
        <x:v>400</x:v>
      </x:c>
      <x:c r="L341" s="69" t="str">
        <x:v>400</x:v>
      </x:c>
      <x:c r="M341" s="70"/>
      <x:c r="N341" s="69" t="str">
        <x:v>文件未載明</x:v>
      </x:c>
      <x:c r="O341" s="71" t="str">
        <x:v>表頭未能對應品項欄，待確認</x:v>
      </x:c>
      <x:c r="P341" s="71" t="str">
        <x:v>HTML表格1／列22</x:v>
      </x:c>
      <x:c r="Q341" s="71" t="str">
        <x:v>防水劑 | 六合化工(員和化工) | 六合化工(員和化工) | 5加侖 | 桶 | 400 |</x:v>
      </x:c>
      <x:c r="R341" s="71" t="str">
        <x:v>各廠商合約&amp; 報價\MD檔案\20240812 協力建材行.md</x:v>
      </x:c>
    </x:row>
    <x:row r="342">
      <x:c r="A342" s="69" t="str">
        <x:v>ITEM00338</x:v>
      </x:c>
      <x:c r="B342" s="69" t="str">
        <x:v>SRC022</x:v>
      </x:c>
      <x:c r="C342" s="69" t="str">
        <x:v>2023-2024</x:v>
      </x:c>
      <x:c r="D342" s="69" t="str">
        <x:v>note_or_description</x:v>
      </x:c>
      <x:c r="E342" s="69" t="str">
        <x:v>MD2023_2024_021-T01R023</x:v>
      </x:c>
      <x:c r="F342" s="71" t="str">
        <x:v>文件未載明</x:v>
      </x:c>
      <x:c r="G342" s="71" t="str">
        <x:v>亞德士</x:v>
      </x:c>
      <x:c r="H342" s="71" t="str">
        <x:v>1kg</x:v>
      </x:c>
      <x:c r="I342" s="72"/>
      <x:c r="J342" s="69" t="str">
        <x:v>文件未載明</x:v>
      </x:c>
      <x:c r="K342" s="70" t="n">
        <x:v>250</x:v>
      </x:c>
      <x:c r="L342" s="69" t="str">
        <x:v>250</x:v>
      </x:c>
      <x:c r="M342" s="70"/>
      <x:c r="N342" s="69" t="str">
        <x:v>文件未載明</x:v>
      </x:c>
      <x:c r="O342" s="71" t="str">
        <x:v>表頭未能對應品項欄，待確認</x:v>
      </x:c>
      <x:c r="P342" s="71" t="str">
        <x:v>HTML表格1／列23</x:v>
      </x:c>
      <x:c r="Q342" s="71" t="str">
        <x:v>防水粉 | 亞德士 | 亞德士 | 1kg | 包 | 250 | 符合標準CNS3763</x:v>
      </x:c>
      <x:c r="R342" s="71" t="str">
        <x:v>各廠商合約&amp; 報價\MD檔案\20240812 協力建材行.md</x:v>
      </x:c>
    </x:row>
    <x:row r="343">
      <x:c r="A343" s="69" t="str">
        <x:v>ITEM00339</x:v>
      </x:c>
      <x:c r="B343" s="69" t="str">
        <x:v>SRC022</x:v>
      </x:c>
      <x:c r="C343" s="69" t="str">
        <x:v>2023-2024</x:v>
      </x:c>
      <x:c r="D343" s="69" t="str">
        <x:v>note_or_description</x:v>
      </x:c>
      <x:c r="E343" s="69" t="str">
        <x:v>MD2023_2024_021-T01R024</x:v>
      </x:c>
      <x:c r="F343" s="71" t="str">
        <x:v>文件未載明</x:v>
      </x:c>
      <x:c r="G343" s="71" t="str">
        <x:v>白色不透明PP</x:v>
      </x:c>
      <x:c r="H343" s="71" t="str">
        <x:v>3*6呎</x:v>
      </x:c>
      <x:c r="I343" s="72"/>
      <x:c r="J343" s="69" t="str">
        <x:v>文件未載明</x:v>
      </x:c>
      <x:c r="K343" s="70" t="n">
        <x:v>17</x:v>
      </x:c>
      <x:c r="L343" s="69" t="str">
        <x:v>17</x:v>
      </x:c>
      <x:c r="M343" s="70"/>
      <x:c r="N343" s="69" t="str">
        <x:v>文件未載明</x:v>
      </x:c>
      <x:c r="O343" s="71" t="str">
        <x:v>表頭未能對應品項欄，待確認</x:v>
      </x:c>
      <x:c r="P343" s="71" t="str">
        <x:v>HTML表格1／列24</x:v>
      </x:c>
      <x:c r="Q343" s="71" t="str">
        <x:v>磁磚保護板 | 白色不透明PP | 白色不透明PP | 3*6呎 | 片 | 17 |</x:v>
      </x:c>
      <x:c r="R343" s="71" t="str">
        <x:v>各廠商合約&amp; 報價\MD檔案\20240812 協力建材行.md</x:v>
      </x:c>
    </x:row>
    <x:row r="344">
      <x:c r="A344" s="69" t="str">
        <x:v>ITEM00340</x:v>
      </x:c>
      <x:c r="B344" s="69" t="str">
        <x:v>SRC022</x:v>
      </x:c>
      <x:c r="C344" s="69" t="str">
        <x:v>2023-2024</x:v>
      </x:c>
      <x:c r="D344" s="69" t="str">
        <x:v>note_or_description</x:v>
      </x:c>
      <x:c r="E344" s="69" t="str">
        <x:v>MD2023_2024_021-T01R025</x:v>
      </x:c>
      <x:c r="F344" s="71" t="str">
        <x:v>文件未載明</x:v>
      </x:c>
      <x:c r="G344" s="71" t="str">
        <x:v>布紋膠帶</x:v>
      </x:c>
      <x:c r="H344" s="71" t="str">
        <x:v>寬5cm</x:v>
      </x:c>
      <x:c r="I344" s="72"/>
      <x:c r="J344" s="69" t="str">
        <x:v>文件未載明</x:v>
      </x:c>
      <x:c r="K344" s="70" t="n">
        <x:v>45</x:v>
      </x:c>
      <x:c r="L344" s="69" t="str">
        <x:v>45</x:v>
      </x:c>
      <x:c r="M344" s="70"/>
      <x:c r="N344" s="69" t="str">
        <x:v>文件未載明</x:v>
      </x:c>
      <x:c r="O344" s="71" t="str">
        <x:v>表頭未能對應品項欄，待確認</x:v>
      </x:c>
      <x:c r="P344" s="71" t="str">
        <x:v>HTML表格1／列25</x:v>
      </x:c>
      <x:c r="Q344" s="71" t="str">
        <x:v>膠帶 | 布紋膠帶 | 布紋膠帶 | 寬5cm | 捲 | 45 | 90呎每條6個</x:v>
      </x:c>
      <x:c r="R344" s="71" t="str">
        <x:v>各廠商合約&amp; 報價\MD檔案\20240812 協力建材行.md</x:v>
      </x:c>
    </x:row>
    <x:row r="345">
      <x:c r="A345" s="69" t="str">
        <x:v>ITEM00341</x:v>
      </x:c>
      <x:c r="B345" s="69" t="str">
        <x:v>SRC022</x:v>
      </x:c>
      <x:c r="C345" s="69" t="str">
        <x:v>2023-2024</x:v>
      </x:c>
      <x:c r="D345" s="69" t="str">
        <x:v>note_or_description</x:v>
      </x:c>
      <x:c r="E345" s="69" t="str">
        <x:v>MD2023_2024_021-T01R026</x:v>
      </x:c>
      <x:c r="F345" s="71" t="str">
        <x:v>文件未載明</x:v>
      </x:c>
      <x:c r="G345" s="71" t="str">
        <x:v>6000磅</x:v>
      </x:c>
      <x:c r="H345" s="71" t="str">
        <x:v>25kg</x:v>
      </x:c>
      <x:c r="I345" s="72"/>
      <x:c r="J345" s="69" t="str">
        <x:v>文件未載明</x:v>
      </x:c>
      <x:c r="K345" s="70" t="n">
        <x:v>320</x:v>
      </x:c>
      <x:c r="L345" s="69" t="str">
        <x:v>320</x:v>
      </x:c>
      <x:c r="M345" s="70"/>
      <x:c r="N345" s="69" t="str">
        <x:v>文件未載明</x:v>
      </x:c>
      <x:c r="O345" s="71" t="str">
        <x:v>表頭未能對應品項欄，待確認</x:v>
      </x:c>
      <x:c r="P345" s="71" t="str">
        <x:v>HTML表格1／列26</x:v>
      </x:c>
      <x:c r="Q345" s="71" t="str">
        <x:v>無收縮水泥漿 | 6000磅 | 6000磅 | 25kg | 包 | 320 |</x:v>
      </x:c>
      <x:c r="R345" s="71" t="str">
        <x:v>各廠商合約&amp; 報價\MD檔案\20240812 協力建材行.md</x:v>
      </x:c>
    </x:row>
    <x:row r="346">
      <x:c r="A346" s="69" t="str">
        <x:v>ITEM00342</x:v>
      </x:c>
      <x:c r="B346" s="69" t="str">
        <x:v>SRC022</x:v>
      </x:c>
      <x:c r="C346" s="69" t="str">
        <x:v>2023-2024</x:v>
      </x:c>
      <x:c r="D346" s="69" t="str">
        <x:v>note_or_description</x:v>
      </x:c>
      <x:c r="E346" s="69" t="str">
        <x:v>MD2023_2024_021-T01R027</x:v>
      </x:c>
      <x:c r="F346" s="71" t="str">
        <x:v>文件未載明</x:v>
      </x:c>
      <x:c r="G346" s="71" t="str">
        <x:v>#10000</x:v>
      </x:c>
      <x:c r="H346" s="71" t="str">
        <x:v>25kg</x:v>
      </x:c>
      <x:c r="I346" s="72"/>
      <x:c r="J346" s="69" t="str">
        <x:v>文件未載明</x:v>
      </x:c>
      <x:c r="K346" s="70" t="n">
        <x:v>8600</x:v>
      </x:c>
      <x:c r="L346" s="69" t="str">
        <x:v>8600</x:v>
      </x:c>
      <x:c r="M346" s="70"/>
      <x:c r="N346" s="69" t="str">
        <x:v>文件未載明</x:v>
      </x:c>
      <x:c r="O346" s="71" t="str">
        <x:v>表頭未能對應品項欄，待確認</x:v>
      </x:c>
      <x:c r="P346" s="71" t="str">
        <x:v>HTML表格1／列27</x:v>
      </x:c>
      <x:c r="Q346" s="71" t="str">
        <x:v>海菜粉 | #10000 | #10000 | 25kg | 包 | 8600 | 南星</x:v>
      </x:c>
      <x:c r="R346" s="71" t="str">
        <x:v>各廠商合約&amp; 報價\MD檔案\20240812 協力建材行.md</x:v>
      </x:c>
    </x:row>
    <x:row r="347">
      <x:c r="A347" s="69" t="str">
        <x:v>ITEM00343</x:v>
      </x:c>
      <x:c r="B347" s="69" t="str">
        <x:v>SRC022</x:v>
      </x:c>
      <x:c r="C347" s="69" t="str">
        <x:v>2023-2024</x:v>
      </x:c>
      <x:c r="D347" s="69" t="str">
        <x:v>note_or_description</x:v>
      </x:c>
      <x:c r="E347" s="69" t="str">
        <x:v>MD2023_2024_021-T01R028</x:v>
      </x:c>
      <x:c r="F347" s="71" t="str">
        <x:v>文件未載明</x:v>
      </x:c>
      <x:c r="G347" s="71" t="str">
        <x:v>5*10</x:v>
      </x:c>
      <x:c r="H347" s="71" t="str">
        <x:v>5*10</x:v>
      </x:c>
      <x:c r="I347" s="72"/>
      <x:c r="J347" s="69" t="str">
        <x:v>文件未載明</x:v>
      </x:c>
      <x:c r="K347" s="70" t="n">
        <x:v>1.5</x:v>
      </x:c>
      <x:c r="L347" s="69" t="str">
        <x:v>1.5</x:v>
      </x:c>
      <x:c r="M347" s="70"/>
      <x:c r="N347" s="69" t="str">
        <x:v>文件未載明</x:v>
      </x:c>
      <x:c r="O347" s="71" t="str">
        <x:v>表頭未能對應品項欄，待確認</x:v>
      </x:c>
      <x:c r="P347" s="71" t="str">
        <x:v>HTML表格1／列28</x:v>
      </x:c>
      <x:c r="Q347" s="71" t="str">
        <x:v>楣樑 | 5*10 | 5*10 | 5*10 | 公分 | 1.5 | 內含#3鋼筋兩隻</x:v>
      </x:c>
      <x:c r="R347" s="71" t="str">
        <x:v>各廠商合約&amp; 報價\MD檔案\20240812 協力建材行.md</x:v>
      </x:c>
    </x:row>
    <x:row r="348">
      <x:c r="A348" s="69" t="str">
        <x:v>ITEM00344</x:v>
      </x:c>
      <x:c r="B348" s="69" t="str">
        <x:v>SRC022</x:v>
      </x:c>
      <x:c r="C348" s="69" t="str">
        <x:v>2023-2024</x:v>
      </x:c>
      <x:c r="D348" s="69" t="str">
        <x:v>note_or_description</x:v>
      </x:c>
      <x:c r="E348" s="69" t="str">
        <x:v>MD2023_2024_021-T01R029</x:v>
      </x:c>
      <x:c r="F348" s="71" t="str">
        <x:v>文件未載明</x:v>
      </x:c>
      <x:c r="G348" s="71" t="str">
        <x:v>高分子亮面人造石</x:v>
      </x:c>
      <x:c r="H348" s="71" t="str">
        <x:v>6*6*6</x:v>
      </x:c>
      <x:c r="I348" s="72"/>
      <x:c r="J348" s="69" t="str">
        <x:v>文件未載明</x:v>
      </x:c>
      <x:c r="K348" s="70" t="n">
        <x:v>3</x:v>
      </x:c>
      <x:c r="L348" s="69" t="str">
        <x:v>3</x:v>
      </x:c>
      <x:c r="M348" s="70"/>
      <x:c r="N348" s="69" t="str">
        <x:v>文件未載明</x:v>
      </x:c>
      <x:c r="O348" s="71" t="str">
        <x:v>表頭未能對應品項欄，待確認</x:v>
      </x:c>
      <x:c r="P348" s="71" t="str">
        <x:v>HTML表格1／列29</x:v>
      </x:c>
      <x:c r="Q348" s="71" t="str">
        <x:v>門檻 | 高分子亮面人造石 | 高分子亮面人造石 | 6*6*6 | 公分 | 3 | 若貴工地主管方便提供圖面敞司可協助計算及統計數量以利現場進貨時間與分料作業</x:v>
      </x:c>
      <x:c r="R348" s="71" t="str">
        <x:v>各廠商合約&amp; 報價\MD檔案\20240812 協力建材行.md</x:v>
      </x:c>
    </x:row>
    <x:row r="349">
      <x:c r="A349" s="69" t="str">
        <x:v>ITEM00345</x:v>
      </x:c>
      <x:c r="B349" s="69" t="str">
        <x:v>SRC022</x:v>
      </x:c>
      <x:c r="C349" s="69" t="str">
        <x:v>2023-2024</x:v>
      </x:c>
      <x:c r="D349" s="69" t="str">
        <x:v>note_or_description</x:v>
      </x:c>
      <x:c r="E349" s="69" t="str">
        <x:v>MD2023_2024_021-T01R030</x:v>
      </x:c>
      <x:c r="F349" s="71" t="str">
        <x:v>文件未載明</x:v>
      </x:c>
      <x:c r="G349" s="71" t="str">
        <x:v>高分子亮面人造石</x:v>
      </x:c>
      <x:c r="H349" s="71" t="str">
        <x:v>6*6*10</x:v>
      </x:c>
      <x:c r="I349" s="72"/>
      <x:c r="J349" s="69" t="str">
        <x:v>文件未載明</x:v>
      </x:c>
      <x:c r="K349" s="70" t="n">
        <x:v>4</x:v>
      </x:c>
      <x:c r="L349" s="69" t="str">
        <x:v>4</x:v>
      </x:c>
      <x:c r="M349" s="70"/>
      <x:c r="N349" s="69" t="str">
        <x:v>文件未載明</x:v>
      </x:c>
      <x:c r="O349" s="71" t="str">
        <x:v>表頭未能對應品項欄，待確認</x:v>
      </x:c>
      <x:c r="P349" s="71" t="str">
        <x:v>HTML表格1／列30</x:v>
      </x:c>
      <x:c r="Q349" s="71" t="str">
        <x:v>門檻 | 高分子亮面人造石 | 高分子亮面人造石 | 6*6*10 | 公分 | 4 | 若貴工地主管方便提供圖面敞司可協助計算及統計數量以利現場進貨時間與分料作業</x:v>
      </x:c>
      <x:c r="R349" s="71" t="str">
        <x:v>各廠商合約&amp; 報價\MD檔案\20240812 協力建材行.md</x:v>
      </x:c>
    </x:row>
    <x:row r="350">
      <x:c r="A350" s="69" t="str">
        <x:v>ITEM00346</x:v>
      </x:c>
      <x:c r="B350" s="69" t="str">
        <x:v>SRC022</x:v>
      </x:c>
      <x:c r="C350" s="69" t="str">
        <x:v>2023-2024</x:v>
      </x:c>
      <x:c r="D350" s="69" t="str">
        <x:v>note_or_description</x:v>
      </x:c>
      <x:c r="E350" s="69" t="str">
        <x:v>MD2023_2024_021-T01R031</x:v>
      </x:c>
      <x:c r="F350" s="71" t="str">
        <x:v>文件未載明</x:v>
      </x:c>
      <x:c r="G350" s="71" t="str">
        <x:v>高分子亮面人造石</x:v>
      </x:c>
      <x:c r="H350" s="71" t="str">
        <x:v>6*6*15</x:v>
      </x:c>
      <x:c r="I350" s="72"/>
      <x:c r="J350" s="69" t="str">
        <x:v>文件未載明</x:v>
      </x:c>
      <x:c r="K350" s="70" t="n">
        <x:v>5</x:v>
      </x:c>
      <x:c r="L350" s="69" t="str">
        <x:v>5</x:v>
      </x:c>
      <x:c r="M350" s="70"/>
      <x:c r="N350" s="69" t="str">
        <x:v>文件未載明</x:v>
      </x:c>
      <x:c r="O350" s="71" t="str">
        <x:v>表頭未能對應品項欄，待確認</x:v>
      </x:c>
      <x:c r="P350" s="71" t="str">
        <x:v>HTML表格1／列31</x:v>
      </x:c>
      <x:c r="Q350" s="71" t="str">
        <x:v>門檻 | 高分子亮面人造石 | 高分子亮面人造石 | 6*6*15 | 公分 | 5 | 若貴工地主管方便提供圖面敞司可協助計算及統計數量以利現場進貨時間與分料作業</x:v>
      </x:c>
      <x:c r="R350" s="71" t="str">
        <x:v>各廠商合約&amp; 報價\MD檔案\20240812 協力建材行.md</x:v>
      </x:c>
    </x:row>
    <x:row r="351">
      <x:c r="A351" s="69" t="str">
        <x:v>ITEM00347</x:v>
      </x:c>
      <x:c r="B351" s="69" t="str">
        <x:v>SRC022</x:v>
      </x:c>
      <x:c r="C351" s="69" t="str">
        <x:v>2023-2024</x:v>
      </x:c>
      <x:c r="D351" s="69" t="str">
        <x:v>note_or_description</x:v>
      </x:c>
      <x:c r="E351" s="69" t="str">
        <x:v>MD2023_2024_021-T01R032</x:v>
      </x:c>
      <x:c r="F351" s="71" t="str">
        <x:v>文件未載明</x:v>
      </x:c>
      <x:c r="G351" s="71" t="str">
        <x:v>磁磚清潔劑</x:v>
      </x:c>
      <x:c r="H351" s="71" t="str">
        <x:v>20L</x:v>
      </x:c>
      <x:c r="I351" s="72"/>
      <x:c r="J351" s="69" t="str">
        <x:v>文件未載明</x:v>
      </x:c>
      <x:c r="K351" s="70" t="n">
        <x:v>500</x:v>
      </x:c>
      <x:c r="L351" s="69" t="str">
        <x:v>500</x:v>
      </x:c>
      <x:c r="M351" s="70"/>
      <x:c r="N351" s="69" t="str">
        <x:v>文件未載明</x:v>
      </x:c>
      <x:c r="O351" s="71" t="str">
        <x:v>表頭未能對應品項欄，待確認</x:v>
      </x:c>
      <x:c r="P351" s="71" t="str">
        <x:v>HTML表格1／列32</x:v>
      </x:c>
      <x:c r="Q351" s="71" t="str">
        <x:v>清潔劑 | 磁磚清潔劑 | 磁磚清潔劑 | 20L | 桶 | 500 |</x:v>
      </x:c>
      <x:c r="R351" s="71" t="str">
        <x:v>各廠商合約&amp; 報價\MD檔案\20240812 協力建材行.md</x:v>
      </x:c>
    </x:row>
    <x:row r="352">
      <x:c r="A352" s="69" t="str">
        <x:v>ITEM00348</x:v>
      </x:c>
      <x:c r="B352" s="69" t="str">
        <x:v>SRC022</x:v>
      </x:c>
      <x:c r="C352" s="69" t="str">
        <x:v>2023-2024</x:v>
      </x:c>
      <x:c r="D352" s="69" t="str">
        <x:v>note_or_description</x:v>
      </x:c>
      <x:c r="E352" s="69" t="str">
        <x:v>MD2023_2024_021-T01R033</x:v>
      </x:c>
      <x:c r="F352" s="71" t="str">
        <x:v>文件未載明</x:v>
      </x:c>
      <x:c r="G352" s="71" t="str"/>
      <x:c r="H352" s="71" t="str">
        <x:v>厚度8mm</x:v>
      </x:c>
      <x:c r="I352" s="72"/>
      <x:c r="J352" s="69" t="str">
        <x:v>文件未載明</x:v>
      </x:c>
      <x:c r="K352" s="70"/>
      <x:c r="L352" s="69" t="str">
        <x:v>2500/坪</x:v>
      </x:c>
      <x:c r="M352" s="70"/>
      <x:c r="N352" s="69" t="str">
        <x:v>文件未載明</x:v>
      </x:c>
      <x:c r="O352" s="71" t="str">
        <x:v>表頭未能對應品項欄，待確認</x:v>
      </x:c>
      <x:c r="P352" s="71" t="str">
        <x:v>HTML表格1／列33</x:v>
      </x:c>
      <x:c r="Q352" s="71" t="str">
        <x:v>SPC卡扣地板 | SPC卡扣地板 | | 厚度8mm | 厚度8mm | 2500/坪 | 連工帶料 地坪需平整</x:v>
      </x:c>
      <x:c r="R352" s="71" t="str">
        <x:v>各廠商合約&amp; 報價\MD檔案\20240812 協力建材行.md</x:v>
      </x:c>
    </x:row>
    <x:row r="353">
      <x:c r="A353" s="69" t="str">
        <x:v>ITEM00349</x:v>
      </x:c>
      <x:c r="B353" s="69" t="str">
        <x:v>SRC023</x:v>
      </x:c>
      <x:c r="C353" s="69" t="str">
        <x:v>2023-2024</x:v>
      </x:c>
      <x:c r="D353" s="69" t="str">
        <x:v>line_item</x:v>
      </x:c>
      <x:c r="E353" s="69" t="str">
        <x:v>MD2023_2024_022-T01R003</x:v>
      </x:c>
      <x:c r="F353" s="71" t="str">
        <x:v>方鑽系列1332+ 南洋木(立式 無障礙)</x:v>
      </x:c>
      <x:c r="G353" s="71" t="str">
        <x:v>文件未載明</x:v>
      </x:c>
      <x:c r="H353" s="71" t="str">
        <x:v>文件未載明</x:v>
      </x:c>
      <x:c r="I353" s="72" t="n">
        <x:v>1</x:v>
      </x:c>
      <x:c r="J353" s="69" t="str">
        <x:v>1</x:v>
      </x:c>
      <x:c r="K353" s="70" t="n">
        <x:v>3500</x:v>
      </x:c>
      <x:c r="L353" s="69" t="str">
        <x:v>$3,500</x:v>
      </x:c>
      <x:c r="M353" s="70" t="n">
        <x:v>140000</x:v>
      </x:c>
      <x:c r="N353" s="69" t="str">
        <x:v>$140,000</x:v>
      </x:c>
      <x:c r="O353" s="71" t="str">
        <x:v>來源表頭對應</x:v>
      </x:c>
      <x:c r="P353" s="71" t="str">
        <x:v>HTML表格1／列3</x:v>
      </x:c>
      <x:c r="Q353" s="71" t="str">
        <x:v>1 | / | 1F~R1F | 方鑽系列1332+ 南洋木(立式 無障礙) | 1 | 40 | 40 | 85 | 黑砂 | $3,500 | $140,000 |</x:v>
      </x:c>
      <x:c r="R353" s="71" t="str">
        <x:v>各廠商合約&amp; 報價\MD檔案\20240819 順靖 樓梯扶手.md</x:v>
      </x:c>
    </x:row>
    <x:row r="354">
      <x:c r="A354" s="69" t="str">
        <x:v>ITEM00350</x:v>
      </x:c>
      <x:c r="B354" s="69" t="str">
        <x:v>SRC023</x:v>
      </x:c>
      <x:c r="C354" s="69" t="str">
        <x:v>2023-2024</x:v>
      </x:c>
      <x:c r="D354" s="69" t="str">
        <x:v>line_item</x:v>
      </x:c>
      <x:c r="E354" s="69" t="str">
        <x:v>MD2023_2024_022-T01R004</x:v>
      </x:c>
      <x:c r="F354" s="71" t="str">
        <x:v>方鑽系列1332+ 南洋木(立式 無障礙)</x:v>
      </x:c>
      <x:c r="G354" s="71" t="str">
        <x:v>文件未載明</x:v>
      </x:c>
      <x:c r="H354" s="71" t="str">
        <x:v>文件未載明</x:v>
      </x:c>
      <x:c r="I354" s="72" t="n">
        <x:v>1</x:v>
      </x:c>
      <x:c r="J354" s="69" t="str">
        <x:v>1</x:v>
      </x:c>
      <x:c r="K354" s="70" t="n">
        <x:v>4500</x:v>
      </x:c>
      <x:c r="L354" s="69" t="str">
        <x:v>$4,500</x:v>
      </x:c>
      <x:c r="M354" s="70" t="n">
        <x:v>4500</x:v>
      </x:c>
      <x:c r="N354" s="69" t="str">
        <x:v>$4,500</x:v>
      </x:c>
      <x:c r="O354" s="71" t="str">
        <x:v>來源表頭對應</x:v>
      </x:c>
      <x:c r="P354" s="71" t="str">
        <x:v>HTML表格1／列4</x:v>
      </x:c>
      <x:c r="Q354" s="71" t="str">
        <x:v>2 | / | R1F平台 | 方鑽系列1332+ 南洋木(立式 無障礙) | 1 | 1 | 1 | 114 | 黑砂 | $4,500 | $4,500 |</x:v>
      </x:c>
      <x:c r="R354" s="71" t="str">
        <x:v>各廠商合約&amp; 報價\MD檔案\20240819 順靖 樓梯扶手.md</x:v>
      </x:c>
    </x:row>
    <x:row r="355">
      <x:c r="A355" s="69" t="str">
        <x:v>ITEM00351</x:v>
      </x:c>
      <x:c r="B355" s="69" t="str">
        <x:v>SRC023</x:v>
      </x:c>
      <x:c r="C355" s="69" t="str">
        <x:v>2023-2024</x:v>
      </x:c>
      <x:c r="D355" s="69" t="str">
        <x:v>line_item</x:v>
      </x:c>
      <x:c r="E355" s="69" t="str">
        <x:v>MD2023_2024_022-T01R005</x:v>
      </x:c>
      <x:c r="F355" s="71" t="str">
        <x:v>高雅壁座+南洋木(壁式 無障礙)</x:v>
      </x:c>
      <x:c r="G355" s="71" t="str">
        <x:v>文件未載明</x:v>
      </x:c>
      <x:c r="H355" s="71" t="str">
        <x:v>文件未載明</x:v>
      </x:c>
      <x:c r="I355" s="72" t="n">
        <x:v>1</x:v>
      </x:c>
      <x:c r="J355" s="69" t="str">
        <x:v>1</x:v>
      </x:c>
      <x:c r="K355" s="70" t="n">
        <x:v>1500</x:v>
      </x:c>
      <x:c r="L355" s="69" t="str">
        <x:v>$1,500</x:v>
      </x:c>
      <x:c r="M355" s="70" t="n">
        <x:v>54000</x:v>
      </x:c>
      <x:c r="N355" s="69" t="str">
        <x:v>$54,000</x:v>
      </x:c>
      <x:c r="O355" s="71" t="str">
        <x:v>來源表頭對應</x:v>
      </x:c>
      <x:c r="P355" s="71" t="str">
        <x:v>HTML表格1／列5</x:v>
      </x:c>
      <x:c r="Q355" s="71" t="str">
        <x:v>3 | / | 1F~R1F | 高雅壁座+南洋木(壁式 無障礙) | 1 | 36 | 36 | 83 | 黑砂 | $1,500 | $54,000 |</x:v>
      </x:c>
      <x:c r="R355" s="71" t="str">
        <x:v>各廠商合約&amp; 報價\MD檔案\20240819 順靖 樓梯扶手.md</x:v>
      </x:c>
    </x:row>
    <x:row r="356">
      <x:c r="A356" s="69" t="str">
        <x:v>ITEM00352</x:v>
      </x:c>
      <x:c r="B356" s="69" t="str">
        <x:v>SRC023</x:v>
      </x:c>
      <x:c r="C356" s="69" t="str">
        <x:v>2023-2024</x:v>
      </x:c>
      <x:c r="D356" s="69" t="str">
        <x:v>total_or_tax</x:v>
      </x:c>
      <x:c r="E356" s="69" t="str">
        <x:v>MD2023_2024_022-T01R006</x:v>
      </x:c>
      <x:c r="F356" s="71" t="str">
        <x:v>77米 小計</x:v>
      </x:c>
      <x:c r="G356" s="71" t="str">
        <x:v>文件未載明</x:v>
      </x:c>
      <x:c r="H356" s="71" t="str">
        <x:v>文件未載明</x:v>
      </x:c>
      <x:c r="I356" s="72"/>
      <x:c r="J356" s="69" t="str">
        <x:v>77米 小計</x:v>
      </x:c>
      <x:c r="K356" s="70"/>
      <x:c r="L356" s="69" t="str">
        <x:v>77米 小計</x:v>
      </x:c>
      <x:c r="M356" s="70" t="n">
        <x:v>198500</x:v>
      </x:c>
      <x:c r="N356" s="69" t="str">
        <x:v>$198,500</x:v>
      </x:c>
      <x:c r="O356" s="71" t="str">
        <x:v>來源表頭對應</x:v>
      </x:c>
      <x:c r="P356" s="71" t="str">
        <x:v>HTML表格1／列6</x:v>
      </x:c>
      <x:c r="Q356" s="71" t="str">
        <x:v>77米 小計 | 77米 小計 | 77米 小計 | 77米 小計 | 77米 小計 | 77米 小計 | 77米 小計 | 77米 小計 | 77米 小計 | 77米 小計 | $198,500 |</x:v>
      </x:c>
      <x:c r="R356" s="71" t="str">
        <x:v>各廠商合約&amp; 報價\MD檔案\20240819 順靖 樓梯扶手.md</x:v>
      </x:c>
    </x:row>
    <x:row r="357">
      <x:c r="A357" s="69" t="str">
        <x:v>ITEM00353</x:v>
      </x:c>
      <x:c r="B357" s="69" t="str">
        <x:v>SRC024</x:v>
      </x:c>
      <x:c r="C357" s="69" t="str">
        <x:v>2023-2024</x:v>
      </x:c>
      <x:c r="D357" s="69" t="str">
        <x:v>line_item</x:v>
      </x:c>
      <x:c r="E357" s="69" t="str">
        <x:v>MD2023_2024_023-T01R002</x:v>
      </x:c>
      <x:c r="F357" s="71" t="str">
        <x:v>日本第一エスケー化研 SKK單彩系波浪紋理塗料工程-噴塗 or 滚塗工法-半消光-淺灰色</x:v>
      </x:c>
      <x:c r="G357" s="71" t="str">
        <x:v>日本第一エスケー化研 SKK單彩系波浪紋理塗料工程-噴塗 or 滚塗工法-半消光-淺灰色</x:v>
      </x:c>
      <x:c r="H357" s="71" t="str">
        <x:v>平方米</x:v>
      </x:c>
      <x:c r="I357" s="72" t="n">
        <x:v>928.47</x:v>
      </x:c>
      <x:c r="J357" s="69" t="str">
        <x:v>928.47</x:v>
      </x:c>
      <x:c r="K357" s="70" t="n">
        <x:v>920</x:v>
      </x:c>
      <x:c r="L357" s="69" t="str">
        <x:v>920</x:v>
      </x:c>
      <x:c r="M357" s="70" t="n">
        <x:v>854192</x:v>
      </x:c>
      <x:c r="N357" s="69" t="str">
        <x:v>854,192</x:v>
      </x:c>
      <x:c r="O357" s="71" t="str">
        <x:v>來源表頭對應</x:v>
      </x:c>
      <x:c r="P357" s="71" t="str">
        <x:v>HTML表格1／列2</x:v>
      </x:c>
      <x:c r="Q357" s="71" t="str">
        <x:v>1. | 日本第一エスケー化研 SKK單彩系波浪紋理塗料工程-噴塗 or 滚塗工法-半消光-淺灰色 | 平方米 | 928.47 | 920 | 854,192 | 膠狀</x:v>
      </x:c>
      <x:c r="R357" s="71" t="str">
        <x:v>各廠商合約&amp; 報價\MD檔案\20240820 富日東 塗料.md</x:v>
      </x:c>
    </x:row>
    <x:row r="358">
      <x:c r="A358" s="69" t="str">
        <x:v>ITEM00354</x:v>
      </x:c>
      <x:c r="B358" s="69" t="str">
        <x:v>SRC024</x:v>
      </x:c>
      <x:c r="C358" s="69" t="str">
        <x:v>2023-2024</x:v>
      </x:c>
      <x:c r="D358" s="69" t="str">
        <x:v>line_item</x:v>
      </x:c>
      <x:c r="E358" s="69" t="str">
        <x:v>MD2023_2024_023-T01R003</x:v>
      </x:c>
      <x:c r="F358" s="71" t="str">
        <x:v>塗裝面溝縫施作</x:v>
      </x:c>
      <x:c r="G358" s="71" t="str">
        <x:v>塗裝面溝縫施作</x:v>
      </x:c>
      <x:c r="H358" s="71" t="str">
        <x:v>本報價單不含溝縫施作,俟圖面確認後精算,費用採實作實報。溝縫每米新台幣100元。</x:v>
      </x:c>
      <x:c r="I358" s="72"/>
      <x:c r="J358" s="69" t="str">
        <x:v>本報價單不含溝縫施作,俟圖面確認後精算,費用採實作實報。溝縫每米新台幣100元。</x:v>
      </x:c>
      <x:c r="K358" s="70"/>
      <x:c r="L358" s="69" t="str">
        <x:v>本報價單不含溝縫施作,俟圖面確認後精算,費用採實作實報。溝縫每米新台幣100元。</x:v>
      </x:c>
      <x:c r="M358" s="70"/>
      <x:c r="N358" s="69" t="str">
        <x:v>本報價單不含溝縫施作,俟圖面確認後精算,費用採實作實報。溝縫每米新台幣100元。</x:v>
      </x:c>
      <x:c r="O358" s="71" t="str">
        <x:v>來源表頭對應</x:v>
      </x:c>
      <x:c r="P358" s="71" t="str">
        <x:v>HTML表格1／列3</x:v>
      </x:c>
      <x:c r="Q358" s="71" t="str">
        <x:v>2. | 塗裝面溝縫施作 | 本報價單不含溝縫施作,俟圖面確認後精算,費用採實作實報。溝縫每米新台幣100元。 | 本報價單不含溝縫施作,俟圖面確認後精算,費用採實作實報。溝縫每米新台幣100元。 | 本報價單不含溝縫施作,俟圖面確認後精算,費用採實作實報。溝縫每米新台幣100元。 | 本報價單不含溝縫施作,俟圖面確認後精算,費用採實作實報。溝縫每米新台幣100元。 | 備用單價</x:v>
      </x:c>
      <x:c r="R358" s="71" t="str">
        <x:v>各廠商合約&amp; 報價\MD檔案\20240820 富日東 塗料.md</x:v>
      </x:c>
    </x:row>
    <x:row r="359">
      <x:c r="A359" s="69" t="str">
        <x:v>ITEM00355</x:v>
      </x:c>
      <x:c r="B359" s="69" t="str">
        <x:v>SRC024</x:v>
      </x:c>
      <x:c r="C359" s="69" t="str">
        <x:v>2023-2024</x:v>
      </x:c>
      <x:c r="D359" s="69" t="str">
        <x:v>other_table_row</x:v>
      </x:c>
      <x:c r="E359" s="69" t="str">
        <x:v>MD2023_2024_023-T01R004</x:v>
      </x:c>
      <x:c r="F359" s="71" t="str">
        <x:v>(以下空白)</x:v>
      </x:c>
      <x:c r="G359" s="71" t="str">
        <x:v>(以下空白)</x:v>
      </x:c>
      <x:c r="H359" s="71" t="str"/>
      <x:c r="I359" s="72"/>
      <x:c r="J359" s="69" t="str"/>
      <x:c r="K359" s="70"/>
      <x:c r="L359" s="69" t="str"/>
      <x:c r="M359" s="70"/>
      <x:c r="N359" s="69" t="str"/>
      <x:c r="O359" s="71" t="str">
        <x:v>來源表頭對應</x:v>
      </x:c>
      <x:c r="P359" s="71" t="str">
        <x:v>HTML表格1／列4</x:v>
      </x:c>
      <x:c r="Q359" s="71" t="str">
        <x:v>| (以下空白) | | | | |</x:v>
      </x:c>
      <x:c r="R359" s="71" t="str">
        <x:v>各廠商合約&amp; 報價\MD檔案\20240820 富日東 塗料.md</x:v>
      </x:c>
    </x:row>
    <x:row r="360">
      <x:c r="A360" s="69" t="str">
        <x:v>ITEM00356</x:v>
      </x:c>
      <x:c r="B360" s="69" t="str">
        <x:v>SRC024</x:v>
      </x:c>
      <x:c r="C360" s="69" t="str">
        <x:v>2023-2024</x:v>
      </x:c>
      <x:c r="D360" s="69" t="str">
        <x:v>total_or_tax</x:v>
      </x:c>
      <x:c r="E360" s="69" t="str">
        <x:v>MD2023_2024_023-T01R005</x:v>
      </x:c>
      <x:c r="F360" s="71" t="str">
        <x:v>總計:新台幣 元</x:v>
      </x:c>
      <x:c r="G360" s="71" t="str">
        <x:v>總計:新台幣 元</x:v>
      </x:c>
      <x:c r="H360" s="71" t="str">
        <x:v>總計:新台幣 元</x:v>
      </x:c>
      <x:c r="I360" s="72"/>
      <x:c r="J360" s="69" t="str">
        <x:v>總計:新台幣 元</x:v>
      </x:c>
      <x:c r="K360" s="70"/>
      <x:c r="L360" s="69" t="str">
        <x:v>總計:新台幣 元</x:v>
      </x:c>
      <x:c r="M360" s="70"/>
      <x:c r="N360" s="69" t="str">
        <x:v>總計:新台幣 元</x:v>
      </x:c>
      <x:c r="O360" s="71" t="str">
        <x:v>來源表頭對應</x:v>
      </x:c>
      <x:c r="P360" s="71" t="str">
        <x:v>HTML表格1／列5</x:v>
      </x:c>
      <x:c r="Q360" s="71" t="str">
        <x:v>總計:新台幣 元 | 總計:新台幣 元 | 總計:新台幣 元 | 總計:新台幣 元 | 總計:新台幣 元 | 總計:新台幣 元 | 總計:新台幣 元</x:v>
      </x:c>
      <x:c r="R360" s="71" t="str">
        <x:v>各廠商合約&amp; 報價\MD檔案\20240820 富日東 塗料.md</x:v>
      </x:c>
    </x:row>
    <x:row r="361">
      <x:c r="A361" s="69" t="str">
        <x:v>ITEM00357</x:v>
      </x:c>
      <x:c r="B361" s="69" t="str">
        <x:v>SRC025</x:v>
      </x:c>
      <x:c r="C361" s="69" t="str">
        <x:v>2023-2024</x:v>
      </x:c>
      <x:c r="D361" s="69" t="str">
        <x:v>line_item</x:v>
      </x:c>
      <x:c r="E361" s="69" t="str">
        <x:v>MD2023_2024_024-T01R003</x:v>
      </x:c>
      <x:c r="F361" s="71" t="str">
        <x:v>藍天EGU系列-L型</x:v>
      </x:c>
      <x:c r="G361" s="71" t="str">
        <x:v>347.5</x:v>
      </x:c>
      <x:c r="H361" s="71" t="str">
        <x:v>座</x:v>
      </x:c>
      <x:c r="I361" s="72" t="n">
        <x:v>5</x:v>
      </x:c>
      <x:c r="J361" s="69" t="str">
        <x:v>5</x:v>
      </x:c>
      <x:c r="K361" s="70" t="n">
        <x:v>24537</x:v>
      </x:c>
      <x:c r="L361" s="69" t="str">
        <x:v>$24,537</x:v>
      </x:c>
      <x:c r="M361" s="70" t="n">
        <x:v>122685</x:v>
      </x:c>
      <x:c r="N361" s="69" t="str">
        <x:v>$122,685</x:v>
      </x:c>
      <x:c r="O361" s="71" t="str">
        <x:v>來源表頭對應</x:v>
      </x:c>
      <x:c r="P361" s="71" t="str">
        <x:v>HTML表格1／列3</x:v>
      </x:c>
      <x:c r="Q361" s="71" t="str">
        <x:v>1 | A | 2F~6F | 藍天EGU系列-L型 | 347.5 | 85 | 90 | 黑砂 | 座 | 5 | $24,537 | $122,685 |</x:v>
      </x:c>
      <x:c r="R361" s="71" t="str">
        <x:v>各廠商合約&amp; 報價\MD檔案\20240910 順靖 玻璃欄杆(透明).md</x:v>
      </x:c>
    </x:row>
    <x:row r="362">
      <x:c r="A362" s="69" t="str">
        <x:v>ITEM00358</x:v>
      </x:c>
      <x:c r="B362" s="69" t="str">
        <x:v>SRC025</x:v>
      </x:c>
      <x:c r="C362" s="69" t="str">
        <x:v>2023-2024</x:v>
      </x:c>
      <x:c r="D362" s="69" t="str">
        <x:v>line_item</x:v>
      </x:c>
      <x:c r="E362" s="69" t="str">
        <x:v>MD2023_2024_024-T01R004</x:v>
      </x:c>
      <x:c r="F362" s="71" t="str">
        <x:v>藍天EGU系列-L型</x:v>
      </x:c>
      <x:c r="G362" s="71" t="str">
        <x:v>406</x:v>
      </x:c>
      <x:c r="H362" s="71" t="str">
        <x:v>座</x:v>
      </x:c>
      <x:c r="I362" s="72" t="n">
        <x:v>5</x:v>
      </x:c>
      <x:c r="J362" s="69" t="str">
        <x:v>5</x:v>
      </x:c>
      <x:c r="K362" s="70" t="n">
        <x:v>26454</x:v>
      </x:c>
      <x:c r="L362" s="69" t="str">
        <x:v>$26,454</x:v>
      </x:c>
      <x:c r="M362" s="70" t="n">
        <x:v>132270</x:v>
      </x:c>
      <x:c r="N362" s="69" t="str">
        <x:v>$132,270</x:v>
      </x:c>
      <x:c r="O362" s="71" t="str">
        <x:v>來源表頭對應</x:v>
      </x:c>
      <x:c r="P362" s="71" t="str">
        <x:v>HTML表格1／列4</x:v>
      </x:c>
      <x:c r="Q362" s="71" t="str">
        <x:v>2 | A | 2F~6F | 藍天EGU系列-L型 | 406 | 85 | 90 | 黑砂 | 座 | 5 | $26,454 | $132,270 |</x:v>
      </x:c>
      <x:c r="R362" s="71" t="str">
        <x:v>各廠商合約&amp; 報價\MD檔案\20240910 順靖 玻璃欄杆(透明).md</x:v>
      </x:c>
    </x:row>
    <x:row r="363">
      <x:c r="A363" s="69" t="str">
        <x:v>ITEM00359</x:v>
      </x:c>
      <x:c r="B363" s="69" t="str">
        <x:v>SRC025</x:v>
      </x:c>
      <x:c r="C363" s="69" t="str">
        <x:v>2023-2024</x:v>
      </x:c>
      <x:c r="D363" s="69" t="str">
        <x:v>line_item</x:v>
      </x:c>
      <x:c r="E363" s="69" t="str">
        <x:v>MD2023_2024_024-T01R005</x:v>
      </x:c>
      <x:c r="F363" s="71" t="str">
        <x:v>藍天EGU系列-一字型</x:v>
      </x:c>
      <x:c r="G363" s="71" t="str">
        <x:v>336</x:v>
      </x:c>
      <x:c r="H363" s="71" t="str">
        <x:v>座</x:v>
      </x:c>
      <x:c r="I363" s="72" t="n">
        <x:v>5</x:v>
      </x:c>
      <x:c r="J363" s="69" t="str">
        <x:v>5</x:v>
      </x:c>
      <x:c r="K363" s="70" t="n">
        <x:v>19177</x:v>
      </x:c>
      <x:c r="L363" s="69" t="str">
        <x:v>$19,177</x:v>
      </x:c>
      <x:c r="M363" s="70" t="n">
        <x:v>95885</x:v>
      </x:c>
      <x:c r="N363" s="69" t="str">
        <x:v>$95,885</x:v>
      </x:c>
      <x:c r="O363" s="71" t="str">
        <x:v>來源表頭對應</x:v>
      </x:c>
      <x:c r="P363" s="71" t="str">
        <x:v>HTML表格1／列5</x:v>
      </x:c>
      <x:c r="Q363" s="71" t="str">
        <x:v>3 | A | 2F~6F | 藍天EGU系列-一字型 | 336 | 85 | 90 | 黑砂 | 座 | 5 | $19,177 | $95,885 |</x:v>
      </x:c>
      <x:c r="R363" s="71" t="str">
        <x:v>各廠商合約&amp; 報價\MD檔案\20240910 順靖 玻璃欄杆(透明).md</x:v>
      </x:c>
    </x:row>
    <x:row r="364">
      <x:c r="A364" s="69" t="str">
        <x:v>ITEM00360</x:v>
      </x:c>
      <x:c r="B364" s="69" t="str">
        <x:v>SRC025</x:v>
      </x:c>
      <x:c r="C364" s="69" t="str">
        <x:v>2023-2024</x:v>
      </x:c>
      <x:c r="D364" s="69" t="str">
        <x:v>line_item</x:v>
      </x:c>
      <x:c r="E364" s="69" t="str">
        <x:v>MD2023_2024_024-T01R006</x:v>
      </x:c>
      <x:c r="F364" s="71" t="str">
        <x:v>藍天EGU系列-L型</x:v>
      </x:c>
      <x:c r="G364" s="71" t="str">
        <x:v>319</x:v>
      </x:c>
      <x:c r="H364" s="71" t="str">
        <x:v>座</x:v>
      </x:c>
      <x:c r="I364" s="72" t="n">
        <x:v>5</x:v>
      </x:c>
      <x:c r="J364" s="69" t="str">
        <x:v>5</x:v>
      </x:c>
      <x:c r="K364" s="70" t="n">
        <x:v>21605</x:v>
      </x:c>
      <x:c r="L364" s="69" t="str">
        <x:v>$21,605</x:v>
      </x:c>
      <x:c r="M364" s="70" t="n">
        <x:v>108025</x:v>
      </x:c>
      <x:c r="N364" s="69" t="str">
        <x:v>$108,025</x:v>
      </x:c>
      <x:c r="O364" s="71" t="str">
        <x:v>來源表頭對應</x:v>
      </x:c>
      <x:c r="P364" s="71" t="str">
        <x:v>HTML表格1／列6</x:v>
      </x:c>
      <x:c r="Q364" s="71" t="str">
        <x:v>4 | B | 2F~6F | 藍天EGU系列-L型 | 319 | 85 | 90 | 黑砂 | 座 | 5 | $21,605 | $108,025 |</x:v>
      </x:c>
      <x:c r="R364" s="71" t="str">
        <x:v>各廠商合約&amp; 報價\MD檔案\20240910 順靖 玻璃欄杆(透明).md</x:v>
      </x:c>
    </x:row>
    <x:row r="365">
      <x:c r="A365" s="69" t="str">
        <x:v>ITEM00361</x:v>
      </x:c>
      <x:c r="B365" s="69" t="str">
        <x:v>SRC025</x:v>
      </x:c>
      <x:c r="C365" s="69" t="str">
        <x:v>2023-2024</x:v>
      </x:c>
      <x:c r="D365" s="69" t="str">
        <x:v>line_item</x:v>
      </x:c>
      <x:c r="E365" s="69" t="str">
        <x:v>MD2023_2024_024-T01R007</x:v>
      </x:c>
      <x:c r="F365" s="71" t="str">
        <x:v>藍天EGU系列-L型</x:v>
      </x:c>
      <x:c r="G365" s="71" t="str">
        <x:v>382.5</x:v>
      </x:c>
      <x:c r="H365" s="71" t="str">
        <x:v>座</x:v>
      </x:c>
      <x:c r="I365" s="72" t="n">
        <x:v>5</x:v>
      </x:c>
      <x:c r="J365" s="69" t="str">
        <x:v>5</x:v>
      </x:c>
      <x:c r="K365" s="70" t="n">
        <x:v>23564</x:v>
      </x:c>
      <x:c r="L365" s="69" t="str">
        <x:v>$23,564</x:v>
      </x:c>
      <x:c r="M365" s="70" t="n">
        <x:v>117820</x:v>
      </x:c>
      <x:c r="N365" s="69" t="str">
        <x:v>$117,820</x:v>
      </x:c>
      <x:c r="O365" s="71" t="str">
        <x:v>來源表頭對應</x:v>
      </x:c>
      <x:c r="P365" s="71" t="str">
        <x:v>HTML表格1／列7</x:v>
      </x:c>
      <x:c r="Q365" s="71" t="str">
        <x:v>5 | B | 2F~6F | 藍天EGU系列-L型 | 382.5 | 85 | 90 | 黑砂 | 座 | 5 | $23,564 | $117,820 |</x:v>
      </x:c>
      <x:c r="R365" s="71" t="str">
        <x:v>各廠商合約&amp; 報價\MD檔案\20240910 順靖 玻璃欄杆(透明).md</x:v>
      </x:c>
    </x:row>
    <x:row r="366">
      <x:c r="A366" s="69" t="str">
        <x:v>ITEM00362</x:v>
      </x:c>
      <x:c r="B366" s="69" t="str">
        <x:v>SRC025</x:v>
      </x:c>
      <x:c r="C366" s="69" t="str">
        <x:v>2023-2024</x:v>
      </x:c>
      <x:c r="D366" s="69" t="str">
        <x:v>line_item</x:v>
      </x:c>
      <x:c r="E366" s="69" t="str">
        <x:v>MD2023_2024_024-T01R008</x:v>
      </x:c>
      <x:c r="F366" s="71" t="str">
        <x:v>藍天EGU系列-L型</x:v>
      </x:c>
      <x:c r="G366" s="71" t="str">
        <x:v>347.5</x:v>
      </x:c>
      <x:c r="H366" s="71" t="str">
        <x:v>座</x:v>
      </x:c>
      <x:c r="I366" s="72" t="n">
        <x:v>1</x:v>
      </x:c>
      <x:c r="J366" s="69" t="str">
        <x:v>1</x:v>
      </x:c>
      <x:c r="K366" s="70" t="n">
        <x:v>24537</x:v>
      </x:c>
      <x:c r="L366" s="69" t="str">
        <x:v>$24,537</x:v>
      </x:c>
      <x:c r="M366" s="70" t="n">
        <x:v>24537</x:v>
      </x:c>
      <x:c r="N366" s="69" t="str">
        <x:v>$24,537</x:v>
      </x:c>
      <x:c r="O366" s="71" t="str">
        <x:v>來源表頭對應</x:v>
      </x:c>
      <x:c r="P366" s="71" t="str">
        <x:v>HTML表格1／列8</x:v>
      </x:c>
      <x:c r="Q366" s="71" t="str">
        <x:v>6 | A | 7F | 藍天EGU系列-L型 | 347.5 | 85 | 90 | 黑砂 | 座 | 1 | $24,537 | $24,537 |</x:v>
      </x:c>
      <x:c r="R366" s="71" t="str">
        <x:v>各廠商合約&amp; 報價\MD檔案\20240910 順靖 玻璃欄杆(透明).md</x:v>
      </x:c>
    </x:row>
    <x:row r="367">
      <x:c r="A367" s="69" t="str">
        <x:v>ITEM00363</x:v>
      </x:c>
      <x:c r="B367" s="69" t="str">
        <x:v>SRC025</x:v>
      </x:c>
      <x:c r="C367" s="69" t="str">
        <x:v>2023-2024</x:v>
      </x:c>
      <x:c r="D367" s="69" t="str">
        <x:v>line_item</x:v>
      </x:c>
      <x:c r="E367" s="69" t="str">
        <x:v>MD2023_2024_024-T01R009</x:v>
      </x:c>
      <x:c r="F367" s="71" t="str">
        <x:v>藍天EGU系列-L型</x:v>
      </x:c>
      <x:c r="G367" s="71" t="str">
        <x:v>406</x:v>
      </x:c>
      <x:c r="H367" s="71" t="str">
        <x:v>座</x:v>
      </x:c>
      <x:c r="I367" s="72" t="n">
        <x:v>1</x:v>
      </x:c>
      <x:c r="J367" s="69" t="str">
        <x:v>1</x:v>
      </x:c>
      <x:c r="K367" s="70" t="n">
        <x:v>26454</x:v>
      </x:c>
      <x:c r="L367" s="69" t="str">
        <x:v>$26,454</x:v>
      </x:c>
      <x:c r="M367" s="70" t="n">
        <x:v>26454</x:v>
      </x:c>
      <x:c r="N367" s="69" t="str">
        <x:v>$26,454</x:v>
      </x:c>
      <x:c r="O367" s="71" t="str">
        <x:v>來源表頭對應</x:v>
      </x:c>
      <x:c r="P367" s="71" t="str">
        <x:v>HTML表格1／列9</x:v>
      </x:c>
      <x:c r="Q367" s="71" t="str">
        <x:v>7 | A | 7F | 藍天EGU系列-L型 | 406 | 85 | 90 | 黑砂 | 座 | 1 | $26,454 | $26,454 |</x:v>
      </x:c>
      <x:c r="R367" s="71" t="str">
        <x:v>各廠商合約&amp; 報價\MD檔案\20240910 順靖 玻璃欄杆(透明).md</x:v>
      </x:c>
    </x:row>
    <x:row r="368">
      <x:c r="A368" s="69" t="str">
        <x:v>ITEM00364</x:v>
      </x:c>
      <x:c r="B368" s="69" t="str">
        <x:v>SRC025</x:v>
      </x:c>
      <x:c r="C368" s="69" t="str">
        <x:v>2023-2024</x:v>
      </x:c>
      <x:c r="D368" s="69" t="str">
        <x:v>line_item</x:v>
      </x:c>
      <x:c r="E368" s="69" t="str">
        <x:v>MD2023_2024_024-T01R010</x:v>
      </x:c>
      <x:c r="F368" s="71" t="str">
        <x:v>藍天EGU系列-一字型</x:v>
      </x:c>
      <x:c r="G368" s="71" t="str">
        <x:v>336</x:v>
      </x:c>
      <x:c r="H368" s="71" t="str">
        <x:v>座</x:v>
      </x:c>
      <x:c r="I368" s="72" t="n">
        <x:v>1</x:v>
      </x:c>
      <x:c r="J368" s="69" t="str">
        <x:v>1</x:v>
      </x:c>
      <x:c r="K368" s="70" t="n">
        <x:v>19177</x:v>
      </x:c>
      <x:c r="L368" s="69" t="str">
        <x:v>$19,177</x:v>
      </x:c>
      <x:c r="M368" s="70" t="n">
        <x:v>19177</x:v>
      </x:c>
      <x:c r="N368" s="69" t="str">
        <x:v>$19,177</x:v>
      </x:c>
      <x:c r="O368" s="71" t="str">
        <x:v>來源表頭對應</x:v>
      </x:c>
      <x:c r="P368" s="71" t="str">
        <x:v>HTML表格1／列10</x:v>
      </x:c>
      <x:c r="Q368" s="71" t="str">
        <x:v>8 | A | 7F | 藍天EGU系列-一字型 | 336 | 85 | 90 | 黑砂 | 座 | 1 | $19,177 | $19,177 |</x:v>
      </x:c>
      <x:c r="R368" s="71" t="str">
        <x:v>各廠商合約&amp; 報價\MD檔案\20240910 順靖 玻璃欄杆(透明).md</x:v>
      </x:c>
    </x:row>
    <x:row r="369">
      <x:c r="A369" s="69" t="str">
        <x:v>ITEM00365</x:v>
      </x:c>
      <x:c r="B369" s="69" t="str">
        <x:v>SRC025</x:v>
      </x:c>
      <x:c r="C369" s="69" t="str">
        <x:v>2023-2024</x:v>
      </x:c>
      <x:c r="D369" s="69" t="str">
        <x:v>line_item</x:v>
      </x:c>
      <x:c r="E369" s="69" t="str">
        <x:v>MD2023_2024_024-T01R011</x:v>
      </x:c>
      <x:c r="F369" s="71" t="str">
        <x:v>藍天EGU系列-L型</x:v>
      </x:c>
      <x:c r="G369" s="71" t="str">
        <x:v>319</x:v>
      </x:c>
      <x:c r="H369" s="71" t="str">
        <x:v>座</x:v>
      </x:c>
      <x:c r="I369" s="72" t="n">
        <x:v>1</x:v>
      </x:c>
      <x:c r="J369" s="69" t="str">
        <x:v>1</x:v>
      </x:c>
      <x:c r="K369" s="70" t="n">
        <x:v>24623</x:v>
      </x:c>
      <x:c r="L369" s="69" t="str">
        <x:v>$24,623</x:v>
      </x:c>
      <x:c r="M369" s="70" t="n">
        <x:v>24623</x:v>
      </x:c>
      <x:c r="N369" s="69" t="str">
        <x:v>$24,623</x:v>
      </x:c>
      <x:c r="O369" s="71" t="str">
        <x:v>來源表頭對應</x:v>
      </x:c>
      <x:c r="P369" s="71" t="str">
        <x:v>HTML表格1／列11</x:v>
      </x:c>
      <x:c r="Q369" s="71" t="str">
        <x:v>9 | 露台 | 7F | 藍天EGU系列-L型 | 319 | 110 | 110 | 黑砂 | 座 | 1 | $24,623 | $24,623 |</x:v>
      </x:c>
      <x:c r="R369" s="71" t="str">
        <x:v>各廠商合約&amp; 報價\MD檔案\20240910 順靖 玻璃欄杆(透明).md</x:v>
      </x:c>
    </x:row>
    <x:row r="370">
      <x:c r="A370" s="69" t="str">
        <x:v>ITEM00366</x:v>
      </x:c>
      <x:c r="B370" s="69" t="str">
        <x:v>SRC025</x:v>
      </x:c>
      <x:c r="C370" s="69" t="str">
        <x:v>2023-2024</x:v>
      </x:c>
      <x:c r="D370" s="69" t="str">
        <x:v>line_item</x:v>
      </x:c>
      <x:c r="E370" s="69" t="str">
        <x:v>MD2023_2024_024-T01R012</x:v>
      </x:c>
      <x:c r="F370" s="71" t="str">
        <x:v>藍天EGU系列-L型</x:v>
      </x:c>
      <x:c r="G370" s="71" t="str">
        <x:v>391.5</x:v>
      </x:c>
      <x:c r="H370" s="71" t="str">
        <x:v>座</x:v>
      </x:c>
      <x:c r="I370" s="72" t="n">
        <x:v>1</x:v>
      </x:c>
      <x:c r="J370" s="69" t="str">
        <x:v>1</x:v>
      </x:c>
      <x:c r="K370" s="70" t="n">
        <x:v>27153</x:v>
      </x:c>
      <x:c r="L370" s="69" t="str">
        <x:v>$27,153</x:v>
      </x:c>
      <x:c r="M370" s="70" t="n">
        <x:v>27153</x:v>
      </x:c>
      <x:c r="N370" s="69" t="str">
        <x:v>$27,153</x:v>
      </x:c>
      <x:c r="O370" s="71" t="str">
        <x:v>來源表頭對應</x:v>
      </x:c>
      <x:c r="P370" s="71" t="str">
        <x:v>HTML表格1／列12</x:v>
      </x:c>
      <x:c r="Q370" s="71" t="str">
        <x:v>10 | 露台 | 7F | 藍天EGU系列-L型 | 391.5 | 110 | 110 | 黑砂 | 座 | 1 | $27,153 | $27,153 |</x:v>
      </x:c>
      <x:c r="R370" s="71" t="str">
        <x:v>各廠商合約&amp; 報價\MD檔案\20240910 順靖 玻璃欄杆(透明).md</x:v>
      </x:c>
    </x:row>
    <x:row r="371">
      <x:c r="A371" s="69" t="str">
        <x:v>ITEM00367</x:v>
      </x:c>
      <x:c r="B371" s="69" t="str">
        <x:v>SRC025</x:v>
      </x:c>
      <x:c r="C371" s="69" t="str">
        <x:v>2023-2024</x:v>
      </x:c>
      <x:c r="D371" s="69" t="str">
        <x:v>line_item</x:v>
      </x:c>
      <x:c r="E371" s="69" t="str">
        <x:v>MD2023_2024_024-T01R013</x:v>
      </x:c>
      <x:c r="F371" s="71" t="str">
        <x:v>藍天EGU系列-L型</x:v>
      </x:c>
      <x:c r="G371" s="71" t="str">
        <x:v>347.5</x:v>
      </x:c>
      <x:c r="H371" s="71" t="str">
        <x:v>座</x:v>
      </x:c>
      <x:c r="I371" s="72" t="n">
        <x:v>1</x:v>
      </x:c>
      <x:c r="J371" s="69" t="str">
        <x:v>1</x:v>
      </x:c>
      <x:c r="K371" s="70" t="n">
        <x:v>27983</x:v>
      </x:c>
      <x:c r="L371" s="69" t="str">
        <x:v>$27,983</x:v>
      </x:c>
      <x:c r="M371" s="70" t="n">
        <x:v>27983</x:v>
      </x:c>
      <x:c r="N371" s="69" t="str">
        <x:v>$27,983</x:v>
      </x:c>
      <x:c r="O371" s="71" t="str">
        <x:v>來源表頭對應</x:v>
      </x:c>
      <x:c r="P371" s="71" t="str">
        <x:v>HTML表格1／列13</x:v>
      </x:c>
      <x:c r="Q371" s="71" t="str">
        <x:v>11 | / | R1F | 藍天EGU系列-L型 | 347.5 | 110 | 110 | 黑砂 | 座 | 1 | $27,983 | $27,983 |</x:v>
      </x:c>
      <x:c r="R371" s="71" t="str">
        <x:v>各廠商合約&amp; 報價\MD檔案\20240910 順靖 玻璃欄杆(透明).md</x:v>
      </x:c>
    </x:row>
    <x:row r="372">
      <x:c r="A372" s="69" t="str">
        <x:v>ITEM00368</x:v>
      </x:c>
      <x:c r="B372" s="69" t="str">
        <x:v>SRC025</x:v>
      </x:c>
      <x:c r="C372" s="69" t="str">
        <x:v>2023-2024</x:v>
      </x:c>
      <x:c r="D372" s="69" t="str">
        <x:v>line_item</x:v>
      </x:c>
      <x:c r="E372" s="69" t="str">
        <x:v>MD2023_2024_024-T01R014</x:v>
      </x:c>
      <x:c r="F372" s="71" t="str">
        <x:v>藍天EGU系列-L型</x:v>
      </x:c>
      <x:c r="G372" s="71" t="str">
        <x:v>406</x:v>
      </x:c>
      <x:c r="H372" s="71" t="str">
        <x:v>座</x:v>
      </x:c>
      <x:c r="I372" s="72" t="n">
        <x:v>1</x:v>
      </x:c>
      <x:c r="J372" s="69" t="str">
        <x:v>1</x:v>
      </x:c>
      <x:c r="K372" s="70" t="n">
        <x:v>30221</x:v>
      </x:c>
      <x:c r="L372" s="69" t="str">
        <x:v>$30,221</x:v>
      </x:c>
      <x:c r="M372" s="70" t="n">
        <x:v>30221</x:v>
      </x:c>
      <x:c r="N372" s="69" t="str">
        <x:v>$30,221</x:v>
      </x:c>
      <x:c r="O372" s="71" t="str">
        <x:v>來源表頭對應</x:v>
      </x:c>
      <x:c r="P372" s="71" t="str">
        <x:v>HTML表格1／列14</x:v>
      </x:c>
      <x:c r="Q372" s="71" t="str">
        <x:v>12 | / | R1F | 藍天EGU系列-L型 | 406 | 110 | 110 | 黑砂 | 座 | 1 | $30,221 | $30,221 |</x:v>
      </x:c>
      <x:c r="R372" s="71" t="str">
        <x:v>各廠商合約&amp; 報價\MD檔案\20240910 順靖 玻璃欄杆(透明).md</x:v>
      </x:c>
    </x:row>
    <x:row r="373">
      <x:c r="A373" s="69" t="str">
        <x:v>ITEM00369</x:v>
      </x:c>
      <x:c r="B373" s="69" t="str">
        <x:v>SRC025</x:v>
      </x:c>
      <x:c r="C373" s="69" t="str">
        <x:v>2023-2024</x:v>
      </x:c>
      <x:c r="D373" s="69" t="str">
        <x:v>line_item</x:v>
      </x:c>
      <x:c r="E373" s="69" t="str">
        <x:v>MD2023_2024_024-T01R015</x:v>
      </x:c>
      <x:c r="F373" s="71" t="str">
        <x:v>藍天EGU系列-一字型</x:v>
      </x:c>
      <x:c r="G373" s="71" t="str">
        <x:v>336</x:v>
      </x:c>
      <x:c r="H373" s="71" t="str">
        <x:v>座</x:v>
      </x:c>
      <x:c r="I373" s="72" t="n">
        <x:v>1</x:v>
      </x:c>
      <x:c r="J373" s="69" t="str">
        <x:v>1</x:v>
      </x:c>
      <x:c r="K373" s="70" t="n">
        <x:v>21964</x:v>
      </x:c>
      <x:c r="L373" s="69" t="str">
        <x:v>$21,964</x:v>
      </x:c>
      <x:c r="M373" s="70" t="n">
        <x:v>21964</x:v>
      </x:c>
      <x:c r="N373" s="69" t="str">
        <x:v>$21,964</x:v>
      </x:c>
      <x:c r="O373" s="71" t="str">
        <x:v>來源表頭對應</x:v>
      </x:c>
      <x:c r="P373" s="71" t="str">
        <x:v>HTML表格1／列15</x:v>
      </x:c>
      <x:c r="Q373" s="71" t="str">
        <x:v>13 | / | R1F | 藍天EGU系列-一字型 | 336 | 110 | 110 | 黑砂 | 座 | 1 | $21,964 | $21,964 |</x:v>
      </x:c>
      <x:c r="R373" s="71" t="str">
        <x:v>各廠商合約&amp; 報價\MD檔案\20240910 順靖 玻璃欄杆(透明).md</x:v>
      </x:c>
    </x:row>
    <x:row r="374">
      <x:c r="A374" s="69" t="str">
        <x:v>ITEM00370</x:v>
      </x:c>
      <x:c r="B374" s="69" t="str">
        <x:v>SRC025</x:v>
      </x:c>
      <x:c r="C374" s="69" t="str">
        <x:v>2023-2024</x:v>
      </x:c>
      <x:c r="D374" s="69" t="str">
        <x:v>total_or_tax</x:v>
      </x:c>
      <x:c r="E374" s="69" t="str">
        <x:v>MD2023_2024_024-T01R016</x:v>
      </x:c>
      <x:c r="F374" s="71" t="str">
        <x:v>總長度 11844.5 cm 33座 小計</x:v>
      </x:c>
      <x:c r="G374" s="71" t="str">
        <x:v>總長度 11844.5 cm 33座 小計</x:v>
      </x:c>
      <x:c r="H374" s="71" t="str">
        <x:v>總長度 11844.5 cm 33座 小計</x:v>
      </x:c>
      <x:c r="I374" s="72"/>
      <x:c r="J374" s="69" t="str">
        <x:v>總長度 11844.5 cm 33座 小計</x:v>
      </x:c>
      <x:c r="K374" s="70"/>
      <x:c r="L374" s="69" t="str">
        <x:v>總長度 11844.5 cm 33座 小計</x:v>
      </x:c>
      <x:c r="M374" s="70" t="n">
        <x:v>778797</x:v>
      </x:c>
      <x:c r="N374" s="69" t="str">
        <x:v>$778,797</x:v>
      </x:c>
      <x:c r="O374" s="71" t="str">
        <x:v>來源表頭對應</x:v>
      </x:c>
      <x:c r="P374" s="71" t="str">
        <x:v>HTML表格1／列16</x:v>
      </x:c>
      <x:c r="Q374" s="71" t="str">
        <x:v>總長度 11844.5 cm 33座 小計 | 總長度 11844.5 cm 33座 小計 | 總長度 11844.5 cm 33座 小計 | 總長度 11844.5 cm 33座 小計 | 總長度 11844.5 cm 33座 小計 | 總長度 11844.5 cm 33座 小計 | 總長度 11844.5 cm 33座 小計 | 總長度 11844.5 cm 33座 小計 | 總長度 11844.5 cm 33座 小計 | 總長度 11844.5 cm 33座 小計 | 總長度 11844.5 cm 33座 小計 | $778,797 |</x:v>
      </x:c>
      <x:c r="R374" s="71" t="str">
        <x:v>各廠商合約&amp; 報價\MD檔案\20240910 順靖 玻璃欄杆(透明).md</x:v>
      </x:c>
    </x:row>
    <x:row r="375">
      <x:c r="A375" s="69" t="str">
        <x:v>ITEM00371</x:v>
      </x:c>
      <x:c r="B375" s="69" t="str">
        <x:v>SRC026</x:v>
      </x:c>
      <x:c r="C375" s="69" t="str">
        <x:v>2023-2024</x:v>
      </x:c>
      <x:c r="D375" s="69" t="str">
        <x:v>line_item</x:v>
      </x:c>
      <x:c r="E375" s="69" t="str">
        <x:v>MD2023_2024_025-T01R003</x:v>
      </x:c>
      <x:c r="F375" s="71" t="str">
        <x:v>藍天EGU系列-L型</x:v>
      </x:c>
      <x:c r="G375" s="71" t="str">
        <x:v>347.5</x:v>
      </x:c>
      <x:c r="H375" s="71" t="str">
        <x:v>座</x:v>
      </x:c>
      <x:c r="I375" s="72" t="n">
        <x:v>5</x:v>
      </x:c>
      <x:c r="J375" s="69" t="str">
        <x:v>5</x:v>
      </x:c>
      <x:c r="K375" s="70" t="n">
        <x:v>27078</x:v>
      </x:c>
      <x:c r="L375" s="69" t="str">
        <x:v>$27,078</x:v>
      </x:c>
      <x:c r="M375" s="70" t="n">
        <x:v>135390</x:v>
      </x:c>
      <x:c r="N375" s="69" t="str">
        <x:v>$135,390</x:v>
      </x:c>
      <x:c r="O375" s="71" t="str">
        <x:v>來源表頭對應</x:v>
      </x:c>
      <x:c r="P375" s="71" t="str">
        <x:v>HTML表格1／列3</x:v>
      </x:c>
      <x:c r="Q375" s="71" t="str">
        <x:v>1 | A | 2F~6F | 藍天EGU系列-L型 | 347.5 | 85 | 100 | 黑砂+木紋握桿 | 座 | 5 | $27,078 | $135,390 |</x:v>
      </x:c>
      <x:c r="R375" s="71" t="str">
        <x:v>各廠商合約&amp; 報價\MD檔案\20241004 順靖 玻璃欄杆_透明_木紋握桿_ 議價.md</x:v>
      </x:c>
    </x:row>
    <x:row r="376">
      <x:c r="A376" s="69" t="str">
        <x:v>ITEM00372</x:v>
      </x:c>
      <x:c r="B376" s="69" t="str">
        <x:v>SRC026</x:v>
      </x:c>
      <x:c r="C376" s="69" t="str">
        <x:v>2023-2024</x:v>
      </x:c>
      <x:c r="D376" s="69" t="str">
        <x:v>line_item</x:v>
      </x:c>
      <x:c r="E376" s="69" t="str">
        <x:v>MD2023_2024_025-T01R004</x:v>
      </x:c>
      <x:c r="F376" s="71" t="str">
        <x:v>藍天EGU系列-L型</x:v>
      </x:c>
      <x:c r="G376" s="71" t="str">
        <x:v>212</x:v>
      </x:c>
      <x:c r="H376" s="71" t="str">
        <x:v>座</x:v>
      </x:c>
      <x:c r="I376" s="72" t="n">
        <x:v>5</x:v>
      </x:c>
      <x:c r="J376" s="69" t="str">
        <x:v>5</x:v>
      </x:c>
      <x:c r="K376" s="70" t="n">
        <x:v>14903</x:v>
      </x:c>
      <x:c r="L376" s="69" t="str">
        <x:v>$14,903</x:v>
      </x:c>
      <x:c r="M376" s="70" t="n">
        <x:v>74515</x:v>
      </x:c>
      <x:c r="N376" s="69" t="str">
        <x:v>$74,515</x:v>
      </x:c>
      <x:c r="O376" s="71" t="str">
        <x:v>來源表頭對應</x:v>
      </x:c>
      <x:c r="P376" s="71" t="str">
        <x:v>HTML表格1／列4</x:v>
      </x:c>
      <x:c r="Q376" s="71" t="str">
        <x:v>2 | A | 2F~6F | 藍天EGU系列-L型 | 212 | 85 | 100 | 黑砂+木紋握桿 | 座 | 5 | $14,903 | $74,515 |</x:v>
      </x:c>
      <x:c r="R376" s="71" t="str">
        <x:v>各廠商合約&amp; 報價\MD檔案\20241004 順靖 玻璃欄杆_透明_木紋握桿_ 議價.md</x:v>
      </x:c>
    </x:row>
    <x:row r="377">
      <x:c r="A377" s="69" t="str">
        <x:v>ITEM00373</x:v>
      </x:c>
      <x:c r="B377" s="69" t="str">
        <x:v>SRC026</x:v>
      </x:c>
      <x:c r="C377" s="69" t="str">
        <x:v>2023-2024</x:v>
      </x:c>
      <x:c r="D377" s="69" t="str">
        <x:v>line_item</x:v>
      </x:c>
      <x:c r="E377" s="69" t="str">
        <x:v>MD2023_2024_025-T01R005</x:v>
      </x:c>
      <x:c r="F377" s="71" t="str">
        <x:v>藍天EGU系列-一字型</x:v>
      </x:c>
      <x:c r="G377" s="71" t="str">
        <x:v>336</x:v>
      </x:c>
      <x:c r="H377" s="71" t="str">
        <x:v>座</x:v>
      </x:c>
      <x:c r="I377" s="72" t="n">
        <x:v>5</x:v>
      </x:c>
      <x:c r="J377" s="69" t="str">
        <x:v>5</x:v>
      </x:c>
      <x:c r="K377" s="70" t="n">
        <x:v>21622</x:v>
      </x:c>
      <x:c r="L377" s="69" t="str">
        <x:v>$21,622</x:v>
      </x:c>
      <x:c r="M377" s="70" t="n">
        <x:v>108110</x:v>
      </x:c>
      <x:c r="N377" s="69" t="str">
        <x:v>$108,110</x:v>
      </x:c>
      <x:c r="O377" s="71" t="str">
        <x:v>來源表頭對應</x:v>
      </x:c>
      <x:c r="P377" s="71" t="str">
        <x:v>HTML表格1／列5</x:v>
      </x:c>
      <x:c r="Q377" s="71" t="str">
        <x:v>3 | A | 2F~6F | 藍天EGU系列-一字型 | 336 | 85 | 100 | 黑砂+木紋握桿 | 座 | 5 | $21,622 | $108,110 |</x:v>
      </x:c>
      <x:c r="R377" s="71" t="str">
        <x:v>各廠商合約&amp; 報價\MD檔案\20241004 順靖 玻璃欄杆_透明_木紋握桿_ 議價.md</x:v>
      </x:c>
    </x:row>
    <x:row r="378">
      <x:c r="A378" s="69" t="str">
        <x:v>ITEM00374</x:v>
      </x:c>
      <x:c r="B378" s="69" t="str">
        <x:v>SRC026</x:v>
      </x:c>
      <x:c r="C378" s="69" t="str">
        <x:v>2023-2024</x:v>
      </x:c>
      <x:c r="D378" s="69" t="str">
        <x:v>line_item</x:v>
      </x:c>
      <x:c r="E378" s="69" t="str">
        <x:v>MD2023_2024_025-T01R006</x:v>
      </x:c>
      <x:c r="F378" s="71" t="str">
        <x:v>藍天EGU系列-L型</x:v>
      </x:c>
      <x:c r="G378" s="71" t="str">
        <x:v>319</x:v>
      </x:c>
      <x:c r="H378" s="71" t="str">
        <x:v>座</x:v>
      </x:c>
      <x:c r="I378" s="72" t="n">
        <x:v>5</x:v>
      </x:c>
      <x:c r="J378" s="69" t="str">
        <x:v>5</x:v>
      </x:c>
      <x:c r="K378" s="70" t="n">
        <x:v>23955</x:v>
      </x:c>
      <x:c r="L378" s="69" t="str">
        <x:v>$23,955</x:v>
      </x:c>
      <x:c r="M378" s="70" t="n">
        <x:v>119775</x:v>
      </x:c>
      <x:c r="N378" s="69" t="str">
        <x:v>$119,775</x:v>
      </x:c>
      <x:c r="O378" s="71" t="str">
        <x:v>來源表頭對應</x:v>
      </x:c>
      <x:c r="P378" s="71" t="str">
        <x:v>HTML表格1／列6</x:v>
      </x:c>
      <x:c r="Q378" s="71" t="str">
        <x:v>4 | B | 2F~6F | 藍天EGU系列-L型 | 319 | 85 | 100 | 黑砂+木紋握桿 | 座 | 5 | $23,955 | $119,775 |</x:v>
      </x:c>
      <x:c r="R378" s="71" t="str">
        <x:v>各廠商合約&amp; 報價\MD檔案\20241004 順靖 玻璃欄杆_透明_木紋握桿_ 議價.md</x:v>
      </x:c>
    </x:row>
    <x:row r="379">
      <x:c r="A379" s="69" t="str">
        <x:v>ITEM00375</x:v>
      </x:c>
      <x:c r="B379" s="69" t="str">
        <x:v>SRC026</x:v>
      </x:c>
      <x:c r="C379" s="69" t="str">
        <x:v>2023-2024</x:v>
      </x:c>
      <x:c r="D379" s="69" t="str">
        <x:v>line_item</x:v>
      </x:c>
      <x:c r="E379" s="69" t="str">
        <x:v>MD2023_2024_025-T01R007</x:v>
      </x:c>
      <x:c r="F379" s="71" t="str">
        <x:v>藍天EGU系列-L型</x:v>
      </x:c>
      <x:c r="G379" s="71" t="str">
        <x:v>239</x:v>
      </x:c>
      <x:c r="H379" s="71" t="str">
        <x:v>座</x:v>
      </x:c>
      <x:c r="I379" s="72" t="n">
        <x:v>5</x:v>
      </x:c>
      <x:c r="J379" s="69" t="str">
        <x:v>5</x:v>
      </x:c>
      <x:c r="K379" s="70" t="n">
        <x:v>15982</x:v>
      </x:c>
      <x:c r="L379" s="69" t="str">
        <x:v>$15,982</x:v>
      </x:c>
      <x:c r="M379" s="70" t="n">
        <x:v>79910</x:v>
      </x:c>
      <x:c r="N379" s="69" t="str">
        <x:v>$79,910</x:v>
      </x:c>
      <x:c r="O379" s="71" t="str">
        <x:v>來源表頭對應</x:v>
      </x:c>
      <x:c r="P379" s="71" t="str">
        <x:v>HTML表格1／列7</x:v>
      </x:c>
      <x:c r="Q379" s="71" t="str">
        <x:v>5 | B | 2F~6F | 藍天EGU系列-L型 | 239 | 85 | 100 | 黑砂+木紋握桿 | 座 | 5 | $15,982 | $79,910 |</x:v>
      </x:c>
      <x:c r="R379" s="71" t="str">
        <x:v>各廠商合約&amp; 報價\MD檔案\20241004 順靖 玻璃欄杆_透明_木紋握桿_ 議價.md</x:v>
      </x:c>
    </x:row>
    <x:row r="380">
      <x:c r="A380" s="69" t="str">
        <x:v>ITEM00376</x:v>
      </x:c>
      <x:c r="B380" s="69" t="str">
        <x:v>SRC026</x:v>
      </x:c>
      <x:c r="C380" s="69" t="str">
        <x:v>2023-2024</x:v>
      </x:c>
      <x:c r="D380" s="69" t="str">
        <x:v>line_item</x:v>
      </x:c>
      <x:c r="E380" s="69" t="str">
        <x:v>MD2023_2024_025-T01R008</x:v>
      </x:c>
      <x:c r="F380" s="71" t="str">
        <x:v>藍天EGU系列-L型</x:v>
      </x:c>
      <x:c r="G380" s="71" t="str">
        <x:v>347.5</x:v>
      </x:c>
      <x:c r="H380" s="71" t="str">
        <x:v>座</x:v>
      </x:c>
      <x:c r="I380" s="72" t="n">
        <x:v>1</x:v>
      </x:c>
      <x:c r="J380" s="69" t="str">
        <x:v>1</x:v>
      </x:c>
      <x:c r="K380" s="70" t="n">
        <x:v>27078</x:v>
      </x:c>
      <x:c r="L380" s="69" t="str">
        <x:v>$27,078</x:v>
      </x:c>
      <x:c r="M380" s="70" t="n">
        <x:v>27078</x:v>
      </x:c>
      <x:c r="N380" s="69" t="str">
        <x:v>$27,078</x:v>
      </x:c>
      <x:c r="O380" s="71" t="str">
        <x:v>來源表頭對應</x:v>
      </x:c>
      <x:c r="P380" s="71" t="str">
        <x:v>HTML表格1／列8</x:v>
      </x:c>
      <x:c r="Q380" s="71" t="str">
        <x:v>6 | A | 7F | 藍天EGU系列-L型 | 347.5 | 85 | 100 | 黑砂+木紋握桿 | 座 | 1 | $27,078 | $27,078 |</x:v>
      </x:c>
      <x:c r="R380" s="71" t="str">
        <x:v>各廠商合約&amp; 報價\MD檔案\20241004 順靖 玻璃欄杆_透明_木紋握桿_ 議價.md</x:v>
      </x:c>
    </x:row>
    <x:row r="381">
      <x:c r="A381" s="69" t="str">
        <x:v>ITEM00377</x:v>
      </x:c>
      <x:c r="B381" s="69" t="str">
        <x:v>SRC026</x:v>
      </x:c>
      <x:c r="C381" s="69" t="str">
        <x:v>2023-2024</x:v>
      </x:c>
      <x:c r="D381" s="69" t="str">
        <x:v>line_item</x:v>
      </x:c>
      <x:c r="E381" s="69" t="str">
        <x:v>MD2023_2024_025-T01R009</x:v>
      </x:c>
      <x:c r="F381" s="71" t="str">
        <x:v>藍天EGU系列-L型</x:v>
      </x:c>
      <x:c r="G381" s="71" t="str">
        <x:v>212</x:v>
      </x:c>
      <x:c r="H381" s="71" t="str">
        <x:v>座</x:v>
      </x:c>
      <x:c r="I381" s="72" t="n">
        <x:v>1</x:v>
      </x:c>
      <x:c r="J381" s="69" t="str">
        <x:v>1</x:v>
      </x:c>
      <x:c r="K381" s="70" t="n">
        <x:v>14903</x:v>
      </x:c>
      <x:c r="L381" s="69" t="str">
        <x:v>$14,903</x:v>
      </x:c>
      <x:c r="M381" s="70" t="n">
        <x:v>14903</x:v>
      </x:c>
      <x:c r="N381" s="69" t="str">
        <x:v>$14,903</x:v>
      </x:c>
      <x:c r="O381" s="71" t="str">
        <x:v>來源表頭對應</x:v>
      </x:c>
      <x:c r="P381" s="71" t="str">
        <x:v>HTML表格1／列9</x:v>
      </x:c>
      <x:c r="Q381" s="71" t="str">
        <x:v>7 | A | 7F | 藍天EGU系列-L型 | 212 | 85 | 100 | 黑砂+木紋握桿 | 座 | 1 | $14,903 | $14,903 |</x:v>
      </x:c>
      <x:c r="R381" s="71" t="str">
        <x:v>各廠商合約&amp; 報價\MD檔案\20241004 順靖 玻璃欄杆_透明_木紋握桿_ 議價.md</x:v>
      </x:c>
    </x:row>
    <x:row r="382">
      <x:c r="A382" s="69" t="str">
        <x:v>ITEM00378</x:v>
      </x:c>
      <x:c r="B382" s="69" t="str">
        <x:v>SRC026</x:v>
      </x:c>
      <x:c r="C382" s="69" t="str">
        <x:v>2023-2024</x:v>
      </x:c>
      <x:c r="D382" s="69" t="str">
        <x:v>line_item</x:v>
      </x:c>
      <x:c r="E382" s="69" t="str">
        <x:v>MD2023_2024_025-T01R010</x:v>
      </x:c>
      <x:c r="F382" s="71" t="str">
        <x:v>藍天EGU系列-一字型</x:v>
      </x:c>
      <x:c r="G382" s="71" t="str">
        <x:v>336</x:v>
      </x:c>
      <x:c r="H382" s="71" t="str">
        <x:v>座</x:v>
      </x:c>
      <x:c r="I382" s="72" t="n">
        <x:v>1</x:v>
      </x:c>
      <x:c r="J382" s="69" t="str">
        <x:v>1</x:v>
      </x:c>
      <x:c r="K382" s="70" t="n">
        <x:v>21622</x:v>
      </x:c>
      <x:c r="L382" s="69" t="str">
        <x:v>$21,622</x:v>
      </x:c>
      <x:c r="M382" s="70" t="n">
        <x:v>21622</x:v>
      </x:c>
      <x:c r="N382" s="69" t="str">
        <x:v>$21,622</x:v>
      </x:c>
      <x:c r="O382" s="71" t="str">
        <x:v>來源表頭對應</x:v>
      </x:c>
      <x:c r="P382" s="71" t="str">
        <x:v>HTML表格1／列10</x:v>
      </x:c>
      <x:c r="Q382" s="71" t="str">
        <x:v>8 | A | 7F | 藍天EGU系列-一字型 | 336 | 85 | 100 | 黑砂+木紋握桿 | 座 | 1 | $21,622 | $21,622 |</x:v>
      </x:c>
      <x:c r="R382" s="71" t="str">
        <x:v>各廠商合約&amp; 報價\MD檔案\20241004 順靖 玻璃欄杆_透明_木紋握桿_ 議價.md</x:v>
      </x:c>
    </x:row>
    <x:row r="383">
      <x:c r="A383" s="69" t="str">
        <x:v>ITEM00379</x:v>
      </x:c>
      <x:c r="B383" s="69" t="str">
        <x:v>SRC026</x:v>
      </x:c>
      <x:c r="C383" s="69" t="str">
        <x:v>2023-2024</x:v>
      </x:c>
      <x:c r="D383" s="69" t="str">
        <x:v>line_item</x:v>
      </x:c>
      <x:c r="E383" s="69" t="str">
        <x:v>MD2023_2024_025-T01R011</x:v>
      </x:c>
      <x:c r="F383" s="71" t="str">
        <x:v>藍天EGU系列-L型</x:v>
      </x:c>
      <x:c r="G383" s="71" t="str">
        <x:v>319</x:v>
      </x:c>
      <x:c r="H383" s="71" t="str">
        <x:v>座</x:v>
      </x:c>
      <x:c r="I383" s="72" t="n">
        <x:v>1</x:v>
      </x:c>
      <x:c r="J383" s="69" t="str">
        <x:v>1</x:v>
      </x:c>
      <x:c r="K383" s="70" t="n">
        <x:v>26027</x:v>
      </x:c>
      <x:c r="L383" s="69" t="str">
        <x:v>$26,027</x:v>
      </x:c>
      <x:c r="M383" s="70" t="n">
        <x:v>26027</x:v>
      </x:c>
      <x:c r="N383" s="69" t="str">
        <x:v>$26,027</x:v>
      </x:c>
      <x:c r="O383" s="71" t="str">
        <x:v>來源表頭對應</x:v>
      </x:c>
      <x:c r="P383" s="71" t="str">
        <x:v>HTML表格1／列11</x:v>
      </x:c>
      <x:c r="Q383" s="71" t="str">
        <x:v>9 | 露台 | 7F | 藍天EGU系列-L型 | 319 | 110 | 110 | 黑砂+木紋握桿 | 座 | 1 | $26,027 | $26,027 |</x:v>
      </x:c>
      <x:c r="R383" s="71" t="str">
        <x:v>各廠商合約&amp; 報價\MD檔案\20241004 順靖 玻璃欄杆_透明_木紋握桿_ 議價.md</x:v>
      </x:c>
    </x:row>
    <x:row r="384">
      <x:c r="A384" s="69" t="str">
        <x:v>ITEM00380</x:v>
      </x:c>
      <x:c r="B384" s="69" t="str">
        <x:v>SRC026</x:v>
      </x:c>
      <x:c r="C384" s="69" t="str">
        <x:v>2023-2024</x:v>
      </x:c>
      <x:c r="D384" s="69" t="str">
        <x:v>line_item</x:v>
      </x:c>
      <x:c r="E384" s="69" t="str">
        <x:v>MD2023_2024_025-T01R012</x:v>
      </x:c>
      <x:c r="F384" s="71" t="str">
        <x:v>藍天EGU系列-L型</x:v>
      </x:c>
      <x:c r="G384" s="71" t="str">
        <x:v>347.5</x:v>
      </x:c>
      <x:c r="H384" s="71" t="str">
        <x:v>座</x:v>
      </x:c>
      <x:c r="I384" s="72" t="n">
        <x:v>1</x:v>
      </x:c>
      <x:c r="J384" s="69" t="str">
        <x:v>1</x:v>
      </x:c>
      <x:c r="K384" s="70" t="n">
        <x:v>29512</x:v>
      </x:c>
      <x:c r="L384" s="69" t="str">
        <x:v>$29,512</x:v>
      </x:c>
      <x:c r="M384" s="70" t="n">
        <x:v>29512</x:v>
      </x:c>
      <x:c r="N384" s="69" t="str">
        <x:v>$29,512</x:v>
      </x:c>
      <x:c r="O384" s="71" t="str">
        <x:v>來源表頭對應</x:v>
      </x:c>
      <x:c r="P384" s="71" t="str">
        <x:v>HTML表格1／列12</x:v>
      </x:c>
      <x:c r="Q384" s="71" t="str">
        <x:v>10 | / | R1F | 藍天EGU系列-L型 | 347.5 | 110 | 110 | 黑砂+木紋握桿 | 座 | 1 | $29,512 | $29,512 |</x:v>
      </x:c>
      <x:c r="R384" s="71" t="str">
        <x:v>各廠商合約&amp; 報價\MD檔案\20241004 順靖 玻璃欄杆_透明_木紋握桿_ 議價.md</x:v>
      </x:c>
    </x:row>
    <x:row r="385">
      <x:c r="A385" s="69" t="str">
        <x:v>ITEM00381</x:v>
      </x:c>
      <x:c r="B385" s="69" t="str">
        <x:v>SRC026</x:v>
      </x:c>
      <x:c r="C385" s="69" t="str">
        <x:v>2023-2024</x:v>
      </x:c>
      <x:c r="D385" s="69" t="str">
        <x:v>line_item</x:v>
      </x:c>
      <x:c r="E385" s="69" t="str">
        <x:v>MD2023_2024_025-T01R013</x:v>
      </x:c>
      <x:c r="F385" s="71" t="str">
        <x:v>藍天EGU系列-L型</x:v>
      </x:c>
      <x:c r="G385" s="71" t="str">
        <x:v>406</x:v>
      </x:c>
      <x:c r="H385" s="71" t="str">
        <x:v>座</x:v>
      </x:c>
      <x:c r="I385" s="72" t="n">
        <x:v>1</x:v>
      </x:c>
      <x:c r="J385" s="69" t="str">
        <x:v>1</x:v>
      </x:c>
      <x:c r="K385" s="70" t="n">
        <x:v>32008</x:v>
      </x:c>
      <x:c r="L385" s="69" t="str">
        <x:v>$32,008</x:v>
      </x:c>
      <x:c r="M385" s="70" t="n">
        <x:v>32008</x:v>
      </x:c>
      <x:c r="N385" s="69" t="str">
        <x:v>$32,008</x:v>
      </x:c>
      <x:c r="O385" s="71" t="str">
        <x:v>來源表頭對應</x:v>
      </x:c>
      <x:c r="P385" s="71" t="str">
        <x:v>HTML表格1／列13</x:v>
      </x:c>
      <x:c r="Q385" s="71" t="str">
        <x:v>11 | / | R1F | 藍天EGU系列-L型 | 406 | 110 | 110 | 黑砂+木紋握桿 | 座 | 1 | $32,008 | $32,008 |</x:v>
      </x:c>
      <x:c r="R385" s="71" t="str">
        <x:v>各廠商合約&amp; 報價\MD檔案\20241004 順靖 玻璃欄杆_透明_木紋握桿_ 議價.md</x:v>
      </x:c>
    </x:row>
    <x:row r="386">
      <x:c r="A386" s="69" t="str">
        <x:v>ITEM00382</x:v>
      </x:c>
      <x:c r="B386" s="69" t="str">
        <x:v>SRC026</x:v>
      </x:c>
      <x:c r="C386" s="69" t="str">
        <x:v>2023-2024</x:v>
      </x:c>
      <x:c r="D386" s="69" t="str">
        <x:v>line_item</x:v>
      </x:c>
      <x:c r="E386" s="69" t="str">
        <x:v>MD2023_2024_025-T01R014</x:v>
      </x:c>
      <x:c r="F386" s="71" t="str">
        <x:v>藍天EGU系列-一字型</x:v>
      </x:c>
      <x:c r="G386" s="71" t="str">
        <x:v>336</x:v>
      </x:c>
      <x:c r="H386" s="71" t="str">
        <x:v>座</x:v>
      </x:c>
      <x:c r="I386" s="72" t="n">
        <x:v>1</x:v>
      </x:c>
      <x:c r="J386" s="69" t="str">
        <x:v>1</x:v>
      </x:c>
      <x:c r="K386" s="70" t="n">
        <x:v>23443</x:v>
      </x:c>
      <x:c r="L386" s="69" t="str">
        <x:v>$23,443</x:v>
      </x:c>
      <x:c r="M386" s="70" t="n">
        <x:v>23443</x:v>
      </x:c>
      <x:c r="N386" s="69" t="str">
        <x:v>$23,443</x:v>
      </x:c>
      <x:c r="O386" s="71" t="str">
        <x:v>來源表頭對應</x:v>
      </x:c>
      <x:c r="P386" s="71" t="str">
        <x:v>HTML表格1／列14</x:v>
      </x:c>
      <x:c r="Q386" s="71" t="str">
        <x:v>12 | / | R1F | 藍天EGU系列-一字型 | 336 | 110 | 110 | 黑砂+木紋握桿 | 座 | 1 | $23,443 | $23,443 |</x:v>
      </x:c>
      <x:c r="R386" s="71" t="str">
        <x:v>各廠商合約&amp; 報價\MD檔案\20241004 順靖 玻璃欄杆_透明_木紋握桿_ 議價.md</x:v>
      </x:c>
    </x:row>
    <x:row r="387">
      <x:c r="A387" s="69" t="str">
        <x:v>ITEM00383</x:v>
      </x:c>
      <x:c r="B387" s="69" t="str">
        <x:v>SRC026</x:v>
      </x:c>
      <x:c r="C387" s="69" t="str">
        <x:v>2023-2024</x:v>
      </x:c>
      <x:c r="D387" s="69" t="str">
        <x:v>total_or_tax</x:v>
      </x:c>
      <x:c r="E387" s="69" t="str">
        <x:v>MD2023_2024_025-T01R015</x:v>
      </x:c>
      <x:c r="F387" s="71" t="str">
        <x:v>總長度 9571.5 cm 32座 小計 $692,293</x:v>
      </x:c>
      <x:c r="G387" s="71" t="str">
        <x:v>總長度 9571.5 cm 32座 小計 $692,293</x:v>
      </x:c>
      <x:c r="H387" s="71" t="str">
        <x:v>總長度 9571.5 cm 32座 小計 $692,293</x:v>
      </x:c>
      <x:c r="I387" s="72"/>
      <x:c r="J387" s="69" t="str">
        <x:v>總長度 9571.5 cm 32座 小計 $692,293</x:v>
      </x:c>
      <x:c r="K387" s="70"/>
      <x:c r="L387" s="69" t="str">
        <x:v>總長度 9571.5 cm 32座 小計 $692,293</x:v>
      </x:c>
      <x:c r="M387" s="70"/>
      <x:c r="N387" s="69" t="str">
        <x:v>總長度 9571.5 cm 32座 小計 $692,293</x:v>
      </x:c>
      <x:c r="O387" s="71" t="str">
        <x:v>來源表頭對應</x:v>
      </x:c>
      <x:c r="P387" s="71" t="str">
        <x:v>HTML表格1／列15</x:v>
      </x:c>
      <x:c r="Q387" s="71" t="str">
        <x:v>總長度 9571.5 cm 32座 小計 $692,293 | 總長度 9571.5 cm 32座 小計 $692,293 | 總長度 9571.5 cm 32座 小計 $692,293 | 總長度 9571.5 cm 32座 小計 $692,293 | 總長度 9571.5 cm 32座 小計 $692,293 | 總長度 9571.5 cm 32座 小計 $692,293 | 總長度 9571.5 cm 32座 小計 $692,293 | 總長度 9571.5 cm 32座 小計 $692,293 | 總長度 9571.5 cm 32座 小計 $692,293 | 總長度 9571.5 c…（詳原文索引）</x:v>
      </x:c>
      <x:c r="R387" s="71" t="str">
        <x:v>各廠商合約&amp; 報價\MD檔案\20241004 順靖 玻璃欄杆_透明_木紋握桿_ 議價.md</x:v>
      </x:c>
    </x:row>
    <x:row r="388">
      <x:c r="A388" s="69" t="str">
        <x:v>ITEM00384</x:v>
      </x:c>
      <x:c r="B388" s="69" t="str">
        <x:v>SRC027</x:v>
      </x:c>
      <x:c r="C388" s="69" t="str">
        <x:v>2023-2024</x:v>
      </x:c>
      <x:c r="D388" s="69" t="str">
        <x:v>line_item</x:v>
      </x:c>
      <x:c r="E388" s="69" t="str">
        <x:v>MD2023_2024_026-T01R003</x:v>
      </x:c>
      <x:c r="F388" s="71" t="str">
        <x:v>直線安裝</x:v>
      </x:c>
      <x:c r="G388" s="71" t="str">
        <x:v>直線安裝</x:v>
      </x:c>
      <x:c r="H388" s="71" t="str">
        <x:v>M</x:v>
      </x:c>
      <x:c r="I388" s="72"/>
      <x:c r="J388" s="69" t="str">
        <x:v>文件未載明</x:v>
      </x:c>
      <x:c r="K388" s="70" t="n">
        <x:v>500</x:v>
      </x:c>
      <x:c r="L388" s="69" t="str">
        <x:v>$500</x:v>
      </x:c>
      <x:c r="M388" s="70" t="n">
        <x:v>197500</x:v>
      </x:c>
      <x:c r="N388" s="69" t="str">
        <x:v>$197,500</x:v>
      </x:c>
      <x:c r="O388" s="71" t="str">
        <x:v>來源表頭對應</x:v>
      </x:c>
      <x:c r="P388" s="71" t="str">
        <x:v>HTML表格1／列3</x:v>
      </x:c>
      <x:c r="Q388" s="71" t="str">
        <x:v>直線安裝 | S-25-烤漆滴水條本體+配件+安裝+791膠一道(下方不 | 395.00 | M | $500 | $197,500</x:v>
      </x:c>
      <x:c r="R388" s="71" t="str">
        <x:v>各廠商合約&amp; 報價\MD檔案\20241009 安翊 滴水條.md</x:v>
      </x:c>
    </x:row>
    <x:row r="389">
      <x:c r="A389" s="69" t="str">
        <x:v>ITEM00385</x:v>
      </x:c>
      <x:c r="B389" s="69" t="str">
        <x:v>SRC027</x:v>
      </x:c>
      <x:c r="C389" s="69" t="str">
        <x:v>2023-2024</x:v>
      </x:c>
      <x:c r="D389" s="69" t="str">
        <x:v>note_or_description</x:v>
      </x:c>
      <x:c r="E389" s="69" t="str">
        <x:v>MD2023_2024_026-T01R004</x:v>
      </x:c>
      <x:c r="F389" s="71" t="str">
        <x:v>文件未載明</x:v>
      </x:c>
      <x:c r="G389" s="71" t="str"/>
      <x:c r="H389" s="71" t="str"/>
      <x:c r="I389" s="72"/>
      <x:c r="J389" s="69" t="str">
        <x:v>文件未載明</x:v>
      </x:c>
      <x:c r="K389" s="70"/>
      <x:c r="L389" s="69" t="str"/>
      <x:c r="M389" s="70"/>
      <x:c r="N389" s="69" t="str"/>
      <x:c r="O389" s="71" t="str">
        <x:v>來源表頭對應</x:v>
      </x:c>
      <x:c r="P389" s="71" t="str">
        <x:v>HTML表格1／列4</x:v>
      </x:c>
      <x:c r="Q389" s="71" t="str">
        <x:v>| *依實作數量計價,報價為一次施工費用, | | | |</x:v>
      </x:c>
      <x:c r="R389" s="71" t="str">
        <x:v>各廠商合約&amp; 報價\MD檔案\20241009 安翊 滴水條.md</x:v>
      </x:c>
    </x:row>
    <x:row r="390">
      <x:c r="A390" s="69" t="str">
        <x:v>ITEM00386</x:v>
      </x:c>
      <x:c r="B390" s="69" t="str">
        <x:v>SRC027</x:v>
      </x:c>
      <x:c r="C390" s="69" t="str">
        <x:v>2023-2024</x:v>
      </x:c>
      <x:c r="D390" s="69" t="str">
        <x:v>total_or_tax</x:v>
      </x:c>
      <x:c r="E390" s="69" t="str">
        <x:v>MD2023_2024_026-T01R006</x:v>
      </x:c>
      <x:c r="F390" s="71" t="str">
        <x:v>付款條件:訂金30%現金/依施工進度月結支付70%(無保留款,30天內期票)</x:v>
      </x:c>
      <x:c r="G390" s="71" t="str">
        <x:v>付款條件:訂金30%現金/依施工進度月結支付70%(無保留款,30天內期票)</x:v>
      </x:c>
      <x:c r="H390" s="71" t="str">
        <x:v>付款條件:訂金30%現金/依施工進度月結支付70%(無保留款,30天內期票)</x:v>
      </x:c>
      <x:c r="I390" s="72"/>
      <x:c r="J390" s="69" t="str">
        <x:v>文件未載明</x:v>
      </x:c>
      <x:c r="K390" s="70"/>
      <x:c r="L390" s="69" t="str">
        <x:v>報價淨額</x:v>
      </x:c>
      <x:c r="M390" s="70" t="n">
        <x:v>197500</x:v>
      </x:c>
      <x:c r="N390" s="69" t="str">
        <x:v>$197,500</x:v>
      </x:c>
      <x:c r="O390" s="71" t="str">
        <x:v>來源表頭對應</x:v>
      </x:c>
      <x:c r="P390" s="71" t="str">
        <x:v>HTML表格1／列6</x:v>
      </x:c>
      <x:c r="Q390" s="71" t="str">
        <x:v>付款條件:訂金30%現金/依施工進度月結支付70%(無保留款,30天內期票) | 付款條件:訂金30%現金/依施工進度月結支付70%(無保留款,30天內期票) | 付款條件:訂金30%現金/依施工進度月結支付70%(無保留款,30天內期票) | 付款條件:訂金30%現金/依施工進度月結支付70%(無保留款,30天內期票) | 報價淨額 | $197,500</x:v>
      </x:c>
      <x:c r="R390" s="71" t="str">
        <x:v>各廠商合約&amp; 報價\MD檔案\20241009 安翊 滴水條.md</x:v>
      </x:c>
    </x:row>
    <x:row r="391">
      <x:c r="A391" s="69" t="str">
        <x:v>ITEM00387</x:v>
      </x:c>
      <x:c r="B391" s="69" t="str">
        <x:v>SRC027</x:v>
      </x:c>
      <x:c r="C391" s="69" t="str">
        <x:v>2023-2024</x:v>
      </x:c>
      <x:c r="D391" s="69" t="str">
        <x:v>total_or_tax</x:v>
      </x:c>
      <x:c r="E391" s="69" t="str">
        <x:v>MD2023_2024_026-T01R007</x:v>
      </x:c>
      <x:c r="F391" s="71" t="str">
        <x:v>文件未載明</x:v>
      </x:c>
      <x:c r="G391" s="71" t="str"/>
      <x:c r="H391" s="71" t="str"/>
      <x:c r="I391" s="72"/>
      <x:c r="J391" s="69" t="str">
        <x:v>文件未載明</x:v>
      </x:c>
      <x:c r="K391" s="70"/>
      <x:c r="L391" s="69" t="str">
        <x:v>稅額</x:v>
      </x:c>
      <x:c r="M391" s="70" t="n">
        <x:v>9875</x:v>
      </x:c>
      <x:c r="N391" s="69" t="str">
        <x:v>$9,875</x:v>
      </x:c>
      <x:c r="O391" s="71" t="str">
        <x:v>來源表頭對應</x:v>
      </x:c>
      <x:c r="P391" s="71" t="str">
        <x:v>HTML表格1／列7</x:v>
      </x:c>
      <x:c r="Q391" s="71" t="str">
        <x:v>| | | | 稅額 | $9,875</x:v>
      </x:c>
      <x:c r="R391" s="71" t="str">
        <x:v>各廠商合約&amp; 報價\MD檔案\20241009 安翊 滴水條.md</x:v>
      </x:c>
    </x:row>
    <x:row r="392">
      <x:c r="A392" s="69" t="str">
        <x:v>ITEM00388</x:v>
      </x:c>
      <x:c r="B392" s="69" t="str">
        <x:v>SRC027</x:v>
      </x:c>
      <x:c r="C392" s="69" t="str">
        <x:v>2023-2024</x:v>
      </x:c>
      <x:c r="D392" s="69" t="str">
        <x:v>total_or_tax</x:v>
      </x:c>
      <x:c r="E392" s="69" t="str">
        <x:v>MD2023_2024_026-T01R008</x:v>
      </x:c>
      <x:c r="F392" s="71" t="str">
        <x:v>送貨地址:</x:v>
      </x:c>
      <x:c r="G392" s="71" t="str">
        <x:v>送貨地址:</x:v>
      </x:c>
      <x:c r="H392" s="71" t="str">
        <x:v>送貨地址:</x:v>
      </x:c>
      <x:c r="I392" s="72"/>
      <x:c r="J392" s="69" t="str">
        <x:v>文件未載明</x:v>
      </x:c>
      <x:c r="K392" s="70"/>
      <x:c r="L392" s="69" t="str">
        <x:v>總金額</x:v>
      </x:c>
      <x:c r="M392" s="70" t="n">
        <x:v>207375</x:v>
      </x:c>
      <x:c r="N392" s="69" t="str">
        <x:v>$207,375</x:v>
      </x:c>
      <x:c r="O392" s="71" t="str">
        <x:v>來源表頭對應</x:v>
      </x:c>
      <x:c r="P392" s="71" t="str">
        <x:v>HTML表格1／列8</x:v>
      </x:c>
      <x:c r="Q392" s="71" t="str">
        <x:v>送貨地址: | 送貨地址: | 送貨地址: | 送貨地址: | 總金額 | $207,375</x:v>
      </x:c>
      <x:c r="R392" s="71" t="str">
        <x:v>各廠商合約&amp; 報價\MD檔案\20241009 安翊 滴水條.md</x:v>
      </x:c>
    </x:row>
    <x:row r="393">
      <x:c r="A393" s="69" t="str">
        <x:v>ITEM00389</x:v>
      </x:c>
      <x:c r="B393" s="69" t="str">
        <x:v>SRC027</x:v>
      </x:c>
      <x:c r="C393" s="69" t="str">
        <x:v>2023-2024</x:v>
      </x:c>
      <x:c r="D393" s="69" t="str">
        <x:v>note_or_description</x:v>
      </x:c>
      <x:c r="E393" s="69" t="str">
        <x:v>MD2023_2024_026-T01R009</x:v>
      </x:c>
      <x:c r="F393" s="71" t="str">
        <x:v>備註: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詳原文索引）</x:v>
      </x:c>
      <x:c r="G393" s="71" t="str">
        <x:v>備註: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貴公司填寫付款人之銀行相關資料,以…（詳原文索引）</x:v>
      </x:c>
      <x:c r="H393" s="71" t="str">
        <x:v>備註: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貴公司填寫付款人之銀行相關資料,以供本公司財務部信用徵信,不便之處請見諒,謝謝。支票付款人:支票付款支存帳號:支票付款銀行、分行名:銀行分行電話:</x:v>
      </x:c>
      <x:c r="I393" s="72"/>
      <x:c r="J393" s="69" t="str">
        <x:v>文件未載明</x:v>
      </x:c>
      <x:c r="K393" s="70"/>
      <x:c r="L393" s="69" t="str">
        <x:v>備註: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貴公司填寫付款人之銀行相關資料,以供本公司財務部信用徵信,不便之處請見諒,謝謝。支票付款人:支票付款支存帳號:支票付款銀行、分行名:銀行分行電話:</x:v>
      </x:c>
      <x:c r="M393" s="70"/>
      <x:c r="N393" s="69" t="str">
        <x:v>備註: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貴公司填寫付款人之銀行相關資料,以供本公司財務部信用徵信,不便之處請見諒,謝謝。支票付款人:支票付款支存帳號:支票付款銀行、分行名:銀行分行電話:</x:v>
      </x:c>
      <x:c r="O393" s="71" t="str">
        <x:v>來源表頭對應</x:v>
      </x:c>
      <x:c r="P393" s="71" t="str">
        <x:v>HTML表格1／列9</x:v>
      </x:c>
      <x:c r="Q393" s="71" t="str">
        <x:v>備註: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貴公司填寫付款人之銀行相關資料,以供本公司財務部信用徵信,不便之處請見諒,謝謝。支票付款人:支票付款支存帳號:支票付款銀行、分行名:銀行分行電話: | 備註:1.本交易為附條件買賣,依動產交易法…（詳原文索引）</x:v>
      </x:c>
      <x:c r="R393" s="71" t="str">
        <x:v>各廠商合約&amp; 報價\MD檔案\20241009 安翊 滴水條.md</x:v>
      </x:c>
    </x:row>
    <x:row r="394">
      <x:c r="A394" s="69" t="str">
        <x:v>ITEM00390</x:v>
      </x:c>
      <x:c r="B394" s="69" t="str">
        <x:v>SRC027</x:v>
      </x:c>
      <x:c r="C394" s="69" t="str">
        <x:v>2023-2024</x:v>
      </x:c>
      <x:c r="D394" s="69" t="str">
        <x:v>note_or_description</x:v>
      </x:c>
      <x:c r="E394" s="69" t="str">
        <x:v>MD2023_2024_026-T01R010</x:v>
      </x:c>
      <x:c r="F394" s="71" t="str">
        <x:v>客戶確認:向上建設</x:v>
      </x:c>
      <x:c r="G394" s="71" t="str">
        <x:v>客戶確認:向上建設</x:v>
      </x:c>
      <x:c r="H394" s="71" t="str">
        <x:v>公司確認:安翊企業股份有限公司</x:v>
      </x:c>
      <x:c r="I394" s="72"/>
      <x:c r="J394" s="69" t="str">
        <x:v>文件未載明</x:v>
      </x:c>
      <x:c r="K394" s="70"/>
      <x:c r="L394" s="69" t="str">
        <x:v>公司確認:安翊企業股份有限公司</x:v>
      </x:c>
      <x:c r="M394" s="70"/>
      <x:c r="N394" s="69" t="str">
        <x:v>公司確認:安翊企業股份有限公司</x:v>
      </x:c>
      <x:c r="O394" s="71" t="str">
        <x:v>來源表頭對應</x:v>
      </x:c>
      <x:c r="P394" s="71" t="str">
        <x:v>HTML表格1／列10</x:v>
      </x:c>
      <x:c r="Q394" s="71" t="str">
        <x:v>客戶確認:向上建設 | 客戶確認:向上建設 | 客戶確認:向上建設 | 公司確認:安翊企業股份有限公司 | 公司確認:安翊企業股份有限公司 | 公司確認:安翊企業股份有限公司</x:v>
      </x:c>
      <x:c r="R394" s="71" t="str">
        <x:v>各廠商合約&amp; 報價\MD檔案\20241009 安翊 滴水條.md</x:v>
      </x:c>
    </x:row>
    <x:row r="395">
      <x:c r="A395" s="69" t="str">
        <x:v>ITEM00391</x:v>
      </x:c>
      <x:c r="B395" s="69" t="str">
        <x:v>SRC028</x:v>
      </x:c>
      <x:c r="C395" s="69" t="str">
        <x:v>2023-2024</x:v>
      </x:c>
      <x:c r="D395" s="69" t="str">
        <x:v>line_item</x:v>
      </x:c>
      <x:c r="E395" s="69" t="str">
        <x:v>MD2023_2024_027-T01R003</x:v>
      </x:c>
      <x:c r="F395" s="71" t="str">
        <x:v>南亞房間門</x:v>
      </x:c>
      <x:c r="G395" s="71" t="str">
        <x:v>D7G00</x:v>
      </x:c>
      <x:c r="H395" s="71" t="str">
        <x:v>文件未載明</x:v>
      </x:c>
      <x:c r="I395" s="72" t="n">
        <x:v>28</x:v>
      </x:c>
      <x:c r="J395" s="69" t="str">
        <x:v>28</x:v>
      </x:c>
      <x:c r="K395" s="70"/>
      <x:c r="L395" s="69" t="str">
        <x:v>文件未載明</x:v>
      </x:c>
      <x:c r="M395" s="70" t="n">
        <x:v>281512</x:v>
      </x:c>
      <x:c r="N395" s="69" t="str">
        <x:v>281,512</x:v>
      </x:c>
      <x:c r="O395" s="71" t="str">
        <x:v>來源表頭對應</x:v>
      </x:c>
      <x:c r="P395" s="71" t="str">
        <x:v>HTML表格1／列3</x:v>
      </x:c>
      <x:c r="Q395" s="71" t="str">
        <x:v>D5 | D7G00 | 南亞房間門 | - | 90 | - | 210 | 木紋色#3DF | 28 | 10,054 | 281,512 | 87P</x:v>
      </x:c>
      <x:c r="R395" s="71" t="str">
        <x:v>各廠商合約&amp; 報價\MD檔案\20241016 塑豐 房間門改先立.md</x:v>
      </x:c>
    </x:row>
    <x:row r="396">
      <x:c r="A396" s="69" t="str">
        <x:v>ITEM00392</x:v>
      </x:c>
      <x:c r="B396" s="69" t="str">
        <x:v>SRC028</x:v>
      </x:c>
      <x:c r="C396" s="69" t="str">
        <x:v>2023-2024</x:v>
      </x:c>
      <x:c r="D396" s="69" t="str">
        <x:v>total_or_tax</x:v>
      </x:c>
      <x:c r="E396" s="69" t="str">
        <x:v>MD2023_2024_027-T01R004</x:v>
      </x:c>
      <x:c r="F396" s="71" t="str">
        <x:v>小計</x:v>
      </x:c>
      <x:c r="G396" s="71" t="str">
        <x:v>小計</x:v>
      </x:c>
      <x:c r="H396" s="71" t="str">
        <x:v>文件未載明</x:v>
      </x:c>
      <x:c r="I396" s="72" t="n">
        <x:v>28</x:v>
      </x:c>
      <x:c r="J396" s="69" t="str">
        <x:v>28</x:v>
      </x:c>
      <x:c r="K396" s="70"/>
      <x:c r="L396" s="69" t="str">
        <x:v>文件未載明</x:v>
      </x:c>
      <x:c r="M396" s="70" t="n">
        <x:v>281512</x:v>
      </x:c>
      <x:c r="N396" s="69" t="str">
        <x:v>281,512</x:v>
      </x:c>
      <x:c r="O396" s="71" t="str">
        <x:v>來源表頭對應</x:v>
      </x:c>
      <x:c r="P396" s="71" t="str">
        <x:v>HTML表格1／列4</x:v>
      </x:c>
      <x:c r="Q396" s="71" t="str">
        <x:v>小計 | 小計 | 小計 | 小計 | 小計 | 小計 | 小計 | | 28 | | 281,512 |</x:v>
      </x:c>
      <x:c r="R396" s="71" t="str">
        <x:v>各廠商合約&amp; 報價\MD檔案\20241016 塑豐 房間門改先立.md</x:v>
      </x:c>
    </x:row>
    <x:row r="397">
      <x:c r="A397" s="69" t="str">
        <x:v>ITEM00393</x:v>
      </x:c>
      <x:c r="B397" s="69" t="str">
        <x:v>SRC028</x:v>
      </x:c>
      <x:c r="C397" s="69" t="str">
        <x:v>2023-2024</x:v>
      </x:c>
      <x:c r="D397" s="69" t="str">
        <x:v>total_or_tax</x:v>
      </x:c>
      <x:c r="E397" s="69" t="str">
        <x:v>MD2023_2024_027-T01R005</x:v>
      </x:c>
      <x:c r="F397" s="71" t="str">
        <x:v>報價說明 稅金 14,076一.以上採用南亞SMC慶祥門外框X69F7(16cm)系列產品,顏色詳色別。 總計 295,588</x:v>
      </x:c>
      <x:c r="G397" s="71" t="str">
        <x:v>報價說明 稅金 14,076一.以上採用南亞SMC慶祥門外框X69F7(16cm)系列產品,顏色詳色別。 總計 295,588</x:v>
      </x:c>
      <x:c r="H397" s="71" t="str">
        <x:v>文件未載明</x:v>
      </x:c>
      <x:c r="I397" s="72"/>
      <x:c r="J397" s="69" t="str">
        <x:v>報價說明 稅金 14,076一.以上採用南亞SMC慶祥門外框X69F7(16cm)系列產品,顏色詳色別。 總計 295,588</x:v>
      </x:c>
      <x:c r="K397" s="70"/>
      <x:c r="L397" s="69" t="str">
        <x:v>文件未載明</x:v>
      </x:c>
      <x:c r="M397" s="70"/>
      <x:c r="N397" s="69" t="str">
        <x:v>報價說明 稅金 14,076一.以上採用南亞SMC慶祥門外框X69F7(16cm)系列產品,顏色詳色別。 總計 295,588</x:v>
      </x:c>
      <x:c r="O397" s="71" t="str">
        <x:v>來源表頭對應</x:v>
      </x:c>
      <x:c r="P397" s="71" t="str">
        <x:v>HTML表格1／列5</x:v>
      </x:c>
      <x:c r="Q397" s="71" t="str">
        <x:v>報價說明 稅金 14,076一.以上採用南亞SMC慶祥門外框X69F7(16cm)系列產品,顏色詳色別。 總計 295,588 | 報價說明 稅金 14,076一.以上採用南亞SMC慶祥門外框X69F7(16cm)系列產品,顏色詳色別。 總計 295,588 | 報價說明 稅金 14,076一.以上採用南亞SMC慶祥門外框X69F7(16cm)系列產品,顏色詳色別。 總計 295,588 | 報價說明 稅金 14,076一.以上採用南亞SMC慶祥門外框X69F7(16cm)系列產品,顏色詳色別。 總計 295,588 | 報價說明 稅金 14,076一.以上採用南亞SMC慶祥門外框X69F7(…（詳原文索引）</x:v>
      </x:c>
      <x:c r="R397" s="71" t="str">
        <x:v>各廠商合約&amp; 報價\MD檔案\20241016 塑豐 房間門改先立.md</x:v>
      </x:c>
    </x:row>
    <x:row r="398">
      <x:c r="A398" s="69" t="str">
        <x:v>ITEM00394</x:v>
      </x:c>
      <x:c r="B398" s="69" t="str">
        <x:v>SRC029</x:v>
      </x:c>
      <x:c r="C398" s="69" t="str">
        <x:v>2023-2024</x:v>
      </x:c>
      <x:c r="D398" s="69" t="str">
        <x:v>line_item</x:v>
      </x:c>
      <x:c r="E398" s="69" t="str">
        <x:v>MD2023_2024_028-T01R004</x:v>
      </x:c>
      <x:c r="F398" s="71" t="str">
        <x:v>1</x:v>
      </x:c>
      <x:c r="G398" s="71" t="str">
        <x:v>500</x:v>
      </x:c>
      <x:c r="H398" s="71" t="str">
        <x:v>文件未載明</x:v>
      </x:c>
      <x:c r="I398" s="72" t="n">
        <x:v>4</x:v>
      </x:c>
      <x:c r="J398" s="69" t="str">
        <x:v>4</x:v>
      </x:c>
      <x:c r="K398" s="70"/>
      <x:c r="L398" s="69" t="str">
        <x:v>文件未載明</x:v>
      </x:c>
      <x:c r="M398" s="70" t="n">
        <x:v>23216</x:v>
      </x:c>
      <x:c r="N398" s="69" t="str">
        <x:v>23,216</x:v>
      </x:c>
      <x:c r="O398" s="71" t="str">
        <x:v>來源表頭對應</x:v>
      </x:c>
      <x:c r="P398" s="71" t="str">
        <x:v>HTML表格1／列4</x:v>
      </x:c>
      <x:c r="Q398" s="71" t="str">
        <x:v>1 | W01 | 100/N大同防颱百葉窗 | 500 | | 500 | 4 | 5,804 | 23,216 | 含不銹鋼紗網</x:v>
      </x:c>
      <x:c r="R398" s="71" t="str">
        <x:v>各廠商合約&amp; 報價\MD檔案\20241017 塑豐 防颱百葉窗.md</x:v>
      </x:c>
    </x:row>
    <x:row r="399">
      <x:c r="A399" s="69" t="str">
        <x:v>ITEM00395</x:v>
      </x:c>
      <x:c r="B399" s="69" t="str">
        <x:v>SRC029</x:v>
      </x:c>
      <x:c r="C399" s="69" t="str">
        <x:v>2023-2024</x:v>
      </x:c>
      <x:c r="D399" s="69" t="str">
        <x:v>total_or_tax</x:v>
      </x:c>
      <x:c r="E399" s="69" t="str">
        <x:v>MD2023_2024_028-T01R005</x:v>
      </x:c>
      <x:c r="F399" s="71" t="str">
        <x:v>各項合計 總樘數: 4 合計: 23,216營業稅: 1,161總計: 24,377</x:v>
      </x:c>
      <x:c r="G399" s="71" t="str">
        <x:v>各項合計 總樘數: 4 合計: 23,216營業稅: 1,161總計: 24,377</x:v>
      </x:c>
      <x:c r="H399" s="71" t="str">
        <x:v>文件未載明</x:v>
      </x:c>
      <x:c r="I399" s="72"/>
      <x:c r="J399" s="69" t="str">
        <x:v>各項合計 總樘數: 4 合計: 23,216營業稅: 1,161總計: 24,377</x:v>
      </x:c>
      <x:c r="K399" s="70"/>
      <x:c r="L399" s="69" t="str">
        <x:v>文件未載明</x:v>
      </x:c>
      <x:c r="M399" s="70"/>
      <x:c r="N399" s="69" t="str">
        <x:v>各項合計 總樘數: 4 合計: 23,216營業稅: 1,161總計: 24,377</x:v>
      </x:c>
      <x:c r="O399" s="71" t="str">
        <x:v>來源表頭對應</x:v>
      </x:c>
      <x:c r="P399" s="71" t="str">
        <x:v>HTML表格1／列5</x:v>
      </x:c>
      <x:c r="Q399" s="71" t="str">
        <x:v>各項合計 總樘數: 4 合計: 23,216營業稅: 1,161總計: 24,377 | 各項合計 總樘數: 4 合計: 23,216營業稅: 1,161總計: 24,377 | 各項合計 總樘數: 4 合計: 23,216營業稅: 1,161總計: 24,377 | 各項合計 總樘數: 4 合計: 23,216營業稅: 1,161總計: 24,377 | 各項合計 總樘數: 4 合計: 23,216營業稅: 1,161總計: 24,377 | 各項合計 總樘數: 4 合計: 23,216營業稅: 1,161總計: 24,377 | 各項合計 總樘數: 4 合計: 23,216營業稅: 1,1…（詳原文索引）</x:v>
      </x:c>
      <x:c r="R399" s="71" t="str">
        <x:v>各廠商合約&amp; 報價\MD檔案\20241017 塑豐 防颱百葉窗.md</x:v>
      </x:c>
    </x:row>
    <x:row r="400">
      <x:c r="A400" s="69" t="str">
        <x:v>ITEM00396</x:v>
      </x:c>
      <x:c r="B400" s="69" t="str">
        <x:v>SRC029</x:v>
      </x:c>
      <x:c r="C400" s="69" t="str">
        <x:v>2023-2024</x:v>
      </x:c>
      <x:c r="D400" s="69" t="str">
        <x:v>total_or_tax</x:v>
      </x:c>
      <x:c r="E400" s="69" t="str">
        <x:v>MD2023_2024_028-T01R006</x:v>
      </x:c>
      <x:c r="F400" s="71" t="str">
        <x:v>總金額新台幣(NT$):貳萬肆仟參佰柒拾柒元整附一.以上採用大同10cm系列產品,表面處理採粉體咖啡色(8195)系列,若採用其它色系價格另議。註二.以上價格含本體、紗窗、按裝(點焊施工)、塞水路(一般型,雙面矽利康)、崁補(水泥及砂由業主提供並提供至所需樓層),但不含玻璃、清潔及吊車費。三.以上百葉窗為防颱百葉窗含紗…（詳原文索引）</x:v>
      </x:c>
      <x:c r="G400" s="71" t="str">
        <x:v>總金額新台幣(NT$):貳萬肆仟參佰柒拾柒元整附一.以上採用大同10cm系列產品,表面處理採粉體咖啡色(8195)系列,若採用其它色系價格另議。註二.以上價格含本體、紗窗、按裝(點焊施工)、塞水路(一般型,雙面矽利康)、崁補(水泥及砂由業主提供並提供至所需樓層),但不含玻璃、清潔及吊車費。三.以上百葉窗為防颱百葉窗含紗窗(編白鐵網),若要更改為活動百葉則價格另議。</x:v>
      </x:c>
      <x:c r="H400" s="71" t="str">
        <x:v>文件未載明</x:v>
      </x:c>
      <x:c r="I400" s="72"/>
      <x:c r="J400" s="69" t="str">
        <x:v>總金額新台幣(NT$):貳萬肆仟參佰柒拾柒元整附一.以上採用大同10cm系列產品,表面處理採粉體咖啡色(8195)系列,若採用其它色系價格另議。註二.以上價格含本體、紗窗、按裝(點焊施工)、塞水路(一般型,雙面矽利康)、崁補(水泥及砂由業主提供並提供至所需樓層),但不含玻璃、清潔及吊車費。三.以上百葉窗為防颱百葉窗含紗窗(編白鐵網),若要更改為活動百葉則價格另議。</x:v>
      </x:c>
      <x:c r="K400" s="70"/>
      <x:c r="L400" s="69" t="str">
        <x:v>文件未載明</x:v>
      </x:c>
      <x:c r="M400" s="70"/>
      <x:c r="N400" s="69" t="str">
        <x:v>總金額新台幣(NT$):貳萬肆仟參佰柒拾柒元整附一.以上採用大同10cm系列產品,表面處理採粉體咖啡色(8195)系列,若採用其它色系價格另議。註二.以上價格含本體、紗窗、按裝(點焊施工)、塞水路(一般型,雙面矽利康)、崁補(水泥及砂由業主提供並提供至所需樓層),但不含玻璃、清潔及吊車費。三.以上百葉窗為防颱百葉窗含紗窗(編白鐵網),若要更改為活動百葉則價格另議。</x:v>
      </x:c>
      <x:c r="O400" s="71" t="str">
        <x:v>來源表頭對應</x:v>
      </x:c>
      <x:c r="P400" s="71" t="str">
        <x:v>HTML表格1／列6</x:v>
      </x:c>
      <x:c r="Q400" s="71" t="str">
        <x:v>總金額新台幣(NT$):貳萬肆仟參佰柒拾柒元整附一.以上採用大同10cm系列產品,表面處理採粉體咖啡色(8195)系列,若採用其它色系價格另議。註二.以上價格含本體、紗窗、按裝(點焊施工)、塞水路(一般型,雙面矽利康)、崁補(水泥及砂由業主提供並提供至所需樓層),但不含玻璃、清潔及吊車費。三.以上百葉窗為防颱百葉窗含紗窗(編白鐵網),若要更改為活動百葉則價格另議。 | 總金額新台幣(NT$):貳萬肆仟參佰柒拾柒元整附一.以上採用大同10cm系列產品,表面處理採粉體咖啡色(8195)系列,若採用其它色系價格另議。註二.以上價格含本體、紗窗、按裝(點焊施工)、塞水路(一般型,雙面矽利康)、崁補(水…（詳原文索引）</x:v>
      </x:c>
      <x:c r="R400" s="71" t="str">
        <x:v>各廠商合約&amp; 報價\MD檔案\20241017 塑豐 防颱百葉窗.md</x:v>
      </x:c>
    </x:row>
    <x:row r="401">
      <x:c r="A401" s="69" t="str">
        <x:v>ITEM00397</x:v>
      </x:c>
      <x:c r="B401" s="69" t="str">
        <x:v>SRC030</x:v>
      </x:c>
      <x:c r="C401" s="69" t="str">
        <x:v>2023-2024</x:v>
      </x:c>
      <x:c r="D401" s="69" t="str">
        <x:v>line_item</x:v>
      </x:c>
      <x:c r="E401" s="69" t="str">
        <x:v>MD2023_2024_029-T01R003</x:v>
      </x:c>
      <x:c r="F401" s="71" t="str">
        <x:v>右側鋁格柵</x:v>
      </x:c>
      <x:c r="G401" s="71" t="str">
        <x:v>右側鋁格柵</x:v>
      </x:c>
      <x:c r="H401" s="71" t="str">
        <x:v>文件未載明</x:v>
      </x:c>
      <x:c r="I401" s="72"/>
      <x:c r="J401" s="69" t="str">
        <x:v>文件未載明</x:v>
      </x:c>
      <x:c r="K401" s="70"/>
      <x:c r="L401" s="69" t="str">
        <x:v>文件未載明</x:v>
      </x:c>
      <x:c r="M401" s="70" t="n">
        <x:v>335112</x:v>
      </x:c>
      <x:c r="N401" s="69" t="str">
        <x:v>335,112</x:v>
      </x:c>
      <x:c r="O401" s="71" t="str">
        <x:v>來源表頭對應</x:v>
      </x:c>
      <x:c r="P401" s="71" t="str">
        <x:v>HTML表格1／列3</x:v>
      </x:c>
      <x:c r="Q401" s="71" t="str">
        <x:v>1 | 右側鋁格柵 | 206.6 | 2040 | 粉體塗裝(待決) | 1 | 335,112 | 335,112 |</x:v>
      </x:c>
      <x:c r="R401" s="71" t="str">
        <x:v>各廠商合約&amp; 報價\MD檔案\20241126 塑豐 格柵.md</x:v>
      </x:c>
    </x:row>
    <x:row r="402">
      <x:c r="A402" s="69" t="str">
        <x:v>ITEM00398</x:v>
      </x:c>
      <x:c r="B402" s="69" t="str">
        <x:v>SRC030</x:v>
      </x:c>
      <x:c r="C402" s="69" t="str">
        <x:v>2023-2024</x:v>
      </x:c>
      <x:c r="D402" s="69" t="str">
        <x:v>line_item</x:v>
      </x:c>
      <x:c r="E402" s="69" t="str">
        <x:v>MD2023_2024_029-T01R004</x:v>
      </x:c>
      <x:c r="F402" s="71" t="str">
        <x:v>右側鋁格柵</x:v>
      </x:c>
      <x:c r="G402" s="71" t="str">
        <x:v>右側鋁格柵</x:v>
      </x:c>
      <x:c r="H402" s="71" t="str">
        <x:v>文件未載明</x:v>
      </x:c>
      <x:c r="I402" s="72"/>
      <x:c r="J402" s="69" t="str">
        <x:v>文件未載明</x:v>
      </x:c>
      <x:c r="K402" s="70"/>
      <x:c r="L402" s="69" t="str">
        <x:v>文件未載明</x:v>
      </x:c>
      <x:c r="M402" s="70" t="n">
        <x:v>175036</x:v>
      </x:c>
      <x:c r="N402" s="69" t="str">
        <x:v>175,036</x:v>
      </x:c>
      <x:c r="O402" s="71" t="str">
        <x:v>來源表頭對應</x:v>
      </x:c>
      <x:c r="P402" s="71" t="str">
        <x:v>HTML表格1／列4</x:v>
      </x:c>
      <x:c r="Q402" s="71" t="str">
        <x:v>2 | 右側鋁格柵 | 105.2 | 2040 | 粉體塗裝(待決) | 1 | 175,036 | 175,036 |</x:v>
      </x:c>
      <x:c r="R402" s="71" t="str">
        <x:v>各廠商合約&amp; 報價\MD檔案\20241126 塑豐 格柵.md</x:v>
      </x:c>
    </x:row>
    <x:row r="403">
      <x:c r="A403" s="69" t="str">
        <x:v>ITEM00399</x:v>
      </x:c>
      <x:c r="B403" s="69" t="str">
        <x:v>SRC030</x:v>
      </x:c>
      <x:c r="C403" s="69" t="str">
        <x:v>2023-2024</x:v>
      </x:c>
      <x:c r="D403" s="69" t="str">
        <x:v>line_item</x:v>
      </x:c>
      <x:c r="E403" s="69" t="str">
        <x:v>MD2023_2024_029-T01R005</x:v>
      </x:c>
      <x:c r="F403" s="71" t="str">
        <x:v>背向鋁格柵</x:v>
      </x:c>
      <x:c r="G403" s="71" t="str">
        <x:v>背向鋁格柵</x:v>
      </x:c>
      <x:c r="H403" s="71" t="str">
        <x:v>文件未載明</x:v>
      </x:c>
      <x:c r="I403" s="72"/>
      <x:c r="J403" s="69" t="str">
        <x:v>文件未載明</x:v>
      </x:c>
      <x:c r="K403" s="70"/>
      <x:c r="L403" s="69" t="str">
        <x:v>文件未載明</x:v>
      </x:c>
      <x:c r="M403" s="70" t="n">
        <x:v>39811</x:v>
      </x:c>
      <x:c r="N403" s="69" t="str">
        <x:v>39,811</x:v>
      </x:c>
      <x:c r="O403" s="71" t="str">
        <x:v>來源表頭對應</x:v>
      </x:c>
      <x:c r="P403" s="71" t="str">
        <x:v>HTML表格1／列5</x:v>
      </x:c>
      <x:c r="Q403" s="71" t="str">
        <x:v>3 | 背向鋁格柵 | 351 | 140 | 粉體塗裝(待決) | 1 | 39,811 | 39,811 |</x:v>
      </x:c>
      <x:c r="R403" s="71" t="str">
        <x:v>各廠商合約&amp; 報價\MD檔案\20241126 塑豐 格柵.md</x:v>
      </x:c>
    </x:row>
    <x:row r="404">
      <x:c r="A404" s="69" t="str">
        <x:v>ITEM00400</x:v>
      </x:c>
      <x:c r="B404" s="69" t="str">
        <x:v>SRC030</x:v>
      </x:c>
      <x:c r="C404" s="69" t="str">
        <x:v>2023-2024</x:v>
      </x:c>
      <x:c r="D404" s="69" t="str">
        <x:v>line_item</x:v>
      </x:c>
      <x:c r="E404" s="69" t="str">
        <x:v>MD2023_2024_029-T01R006</x:v>
      </x:c>
      <x:c r="F404" s="71" t="str">
        <x:v>背向鋁格柵</x:v>
      </x:c>
      <x:c r="G404" s="71" t="str">
        <x:v>背向鋁格柵</x:v>
      </x:c>
      <x:c r="H404" s="71" t="str">
        <x:v>文件未載明</x:v>
      </x:c>
      <x:c r="I404" s="72"/>
      <x:c r="J404" s="69" t="str">
        <x:v>文件未載明</x:v>
      </x:c>
      <x:c r="K404" s="70"/>
      <x:c r="L404" s="69" t="str">
        <x:v>文件未載明</x:v>
      </x:c>
      <x:c r="M404" s="70" t="n">
        <x:v>42628</x:v>
      </x:c>
      <x:c r="N404" s="69" t="str">
        <x:v>42,628</x:v>
      </x:c>
      <x:c r="O404" s="71" t="str">
        <x:v>來源表頭對應</x:v>
      </x:c>
      <x:c r="P404" s="71" t="str">
        <x:v>HTML表格1／列6</x:v>
      </x:c>
      <x:c r="Q404" s="71" t="str">
        <x:v>4 | 背向鋁格柵 | 351 | 150 | 粉體塗裝(待決) | 1 | 42,628 | 42,628 |</x:v>
      </x:c>
      <x:c r="R404" s="71" t="str">
        <x:v>各廠商合約&amp; 報價\MD檔案\20241126 塑豐 格柵.md</x:v>
      </x:c>
    </x:row>
    <x:row r="405">
      <x:c r="A405" s="69" t="str">
        <x:v>ITEM00401</x:v>
      </x:c>
      <x:c r="B405" s="69" t="str">
        <x:v>SRC030</x:v>
      </x:c>
      <x:c r="C405" s="69" t="str">
        <x:v>2023-2024</x:v>
      </x:c>
      <x:c r="D405" s="69" t="str">
        <x:v>line_item</x:v>
      </x:c>
      <x:c r="E405" s="69" t="str">
        <x:v>MD2023_2024_029-T01R007</x:v>
      </x:c>
      <x:c r="F405" s="71" t="str">
        <x:v>左側鋁格柵</x:v>
      </x:c>
      <x:c r="G405" s="71" t="str">
        <x:v>左側鋁格柵</x:v>
      </x:c>
      <x:c r="H405" s="71" t="str">
        <x:v>文件未載明</x:v>
      </x:c>
      <x:c r="I405" s="72"/>
      <x:c r="J405" s="69" t="str">
        <x:v>文件未載明</x:v>
      </x:c>
      <x:c r="K405" s="70"/>
      <x:c r="L405" s="69" t="str">
        <x:v>文件未載明</x:v>
      </x:c>
      <x:c r="M405" s="70" t="n">
        <x:v>373678</x:v>
      </x:c>
      <x:c r="N405" s="69" t="str">
        <x:v>373,678</x:v>
      </x:c>
      <x:c r="O405" s="71" t="str">
        <x:v>來源表頭對應</x:v>
      </x:c>
      <x:c r="P405" s="71" t="str">
        <x:v>HTML表格1／列7</x:v>
      </x:c>
      <x:c r="Q405" s="71" t="str">
        <x:v>5 | 左側鋁格柵 | 105.2 | 2040 | 粉體塗裝(待決) | 2 | 186,839 | 373,678 |</x:v>
      </x:c>
      <x:c r="R405" s="71" t="str">
        <x:v>各廠商合約&amp; 報價\MD檔案\20241126 塑豐 格柵.md</x:v>
      </x:c>
    </x:row>
    <x:row r="406">
      <x:c r="A406" s="69" t="str">
        <x:v>ITEM00402</x:v>
      </x:c>
      <x:c r="B406" s="69" t="str">
        <x:v>SRC030</x:v>
      </x:c>
      <x:c r="C406" s="69" t="str">
        <x:v>2023-2024</x:v>
      </x:c>
      <x:c r="D406" s="69" t="str">
        <x:v>line_item</x:v>
      </x:c>
      <x:c r="E406" s="69" t="str">
        <x:v>MD2023_2024_029-T01R008</x:v>
      </x:c>
      <x:c r="F406" s="71" t="str">
        <x:v>左側鋁格柵</x:v>
      </x:c>
      <x:c r="G406" s="71" t="str">
        <x:v>左側鋁格柵</x:v>
      </x:c>
      <x:c r="H406" s="71" t="str">
        <x:v>文件未載明</x:v>
      </x:c>
      <x:c r="I406" s="72"/>
      <x:c r="J406" s="69" t="str">
        <x:v>文件未載明</x:v>
      </x:c>
      <x:c r="K406" s="70"/>
      <x:c r="L406" s="69" t="str">
        <x:v>文件未載明</x:v>
      </x:c>
      <x:c r="M406" s="70" t="n">
        <x:v>57309</x:v>
      </x:c>
      <x:c r="N406" s="69" t="str">
        <x:v>57,309</x:v>
      </x:c>
      <x:c r="O406" s="71" t="str">
        <x:v>來源表頭對應</x:v>
      </x:c>
      <x:c r="P406" s="71" t="str">
        <x:v>HTML表格1／列8</x:v>
      </x:c>
      <x:c r="Q406" s="71" t="str">
        <x:v>6 | 左側鋁格柵 | 510 | 140 | 粉體塗裝(待決) | 1 | 57,309 | 57,309 |</x:v>
      </x:c>
      <x:c r="R406" s="71" t="str">
        <x:v>各廠商合約&amp; 報價\MD檔案\20241126 塑豐 格柵.md</x:v>
      </x:c>
    </x:row>
    <x:row r="407">
      <x:c r="A407" s="69" t="str">
        <x:v>ITEM00403</x:v>
      </x:c>
      <x:c r="B407" s="69" t="str">
        <x:v>SRC030</x:v>
      </x:c>
      <x:c r="C407" s="69" t="str">
        <x:v>2023-2024</x:v>
      </x:c>
      <x:c r="D407" s="69" t="str">
        <x:v>line_item</x:v>
      </x:c>
      <x:c r="E407" s="69" t="str">
        <x:v>MD2023_2024_029-T01R009</x:v>
      </x:c>
      <x:c r="F407" s="71" t="str">
        <x:v>左側鋁格柵</x:v>
      </x:c>
      <x:c r="G407" s="71" t="str">
        <x:v>左側鋁格柵</x:v>
      </x:c>
      <x:c r="H407" s="71" t="str">
        <x:v>文件未載明</x:v>
      </x:c>
      <x:c r="I407" s="72"/>
      <x:c r="J407" s="69" t="str">
        <x:v>文件未載明</x:v>
      </x:c>
      <x:c r="K407" s="70"/>
      <x:c r="L407" s="69" t="str">
        <x:v>文件未載明</x:v>
      </x:c>
      <x:c r="M407" s="70" t="n">
        <x:v>62140</x:v>
      </x:c>
      <x:c r="N407" s="69" t="str">
        <x:v>62,140</x:v>
      </x:c>
      <x:c r="O407" s="71" t="str">
        <x:v>來源表頭對應</x:v>
      </x:c>
      <x:c r="P407" s="71" t="str">
        <x:v>HTML表格1／列9</x:v>
      </x:c>
      <x:c r="Q407" s="71" t="str">
        <x:v>7 | 左側鋁格柵 | 510 | 150 | 粉體塗裝(待決) | 1 | 62,140 | 62,140 |</x:v>
      </x:c>
      <x:c r="R407" s="71" t="str">
        <x:v>各廠商合約&amp; 報價\MD檔案\20241126 塑豐 格柵.md</x:v>
      </x:c>
    </x:row>
    <x:row r="408">
      <x:c r="A408" s="69" t="str">
        <x:v>ITEM00404</x:v>
      </x:c>
      <x:c r="B408" s="69" t="str">
        <x:v>SRC030</x:v>
      </x:c>
      <x:c r="C408" s="69" t="str">
        <x:v>2023-2024</x:v>
      </x:c>
      <x:c r="D408" s="69" t="str">
        <x:v>line_item</x:v>
      </x:c>
      <x:c r="E408" s="69" t="str">
        <x:v>MD2023_2024_029-T01R010</x:v>
      </x:c>
      <x:c r="F408" s="71" t="str">
        <x:v>右側鋁格柵</x:v>
      </x:c>
      <x:c r="G408" s="71" t="str">
        <x:v>右側鋁格柵</x:v>
      </x:c>
      <x:c r="H408" s="71" t="str">
        <x:v>文件未載明</x:v>
      </x:c>
      <x:c r="I408" s="72"/>
      <x:c r="J408" s="69" t="str">
        <x:v>文件未載明</x:v>
      </x:c>
      <x:c r="K408" s="70"/>
      <x:c r="L408" s="69" t="str">
        <x:v>文件未載明</x:v>
      </x:c>
      <x:c r="M408" s="70" t="n">
        <x:v>62140</x:v>
      </x:c>
      <x:c r="N408" s="69" t="str">
        <x:v>62,140</x:v>
      </x:c>
      <x:c r="O408" s="71" t="str">
        <x:v>來源表頭對應</x:v>
      </x:c>
      <x:c r="P408" s="71" t="str">
        <x:v>HTML表格1／列10</x:v>
      </x:c>
      <x:c r="Q408" s="71" t="str">
        <x:v>8 | 右側鋁格柵 | 510 | 150 | 粉體塗裝(待決) | 1 | 62,140 | 62,140 |</x:v>
      </x:c>
      <x:c r="R408" s="71" t="str">
        <x:v>各廠商合約&amp; 報價\MD檔案\20241126 塑豐 格柵.md</x:v>
      </x:c>
    </x:row>
    <x:row r="409">
      <x:c r="A409" s="69" t="str">
        <x:v>ITEM00405</x:v>
      </x:c>
      <x:c r="B409" s="69" t="str">
        <x:v>SRC030</x:v>
      </x:c>
      <x:c r="C409" s="69" t="str">
        <x:v>2023-2024</x:v>
      </x:c>
      <x:c r="D409" s="69" t="str">
        <x:v>note_or_description</x:v>
      </x:c>
      <x:c r="E409" s="69" t="str">
        <x:v>MD2023_2024_029-T01R011</x:v>
      </x:c>
      <x:c r="F409" s="71" t="str">
        <x:v>以下空白</x:v>
      </x:c>
      <x:c r="G409" s="71" t="str">
        <x:v>以下空白</x:v>
      </x:c>
      <x:c r="H409" s="71" t="str">
        <x:v>文件未載明</x:v>
      </x:c>
      <x:c r="I409" s="72"/>
      <x:c r="J409" s="69" t="str">
        <x:v>文件未載明</x:v>
      </x:c>
      <x:c r="K409" s="70"/>
      <x:c r="L409" s="69" t="str">
        <x:v>文件未載明</x:v>
      </x:c>
      <x:c r="M409" s="70"/>
      <x:c r="N409" s="69" t="str">
        <x:v>-</x:v>
      </x:c>
      <x:c r="O409" s="71" t="str">
        <x:v>來源表頭對應</x:v>
      </x:c>
      <x:c r="P409" s="71" t="str">
        <x:v>HTML表格1／列11</x:v>
      </x:c>
      <x:c r="Q409" s="71" t="str">
        <x:v>| 以下空白 | 以下空白 | | | | - | - |</x:v>
      </x:c>
      <x:c r="R409" s="71" t="str">
        <x:v>各廠商合約&amp; 報價\MD檔案\20241126 塑豐 格柵.md</x:v>
      </x:c>
    </x:row>
    <x:row r="410">
      <x:c r="A410" s="69" t="str">
        <x:v>ITEM00406</x:v>
      </x:c>
      <x:c r="B410" s="69" t="str">
        <x:v>SRC030</x:v>
      </x:c>
      <x:c r="C410" s="69" t="str">
        <x:v>2023-2024</x:v>
      </x:c>
      <x:c r="D410" s="69" t="str">
        <x:v>total_or_tax</x:v>
      </x:c>
      <x:c r="E410" s="69" t="str">
        <x:v>MD2023_2024_029-T01R012</x:v>
      </x:c>
      <x:c r="F410" s="71" t="str">
        <x:v>小計</x:v>
      </x:c>
      <x:c r="G410" s="71" t="str">
        <x:v>小計</x:v>
      </x:c>
      <x:c r="H410" s="71" t="str">
        <x:v>文件未載明</x:v>
      </x:c>
      <x:c r="I410" s="72"/>
      <x:c r="J410" s="69" t="str">
        <x:v>文件未載明</x:v>
      </x:c>
      <x:c r="K410" s="70"/>
      <x:c r="L410" s="69" t="str">
        <x:v>文件未載明</x:v>
      </x:c>
      <x:c r="M410" s="70" t="n">
        <x:v>1147854</x:v>
      </x:c>
      <x:c r="N410" s="69" t="str">
        <x:v>1,147,854</x:v>
      </x:c>
      <x:c r="O410" s="71" t="str">
        <x:v>來源表頭對應</x:v>
      </x:c>
      <x:c r="P410" s="71" t="str">
        <x:v>HTML表格1／列12</x:v>
      </x:c>
      <x:c r="Q410" s="71" t="str">
        <x:v>小計 | 小計 | 小計 | 小計 | | 9 | | 1,147,854 |</x:v>
      </x:c>
      <x:c r="R410" s="71" t="str">
        <x:v>各廠商合約&amp; 報價\MD檔案\20241126 塑豐 格柵.md</x:v>
      </x:c>
    </x:row>
    <x:row r="411">
      <x:c r="A411" s="69" t="str">
        <x:v>ITEM00407</x:v>
      </x:c>
      <x:c r="B411" s="69" t="str">
        <x:v>SRC031</x:v>
      </x:c>
      <x:c r="C411" s="69" t="str">
        <x:v>2023-2024</x:v>
      </x:c>
      <x:c r="D411" s="69" t="str">
        <x:v>line_item</x:v>
      </x:c>
      <x:c r="E411" s="69" t="str">
        <x:v>MD2023_2024_030-T01R003</x:v>
      </x:c>
      <x:c r="F411" s="71" t="str">
        <x:v>文件未載明</x:v>
      </x:c>
      <x:c r="G411" s="71" t="str">
        <x:v>鍍鋅烤漆10cm框-含HL門檻鍍鋅烤漆鋼製流蘇壓花防盜門 EC-013</x:v>
      </x:c>
      <x:c r="H411" s="71" t="str">
        <x:v>樘</x:v>
      </x:c>
      <x:c r="I411" s="72" t="n">
        <x:v>2</x:v>
      </x:c>
      <x:c r="J411" s="69" t="str">
        <x:v>2</x:v>
      </x:c>
      <x:c r="K411" s="70" t="n">
        <x:v>37619</x:v>
      </x:c>
      <x:c r="L411" s="69" t="str">
        <x:v>37,619</x:v>
      </x:c>
      <x:c r="M411" s="70" t="n">
        <x:v>75238</x:v>
      </x:c>
      <x:c r="N411" s="69" t="str">
        <x:v>75,238</x:v>
      </x:c>
      <x:c r="O411" s="71" t="str">
        <x:v>表頭未能對應品項欄，待確認</x:v>
      </x:c>
      <x:c r="P411" s="71" t="str">
        <x:v>HTML表格1／列3</x:v>
      </x:c>
      <x:c r="Q411" s="71" t="str">
        <x:v>D01 | 鍍鋅烤漆10cm框-含HL門檻鍍鋅烤漆鋼製流蘇壓花防盜門 EC-013 | 120 | | 210 | 粉體烤漆#5 砂面鐵灰 | 2 | 樘 | 37,619 | 75,238 | 含東鐵 POWER 570B 60CM 不銹鋼亮面把手、東鐵 POWER 185 門弓器、旗型鉸鍊、門檔</x:v>
      </x:c>
      <x:c r="R411" s="71" t="str">
        <x:v>各廠商合約&amp; 報價\MD檔案\20241211 塑豐 鍍鋅烤漆門 換手把.md</x:v>
      </x:c>
    </x:row>
    <x:row r="412">
      <x:c r="A412" s="69" t="str">
        <x:v>ITEM00408</x:v>
      </x:c>
      <x:c r="B412" s="69" t="str">
        <x:v>SRC031</x:v>
      </x:c>
      <x:c r="C412" s="69" t="str">
        <x:v>2023-2024</x:v>
      </x:c>
      <x:c r="D412" s="69" t="str">
        <x:v>other_table_row</x:v>
      </x:c>
      <x:c r="E412" s="69" t="str">
        <x:v>MD2023_2024_030-T01R004</x:v>
      </x:c>
      <x:c r="F412" s="71" t="str">
        <x:v>文件未載明</x:v>
      </x:c>
      <x:c r="G412" s="71" t="str">
        <x:v>以下空白</x:v>
      </x:c>
      <x:c r="H412" s="71" t="str"/>
      <x:c r="I412" s="72"/>
      <x:c r="J412" s="69" t="str"/>
      <x:c r="K412" s="70"/>
      <x:c r="L412" s="69" t="str">
        <x:v>-</x:v>
      </x:c>
      <x:c r="M412" s="70"/>
      <x:c r="N412" s="69" t="str">
        <x:v>-</x:v>
      </x:c>
      <x:c r="O412" s="71" t="str">
        <x:v>表頭未能對應品項欄，待確認</x:v>
      </x:c>
      <x:c r="P412" s="71" t="str">
        <x:v>HTML表格1／列4</x:v>
      </x:c>
      <x:c r="Q412" s="71" t="str">
        <x:v>| 以下空白 | | | | | | | - | - |</x:v>
      </x:c>
      <x:c r="R412" s="71" t="str">
        <x:v>各廠商合約&amp; 報價\MD檔案\20241211 塑豐 鍍鋅烤漆門 換手把.md</x:v>
      </x:c>
    </x:row>
    <x:row r="413">
      <x:c r="A413" s="69" t="str">
        <x:v>ITEM00409</x:v>
      </x:c>
      <x:c r="B413" s="69" t="str">
        <x:v>SRC031</x:v>
      </x:c>
      <x:c r="C413" s="69" t="str">
        <x:v>2023-2024</x:v>
      </x:c>
      <x:c r="D413" s="69" t="str">
        <x:v>total_or_tax</x:v>
      </x:c>
      <x:c r="E413" s="69" t="str">
        <x:v>MD2023_2024_030-T01R005</x:v>
      </x:c>
      <x:c r="F413" s="71" t="str">
        <x:v>文件未載明</x:v>
      </x:c>
      <x:c r="G413" s="71" t="str">
        <x:v>小計</x:v>
      </x:c>
      <x:c r="H413" s="71" t="str"/>
      <x:c r="I413" s="72" t="n">
        <x:v>2</x:v>
      </x:c>
      <x:c r="J413" s="69" t="str">
        <x:v>2</x:v>
      </x:c>
      <x:c r="K413" s="70"/>
      <x:c r="L413" s="69" t="str"/>
      <x:c r="M413" s="70" t="n">
        <x:v>75238</x:v>
      </x:c>
      <x:c r="N413" s="69" t="str">
        <x:v>75,238</x:v>
      </x:c>
      <x:c r="O413" s="71" t="str">
        <x:v>表頭未能對應品項欄，待確認</x:v>
      </x:c>
      <x:c r="P413" s="71" t="str">
        <x:v>HTML表格1／列5</x:v>
      </x:c>
      <x:c r="Q413" s="71" t="str">
        <x:v>小計 | 小計 | 小計 | 小計 | 小計 | | 2 | | | 75,238 |</x:v>
      </x:c>
      <x:c r="R413" s="71" t="str">
        <x:v>各廠商合約&amp; 報價\MD檔案\20241211 塑豐 鍍鋅烤漆門 換手把.md</x:v>
      </x:c>
    </x:row>
    <x:row r="414">
      <x:c r="A414" s="69" t="str">
        <x:v>ITEM00410</x:v>
      </x:c>
      <x:c r="B414" s="69" t="str">
        <x:v>SRC032</x:v>
      </x:c>
      <x:c r="C414" s="69" t="str">
        <x:v>2025-2026</x:v>
      </x:c>
      <x:c r="D414" s="69" t="str">
        <x:v>detail</x:v>
      </x:c>
      <x:c r="E414" s="69" t="str">
        <x:v>文件未載明</x:v>
      </x:c>
      <x:c r="F414" s="71" t="str">
        <x:v>手機:蘇小姐0975-210366</x:v>
      </x:c>
      <x:c r="G414" s="71" t="str">
        <x:v>文件未載明</x:v>
      </x:c>
      <x:c r="H414" s="71" t="str">
        <x:v>文件未載明</x:v>
      </x:c>
      <x:c r="I414" s="72"/>
      <x:c r="J414" s="69" t="str">
        <x:v>文件未載明</x:v>
      </x:c>
      <x:c r="K414" s="70"/>
      <x:c r="L414" s="69" t="str">
        <x:v>文件未載明</x:v>
      </x:c>
      <x:c r="M414" s="70"/>
      <x:c r="N414" s="69" t="str">
        <x:v>文件未載明</x:v>
      </x:c>
      <x:c r="O414" s="71" t="str">
        <x:v>文件未載明</x:v>
      </x:c>
      <x:c r="P414" s="71" t="str">
        <x:v>HTML table 1 row 1</x:v>
      </x:c>
      <x:c r="Q414" s="71" t="str">
        <x:v>手機:蘇小姐0975-210366 | V | 地點:後龍鎮新東路116號旁</x:v>
      </x:c>
      <x:c r="R414" s="71" t="str">
        <x:v>各廠商合約&amp; 報價\MD檔案\20250212 智慧城植草磚、透水磚.md</x:v>
      </x:c>
    </x:row>
    <x:row r="415">
      <x:c r="A415" s="69" t="str">
        <x:v>ITEM00411</x:v>
      </x:c>
      <x:c r="B415" s="69" t="str">
        <x:v>SRC032</x:v>
      </x:c>
      <x:c r="C415" s="69" t="str">
        <x:v>2025-2026</x:v>
      </x:c>
      <x:c r="D415" s="69" t="str">
        <x:v>header</x:v>
      </x:c>
      <x:c r="E415" s="69" t="str">
        <x:v>文件未載明</x:v>
      </x:c>
      <x:c r="F415" s="71" t="str">
        <x:v>規格名稱</x:v>
      </x:c>
      <x:c r="G415" s="71" t="str">
        <x:v>規格名稱</x:v>
      </x:c>
      <x:c r="H415" s="71" t="str">
        <x:v>單位</x:v>
      </x:c>
      <x:c r="I415" s="72"/>
      <x:c r="J415" s="69" t="str">
        <x:v>數量</x:v>
      </x:c>
      <x:c r="K415" s="70"/>
      <x:c r="L415" s="69" t="str">
        <x:v>單價</x:v>
      </x:c>
      <x:c r="M415" s="70"/>
      <x:c r="N415" s="69" t="str">
        <x:v>金額</x:v>
      </x:c>
      <x:c r="O415" s="71" t="str">
        <x:v>備註</x:v>
      </x:c>
      <x:c r="P415" s="71" t="str">
        <x:v>HTML table 1 row 2</x:v>
      </x:c>
      <x:c r="Q415" s="71" t="str">
        <x:v>規格名稱 | 數量 | 單位 | 單價 | 金額 | 備註</x:v>
      </x:c>
      <x:c r="R415" s="71" t="str">
        <x:v>各廠商合約&amp; 報價\MD檔案\20250212 智慧城植草磚、透水磚.md</x:v>
      </x:c>
    </x:row>
    <x:row r="416">
      <x:c r="A416" s="69" t="str">
        <x:v>ITEM00412</x:v>
      </x:c>
      <x:c r="B416" s="69" t="str">
        <x:v>SRC032</x:v>
      </x:c>
      <x:c r="C416" s="69" t="str">
        <x:v>2025-2026</x:v>
      </x:c>
      <x:c r="D416" s="69" t="str">
        <x:v>detail</x:v>
      </x:c>
      <x:c r="E416" s="69" t="str">
        <x:v>文件未載明</x:v>
      </x:c>
      <x:c r="F416" s="71" t="str">
        <x:v>雙八植草磚</x:v>
      </x:c>
      <x:c r="G416" s="71" t="str">
        <x:v>雙八植草磚</x:v>
      </x:c>
      <x:c r="H416" s="71" t="str">
        <x:v>m2</x:v>
      </x:c>
      <x:c r="I416" s="72" t="n">
        <x:v>62.63</x:v>
      </x:c>
      <x:c r="J416" s="69" t="str">
        <x:v>62.63</x:v>
      </x:c>
      <x:c r="K416" s="70" t="n">
        <x:v>550</x:v>
      </x:c>
      <x:c r="L416" s="69" t="str">
        <x:v>550</x:v>
      </x:c>
      <x:c r="M416" s="70" t="n">
        <x:v>34447</x:v>
      </x:c>
      <x:c r="N416" s="69" t="str">
        <x:v>34,447</x:v>
      </x:c>
      <x:c r="O416" s="71" t="str">
        <x:v>此為業主提共數量尺寸:24*24*8CM</x:v>
      </x:c>
      <x:c r="P416" s="71" t="str">
        <x:v>HTML table 1 row 3</x:v>
      </x:c>
      <x:c r="Q416" s="71" t="str">
        <x:v>雙八植草磚 | 62.63 | m2 | 550 | 34,447 | 此為業主提共數量尺寸:24*24*8CM</x:v>
      </x:c>
      <x:c r="R416" s="71" t="str">
        <x:v>各廠商合約&amp; 報價\MD檔案\20250212 智慧城植草磚、透水磚.md</x:v>
      </x:c>
    </x:row>
    <x:row r="417">
      <x:c r="A417" s="69" t="str">
        <x:v>ITEM00413</x:v>
      </x:c>
      <x:c r="B417" s="69" t="str">
        <x:v>SRC032</x:v>
      </x:c>
      <x:c r="C417" s="69" t="str">
        <x:v>2025-2026</x:v>
      </x:c>
      <x:c r="D417" s="69" t="str">
        <x:v>detail</x:v>
      </x:c>
      <x:c r="E417" s="69" t="str">
        <x:v>文件未載明</x:v>
      </x:c>
      <x:c r="F417" s="71" t="str">
        <x:v>336透水磚(本色)</x:v>
      </x:c>
      <x:c r="G417" s="71" t="str">
        <x:v>336透水磚(本色)</x:v>
      </x:c>
      <x:c r="H417" s="71" t="str">
        <x:v>m2</x:v>
      </x:c>
      <x:c r="I417" s="72" t="n">
        <x:v>8.44</x:v>
      </x:c>
      <x:c r="J417" s="69" t="str">
        <x:v>8.44</x:v>
      </x:c>
      <x:c r="K417" s="70" t="n">
        <x:v>560</x:v>
      </x:c>
      <x:c r="L417" s="69" t="str">
        <x:v>560</x:v>
      </x:c>
      <x:c r="M417" s="70" t="n">
        <x:v>4726</x:v>
      </x:c>
      <x:c r="N417" s="69" t="str">
        <x:v>4,726</x:v>
      </x:c>
      <x:c r="O417" s="71" t="str">
        <x:v>此為業主提共數量尺寸:30*30*6CM</x:v>
      </x:c>
      <x:c r="P417" s="71" t="str">
        <x:v>HTML table 1 row 4</x:v>
      </x:c>
      <x:c r="Q417" s="71" t="str">
        <x:v>336透水磚(本色) | 8.44 | m2 | 560 | 4,726 | 此為業主提共數量尺寸:30*30*6CM</x:v>
      </x:c>
      <x:c r="R417" s="71" t="str">
        <x:v>各廠商合約&amp; 報價\MD檔案\20250212 智慧城植草磚、透水磚.md</x:v>
      </x:c>
    </x:row>
    <x:row r="418">
      <x:c r="A418" s="69" t="str">
        <x:v>ITEM00414</x:v>
      </x:c>
      <x:c r="B418" s="69" t="str">
        <x:v>SRC032</x:v>
      </x:c>
      <x:c r="C418" s="69" t="str">
        <x:v>2025-2026</x:v>
      </x:c>
      <x:c r="D418" s="69" t="str">
        <x:v>detail</x:v>
      </x:c>
      <x:c r="E418" s="69" t="str">
        <x:v>文件未載明</x:v>
      </x:c>
      <x:c r="F418" s="71" t="str">
        <x:v>15噸運費</x:v>
      </x:c>
      <x:c r="G418" s="71" t="str">
        <x:v>15噸運費</x:v>
      </x:c>
      <x:c r="H418" s="71" t="str">
        <x:v>越</x:v>
      </x:c>
      <x:c r="I418" s="72" t="n">
        <x:v>1</x:v>
      </x:c>
      <x:c r="J418" s="69" t="str">
        <x:v>1.00</x:v>
      </x:c>
      <x:c r="K418" s="70" t="n">
        <x:v>2500</x:v>
      </x:c>
      <x:c r="L418" s="69" t="str">
        <x:v>2500</x:v>
      </x:c>
      <x:c r="M418" s="70" t="n">
        <x:v>2500</x:v>
      </x:c>
      <x:c r="N418" s="69" t="str">
        <x:v>2,500</x:v>
      </x:c>
      <x:c r="O418" s="71" t="str">
        <x:v>以越計價</x:v>
      </x:c>
      <x:c r="P418" s="71" t="str">
        <x:v>HTML table 1 row 5</x:v>
      </x:c>
      <x:c r="Q418" s="71" t="str">
        <x:v>15噸運費 | 1.00 | 越 | 2500 | 2,500 | 以越計價</x:v>
      </x:c>
      <x:c r="R418" s="71" t="str">
        <x:v>各廠商合約&amp; 報價\MD檔案\20250212 智慧城植草磚、透水磚.md</x:v>
      </x:c>
    </x:row>
    <x:row r="419">
      <x:c r="A419" s="69" t="str">
        <x:v>ITEM00415</x:v>
      </x:c>
      <x:c r="B419" s="69" t="str">
        <x:v>SRC032</x:v>
      </x:c>
      <x:c r="C419" s="69" t="str">
        <x:v>2025-2026</x:v>
      </x:c>
      <x:c r="D419" s="69" t="str">
        <x:v>detail</x:v>
      </x:c>
      <x:c r="E419" s="69" t="str">
        <x:v>文件未載明</x:v>
      </x:c>
      <x:c r="F419" s="71" t="str">
        <x:v>雙八植草磚工資(不含覆土植草)</x:v>
      </x:c>
      <x:c r="G419" s="71" t="str">
        <x:v>雙八植草磚工資(不含覆土植草)</x:v>
      </x:c>
      <x:c r="H419" s="71" t="str">
        <x:v>m2</x:v>
      </x:c>
      <x:c r="I419" s="72" t="n">
        <x:v>62.63</x:v>
      </x:c>
      <x:c r="J419" s="69" t="str">
        <x:v>62.63</x:v>
      </x:c>
      <x:c r="K419" s="70" t="n">
        <x:v>200</x:v>
      </x:c>
      <x:c r="L419" s="69" t="str">
        <x:v>200</x:v>
      </x:c>
      <x:c r="M419" s="70" t="n">
        <x:v>12526</x:v>
      </x:c>
      <x:c r="N419" s="69" t="str">
        <x:v>12,526</x:v>
      </x:c>
      <x:c r="O419" s="71" t="str">
        <x:v>此為軟鋪.硬鋪另計(實做實算)</x:v>
      </x:c>
      <x:c r="P419" s="71" t="str">
        <x:v>HTML table 1 row 6</x:v>
      </x:c>
      <x:c r="Q419" s="71" t="str">
        <x:v>雙八植草磚工資(不含覆土植草) | 62.63 | m2 | 200 | 12,526 | 此為軟鋪.硬鋪另計(實做實算)</x:v>
      </x:c>
      <x:c r="R419" s="71" t="str">
        <x:v>各廠商合約&amp; 報價\MD檔案\20250212 智慧城植草磚、透水磚.md</x:v>
      </x:c>
    </x:row>
    <x:row r="420">
      <x:c r="A420" s="69" t="str">
        <x:v>ITEM00416</x:v>
      </x:c>
      <x:c r="B420" s="69" t="str">
        <x:v>SRC032</x:v>
      </x:c>
      <x:c r="C420" s="69" t="str">
        <x:v>2025-2026</x:v>
      </x:c>
      <x:c r="D420" s="69" t="str">
        <x:v>detail</x:v>
      </x:c>
      <x:c r="E420" s="69" t="str">
        <x:v>文件未載明</x:v>
      </x:c>
      <x:c r="F420" s="71" t="str">
        <x:v>透水磚工資</x:v>
      </x:c>
      <x:c r="G420" s="71" t="str">
        <x:v>透水磚工資</x:v>
      </x:c>
      <x:c r="H420" s="71" t="str">
        <x:v>m2</x:v>
      </x:c>
      <x:c r="I420" s="72" t="n">
        <x:v>8.44</x:v>
      </x:c>
      <x:c r="J420" s="69" t="str">
        <x:v>8.44</x:v>
      </x:c>
      <x:c r="K420" s="70" t="n">
        <x:v>300</x:v>
      </x:c>
      <x:c r="L420" s="69" t="str">
        <x:v>300</x:v>
      </x:c>
      <x:c r="M420" s="70" t="n">
        <x:v>2532</x:v>
      </x:c>
      <x:c r="N420" s="69" t="str">
        <x:v>2,532</x:v>
      </x:c>
      <x:c r="O420" s="71" t="str">
        <x:v>此為軟鋪.硬鋪另計(實做實算)</x:v>
      </x:c>
      <x:c r="P420" s="71" t="str">
        <x:v>HTML table 1 row 7</x:v>
      </x:c>
      <x:c r="Q420" s="71" t="str">
        <x:v>透水磚工資 | 8.44 | m2 | 300 | 2,532 | 此為軟鋪.硬鋪另計(實做實算)</x:v>
      </x:c>
      <x:c r="R420" s="71" t="str">
        <x:v>各廠商合約&amp; 報價\MD檔案\20250212 智慧城植草磚、透水磚.md</x:v>
      </x:c>
    </x:row>
    <x:row r="421">
      <x:c r="A421" s="69" t="str">
        <x:v>ITEM00417</x:v>
      </x:c>
      <x:c r="B421" s="69" t="str">
        <x:v>SRC032</x:v>
      </x:c>
      <x:c r="C421" s="69" t="str">
        <x:v>2025-2026</x:v>
      </x:c>
      <x:c r="D421" s="69" t="str">
        <x:v>summary</x:v>
      </x:c>
      <x:c r="E421" s="69" t="str">
        <x:v>文件未載明</x:v>
      </x:c>
      <x:c r="F421" s="71" t="str">
        <x:v>稅金</x:v>
      </x:c>
      <x:c r="G421" s="71" t="str">
        <x:v>稅金</x:v>
      </x:c>
      <x:c r="H421" s="71" t="str">
        <x:v>式</x:v>
      </x:c>
      <x:c r="I421" s="72" t="n">
        <x:v>1</x:v>
      </x:c>
      <x:c r="J421" s="69" t="str">
        <x:v>1.00</x:v>
      </x:c>
      <x:c r="K421" s="70"/>
      <x:c r="L421" s="69" t="str">
        <x:v>文件未載明</x:v>
      </x:c>
      <x:c r="M421" s="70" t="n">
        <x:v>2837</x:v>
      </x:c>
      <x:c r="N421" s="69" t="str">
        <x:v>2,837</x:v>
      </x:c>
      <x:c r="O421" s="71" t="str">
        <x:v>5%</x:v>
      </x:c>
      <x:c r="P421" s="71" t="str">
        <x:v>HTML table 1 row 8</x:v>
      </x:c>
      <x:c r="Q421" s="71" t="str">
        <x:v>稅金 | 1.00 | 式 | | 2,837 | 5%</x:v>
      </x:c>
      <x:c r="R421" s="71" t="str">
        <x:v>各廠商合約&amp; 報價\MD檔案\20250212 智慧城植草磚、透水磚.md</x:v>
      </x:c>
    </x:row>
    <x:row r="422">
      <x:c r="A422" s="69" t="str">
        <x:v>ITEM00418</x:v>
      </x:c>
      <x:c r="B422" s="69" t="str">
        <x:v>SRC032</x:v>
      </x:c>
      <x:c r="C422" s="69" t="str">
        <x:v>2025-2026</x:v>
      </x:c>
      <x:c r="D422" s="69" t="str">
        <x:v>summary</x:v>
      </x:c>
      <x:c r="E422" s="69" t="str">
        <x:v>文件未載明</x:v>
      </x:c>
      <x:c r="F422" s="71" t="str">
        <x:v>初估總計:</x:v>
      </x:c>
      <x:c r="G422" s="71" t="str">
        <x:v>文件未載明</x:v>
      </x:c>
      <x:c r="H422" s="71" t="str">
        <x:v>初估總計:</x:v>
      </x:c>
      <x:c r="I422" s="72"/>
      <x:c r="J422" s="69" t="str">
        <x:v>文件未載明</x:v>
      </x:c>
      <x:c r="K422" s="70" t="n">
        <x:v>59568</x:v>
      </x:c>
      <x:c r="L422" s="69" t="str">
        <x:v>(59,568)</x:v>
      </x:c>
      <x:c r="M422" s="70"/>
      <x:c r="N422" s="69" t="str">
        <x:v>◎以上地磚施工為軟鋪.不含水泥.不含碎石及砂,數量金額皆為初估.依實際施工完畢後數量為準。</x:v>
      </x:c>
      <x:c r="O422" s="71" t="str">
        <x:v>文件未載明</x:v>
      </x:c>
      <x:c r="P422" s="71" t="str">
        <x:v>HTML table 1 row 9</x:v>
      </x:c>
      <x:c r="Q422" s="71" t="str">
        <x:v>| | 初估總計: | (59,568) | ◎以上地磚施工為軟鋪.不含水泥.不含碎石及砂,數量金額皆為初估.依實際施工完畢後數量為準。</x:v>
      </x:c>
      <x:c r="R422" s="71" t="str">
        <x:v>各廠商合約&amp; 報價\MD檔案\20250212 智慧城植草磚、透水磚.md</x:v>
      </x:c>
    </x:row>
    <x:row r="423">
      <x:c r="A423" s="69" t="str">
        <x:v>ITEM00419</x:v>
      </x:c>
      <x:c r="B423" s="69" t="str">
        <x:v>SRC032</x:v>
      </x:c>
      <x:c r="C423" s="69" t="str">
        <x:v>2025-2026</x:v>
      </x:c>
      <x:c r="D423" s="69" t="str">
        <x:v>note</x:v>
      </x:c>
      <x:c r="E423" s="69" t="str">
        <x:v>文件未載明</x:v>
      </x:c>
      <x:c r="F423" s="71" t="str">
        <x:v>*此報價單以7天期限內有效,如超過期限請重新報價.造成不便敬請見諒.謝謝。</x:v>
      </x:c>
      <x:c r="G423" s="71" t="str">
        <x:v>*此報價單以7天期限內有效,如超過期限請重新報價.造成不便敬請見諒.謝謝。</x:v>
      </x:c>
      <x:c r="H423" s="71" t="str">
        <x:v>文件未載明</x:v>
      </x:c>
      <x:c r="I423" s="72"/>
      <x:c r="J423" s="69" t="str">
        <x:v>文件未載明</x:v>
      </x:c>
      <x:c r="K423" s="70"/>
      <x:c r="L423" s="69" t="str">
        <x:v>文件未載明</x:v>
      </x:c>
      <x:c r="M423" s="70"/>
      <x:c r="N423" s="69" t="str">
        <x:v>文件未載明</x:v>
      </x:c>
      <x:c r="O423" s="71" t="str">
        <x:v>文件未載明</x:v>
      </x:c>
      <x:c r="P423" s="71" t="str">
        <x:v>HTML table 1 row 10</x:v>
      </x:c>
      <x:c r="Q423" s="71" t="str">
        <x:v>*此報價單以7天期限內有效,如超過期限請重新報價.造成不便敬請見諒.謝謝。</x:v>
      </x:c>
      <x:c r="R423" s="71" t="str">
        <x:v>各廠商合約&amp; 報價\MD檔案\20250212 智慧城植草磚、透水磚.md</x:v>
      </x:c>
    </x:row>
    <x:row r="424">
      <x:c r="A424" s="69" t="str">
        <x:v>ITEM00420</x:v>
      </x:c>
      <x:c r="B424" s="69" t="str">
        <x:v>SRC032</x:v>
      </x:c>
      <x:c r="C424" s="69" t="str">
        <x:v>2025-2026</x:v>
      </x:c>
      <x:c r="D424" s="69" t="str">
        <x:v>summary</x:v>
      </x:c>
      <x:c r="E424" s="69" t="str">
        <x:v>文件未載明</x:v>
      </x:c>
      <x:c r="F424" s="71" t="str">
        <x:v>*以上報價稅金外加。</x:v>
      </x:c>
      <x:c r="G424" s="71" t="str">
        <x:v>*以上報價稅金外加。</x:v>
      </x:c>
      <x:c r="H424" s="71" t="str">
        <x:v>文件未載明</x:v>
      </x:c>
      <x:c r="I424" s="72"/>
      <x:c r="J424" s="69" t="str">
        <x:v>文件未載明</x:v>
      </x:c>
      <x:c r="K424" s="70"/>
      <x:c r="L424" s="69" t="str">
        <x:v>文件未載明</x:v>
      </x:c>
      <x:c r="M424" s="70"/>
      <x:c r="N424" s="69" t="str">
        <x:v>文件未載明</x:v>
      </x:c>
      <x:c r="O424" s="71" t="str">
        <x:v>文件未載明</x:v>
      </x:c>
      <x:c r="P424" s="71" t="str">
        <x:v>HTML table 1 row 11</x:v>
      </x:c>
      <x:c r="Q424" s="71" t="str">
        <x:v>*以上報價稅金外加。</x:v>
      </x:c>
      <x:c r="R424" s="71" t="str">
        <x:v>各廠商合約&amp; 報價\MD檔案\20250212 智慧城植草磚、透水磚.md</x:v>
      </x:c>
    </x:row>
    <x:row r="425">
      <x:c r="A425" s="69" t="str">
        <x:v>ITEM00421</x:v>
      </x:c>
      <x:c r="B425" s="69" t="str">
        <x:v>SRC032</x:v>
      </x:c>
      <x:c r="C425" s="69" t="str">
        <x:v>2025-2026</x:v>
      </x:c>
      <x:c r="D425" s="69" t="str">
        <x:v>note</x:v>
      </x:c>
      <x:c r="E425" s="69" t="str">
        <x:v>文件未載明</x:v>
      </x:c>
      <x:c r="F425" s="71" t="str">
        <x:v>*以上報價不含整地不含清運及跑土。</x:v>
      </x:c>
      <x:c r="G425" s="71" t="str">
        <x:v>*以上報價不含整地不含清運及跑土。</x:v>
      </x:c>
      <x:c r="H425" s="71" t="str">
        <x:v>文件未載明</x:v>
      </x:c>
      <x:c r="I425" s="72"/>
      <x:c r="J425" s="69" t="str">
        <x:v>文件未載明</x:v>
      </x:c>
      <x:c r="K425" s="70"/>
      <x:c r="L425" s="69" t="str">
        <x:v>文件未載明</x:v>
      </x:c>
      <x:c r="M425" s="70"/>
      <x:c r="N425" s="69" t="str">
        <x:v>文件未載明</x:v>
      </x:c>
      <x:c r="O425" s="71" t="str">
        <x:v>文件未載明</x:v>
      </x:c>
      <x:c r="P425" s="71" t="str">
        <x:v>HTML table 1 row 12</x:v>
      </x:c>
      <x:c r="Q425" s="71" t="str">
        <x:v>*以上報價不含整地不含清運及跑土。</x:v>
      </x:c>
      <x:c r="R425" s="71" t="str">
        <x:v>各廠商合約&amp; 報價\MD檔案\20250212 智慧城植草磚、透水磚.md</x:v>
      </x:c>
    </x:row>
    <x:row r="426">
      <x:c r="A426" s="69" t="str">
        <x:v>ITEM00422</x:v>
      </x:c>
      <x:c r="B426" s="69" t="str">
        <x:v>SRC032</x:v>
      </x:c>
      <x:c r="C426" s="69" t="str">
        <x:v>2025-2026</x:v>
      </x:c>
      <x:c r="D426" s="69" t="str">
        <x:v>note</x:v>
      </x:c>
      <x:c r="E426" s="69" t="str">
        <x:v>文件未載明</x:v>
      </x:c>
      <x:c r="F426" s="71" t="str">
        <x:v>*以上報價不含碎石.砂.水泥,施工用水電由現場無價供應。</x:v>
      </x:c>
      <x:c r="G426" s="71" t="str">
        <x:v>*以上報價不含碎石.砂.水泥,施工用水電由現場無價供應。</x:v>
      </x:c>
      <x:c r="H426" s="71" t="str">
        <x:v>文件未載明</x:v>
      </x:c>
      <x:c r="I426" s="72"/>
      <x:c r="J426" s="69" t="str">
        <x:v>文件未載明</x:v>
      </x:c>
      <x:c r="K426" s="70"/>
      <x:c r="L426" s="69" t="str">
        <x:v>文件未載明</x:v>
      </x:c>
      <x:c r="M426" s="70"/>
      <x:c r="N426" s="69" t="str">
        <x:v>文件未載明</x:v>
      </x:c>
      <x:c r="O426" s="71" t="str">
        <x:v>文件未載明</x:v>
      </x:c>
      <x:c r="P426" s="71" t="str">
        <x:v>HTML table 1 row 13</x:v>
      </x:c>
      <x:c r="Q426" s="71" t="str">
        <x:v>*以上報價不含碎石.砂.水泥,施工用水電由現場無價供應。</x:v>
      </x:c>
      <x:c r="R426" s="71" t="str">
        <x:v>各廠商合約&amp; 報價\MD檔案\20250212 智慧城植草磚、透水磚.md</x:v>
      </x:c>
    </x:row>
    <x:row r="427">
      <x:c r="A427" s="69" t="str">
        <x:v>ITEM00423</x:v>
      </x:c>
      <x:c r="B427" s="69" t="str">
        <x:v>SRC032</x:v>
      </x:c>
      <x:c r="C427" s="69" t="str">
        <x:v>2025-2026</x:v>
      </x:c>
      <x:c r="D427" s="69" t="str">
        <x:v>note</x:v>
      </x:c>
      <x:c r="E427" s="69" t="str">
        <x:v>文件未載明</x:v>
      </x:c>
      <x:c r="F427" s="71" t="str">
        <x:v>*以上報價,此為軟鋪(硬鋪需另計),機切.油壓切需另計。</x:v>
      </x:c>
      <x:c r="G427" s="71" t="str">
        <x:v>*以上報價,此為軟鋪(硬鋪需另計),機切.油壓切需另計。</x:v>
      </x:c>
      <x:c r="H427" s="71" t="str">
        <x:v>文件未載明</x:v>
      </x:c>
      <x:c r="I427" s="72"/>
      <x:c r="J427" s="69" t="str">
        <x:v>文件未載明</x:v>
      </x:c>
      <x:c r="K427" s="70"/>
      <x:c r="L427" s="69" t="str">
        <x:v>文件未載明</x:v>
      </x:c>
      <x:c r="M427" s="70"/>
      <x:c r="N427" s="69" t="str">
        <x:v>文件未載明</x:v>
      </x:c>
      <x:c r="O427" s="71" t="str">
        <x:v>文件未載明</x:v>
      </x:c>
      <x:c r="P427" s="71" t="str">
        <x:v>HTML table 1 row 14</x:v>
      </x:c>
      <x:c r="Q427" s="71" t="str">
        <x:v>*以上報價,此為軟鋪(硬鋪需另計),機切.油壓切需另計。</x:v>
      </x:c>
      <x:c r="R427" s="71" t="str">
        <x:v>各廠商合約&amp; 報價\MD檔案\20250212 智慧城植草磚、透水磚.md</x:v>
      </x:c>
    </x:row>
    <x:row r="428">
      <x:c r="A428" s="69" t="str">
        <x:v>ITEM00424</x:v>
      </x:c>
      <x:c r="B428" s="69" t="str">
        <x:v>SRC032</x:v>
      </x:c>
      <x:c r="C428" s="69" t="str">
        <x:v>2025-2026</x:v>
      </x:c>
      <x:c r="D428" s="69" t="str">
        <x:v>note</x:v>
      </x:c>
      <x:c r="E428" s="69" t="str">
        <x:v>文件未載明</x:v>
      </x:c>
      <x:c r="F428" s="71" t="str">
        <x:v>*以上報價以15噸吊卡可到可車旁下貨為準,否則增加之運金由業主自行吸收,二次搬運費用不包含在報價內!敬請知悉!謝謝。</x:v>
      </x:c>
      <x:c r="G428" s="71" t="str">
        <x:v>*以上報價以15噸吊卡可到可車旁下貨為準,否則增加之運金由業主自行吸收,二次搬運費用不包含在報價內!敬請知悉!謝謝。</x:v>
      </x:c>
      <x:c r="H428" s="71" t="str">
        <x:v>文件未載明</x:v>
      </x:c>
      <x:c r="I428" s="72"/>
      <x:c r="J428" s="69" t="str">
        <x:v>文件未載明</x:v>
      </x:c>
      <x:c r="K428" s="70"/>
      <x:c r="L428" s="69" t="str">
        <x:v>文件未載明</x:v>
      </x:c>
      <x:c r="M428" s="70"/>
      <x:c r="N428" s="69" t="str">
        <x:v>文件未載明</x:v>
      </x:c>
      <x:c r="O428" s="71" t="str">
        <x:v>文件未載明</x:v>
      </x:c>
      <x:c r="P428" s="71" t="str">
        <x:v>HTML table 1 row 15</x:v>
      </x:c>
      <x:c r="Q428" s="71" t="str">
        <x:v>*以上報價以15噸吊卡可到可車旁下貨為準,否則增加之運金由業主自行吸收,二次搬運費用不包含在報價內!敬請知悉!謝謝。</x:v>
      </x:c>
      <x:c r="R428" s="71" t="str">
        <x:v>各廠商合約&amp; 報價\MD檔案\20250212 智慧城植草磚、透水磚.md</x:v>
      </x:c>
    </x:row>
    <x:row r="429">
      <x:c r="A429" s="69" t="str">
        <x:v>ITEM00425</x:v>
      </x:c>
      <x:c r="B429" s="69" t="str">
        <x:v>SRC032</x:v>
      </x:c>
      <x:c r="C429" s="69" t="str">
        <x:v>2025-2026</x:v>
      </x:c>
      <x:c r="D429" s="69" t="str">
        <x:v>note</x:v>
      </x:c>
      <x:c r="E429" s="69" t="str">
        <x:v>文件未載明</x:v>
      </x:c>
      <x:c r="F429" s="71" t="str">
        <x:v>*確認訂購需提早7-10日前預約(不含例假日).以便出貨事宜.若遇庫存數不足時另電洽告知工期.不便之處敬請見諒。</x:v>
      </x:c>
      <x:c r="G429" s="71" t="str">
        <x:v>*確認訂購需提早7-10日前預約(不含例假日).以便出貨事宜.若遇庫存數不足時另電洽告知工期.不便之處敬請見諒。</x:v>
      </x:c>
      <x:c r="H429" s="71" t="str">
        <x:v>文件未載明</x:v>
      </x:c>
      <x:c r="I429" s="72"/>
      <x:c r="J429" s="69" t="str">
        <x:v>文件未載明</x:v>
      </x:c>
      <x:c r="K429" s="70"/>
      <x:c r="L429" s="69" t="str">
        <x:v>文件未載明</x:v>
      </x:c>
      <x:c r="M429" s="70"/>
      <x:c r="N429" s="69" t="str">
        <x:v>文件未載明</x:v>
      </x:c>
      <x:c r="O429" s="71" t="str">
        <x:v>文件未載明</x:v>
      </x:c>
      <x:c r="P429" s="71" t="str">
        <x:v>HTML table 1 row 16</x:v>
      </x:c>
      <x:c r="Q429" s="71" t="str">
        <x:v>*確認訂購需提早7-10日前預約(不含例假日).以便出貨事宜.若遇庫存數不足時另電洽告知工期.不便之處敬請見諒。</x:v>
      </x:c>
      <x:c r="R429" s="71" t="str">
        <x:v>各廠商合約&amp; 報價\MD檔案\20250212 智慧城植草磚、透水磚.md</x:v>
      </x:c>
    </x:row>
    <x:row r="430">
      <x:c r="A430" s="69" t="str">
        <x:v>ITEM00426</x:v>
      </x:c>
      <x:c r="B430" s="69" t="str">
        <x:v>SRC032</x:v>
      </x:c>
      <x:c r="C430" s="69" t="str">
        <x:v>2025-2026</x:v>
      </x:c>
      <x:c r="D430" s="69" t="str">
        <x:v>detail</x:v>
      </x:c>
      <x:c r="E430" s="69" t="str">
        <x:v>文件未載明</x:v>
      </x:c>
      <x:c r="F430" s="71" t="str">
        <x:v>*確認訂購需收訂金50%.以便備貨事宜。</x:v>
      </x:c>
      <x:c r="G430" s="71" t="str">
        <x:v>*確認訂購需收訂金50%.以便備貨事宜。</x:v>
      </x:c>
      <x:c r="H430" s="71" t="str">
        <x:v>文件未載明</x:v>
      </x:c>
      <x:c r="I430" s="72"/>
      <x:c r="J430" s="69" t="str">
        <x:v>文件未載明</x:v>
      </x:c>
      <x:c r="K430" s="70"/>
      <x:c r="L430" s="69" t="str">
        <x:v>文件未載明</x:v>
      </x:c>
      <x:c r="M430" s="70"/>
      <x:c r="N430" s="69" t="str">
        <x:v>文件未載明</x:v>
      </x:c>
      <x:c r="O430" s="71" t="str">
        <x:v>文件未載明</x:v>
      </x:c>
      <x:c r="P430" s="71" t="str">
        <x:v>HTML table 1 row 17</x:v>
      </x:c>
      <x:c r="Q430" s="71" t="str">
        <x:v>*確認訂購需收訂金50%.以便備貨事宜。</x:v>
      </x:c>
      <x:c r="R430" s="71" t="str">
        <x:v>各廠商合約&amp; 報價\MD檔案\20250212 智慧城植草磚、透水磚.md</x:v>
      </x:c>
    </x:row>
    <x:row r="431">
      <x:c r="A431" s="69" t="str">
        <x:v>ITEM00427</x:v>
      </x:c>
      <x:c r="B431" s="69" t="str">
        <x:v>SRC032</x:v>
      </x:c>
      <x:c r="C431" s="69" t="str">
        <x:v>2025-2026</x:v>
      </x:c>
      <x:c r="D431" s="69" t="str">
        <x:v>detail</x:v>
      </x:c>
      <x:c r="E431" s="69" t="str">
        <x:v>文件未載明</x:v>
      </x:c>
      <x:c r="F431" s="71" t="str">
        <x:v>*若施工上有困難度時應酌情貼補工資.敬請知悉!</x:v>
      </x:c>
      <x:c r="G431" s="71" t="str">
        <x:v>*若施工上有困難度時應酌情貼補工資.敬請知悉!</x:v>
      </x:c>
      <x:c r="H431" s="71" t="str">
        <x:v>文件未載明</x:v>
      </x:c>
      <x:c r="I431" s="72"/>
      <x:c r="J431" s="69" t="str">
        <x:v>文件未載明</x:v>
      </x:c>
      <x:c r="K431" s="70"/>
      <x:c r="L431" s="69" t="str">
        <x:v>文件未載明</x:v>
      </x:c>
      <x:c r="M431" s="70"/>
      <x:c r="N431" s="69" t="str">
        <x:v>文件未載明</x:v>
      </x:c>
      <x:c r="O431" s="71" t="str">
        <x:v>文件未載明</x:v>
      </x:c>
      <x:c r="P431" s="71" t="str">
        <x:v>HTML table 1 row 18</x:v>
      </x:c>
      <x:c r="Q431" s="71" t="str">
        <x:v>*若施工上有困難度時應酌情貼補工資.敬請知悉!</x:v>
      </x:c>
      <x:c r="R431" s="71" t="str">
        <x:v>各廠商合約&amp; 報價\MD檔案\20250212 智慧城植草磚、透水磚.md</x:v>
      </x:c>
    </x:row>
    <x:row r="432">
      <x:c r="A432" s="69" t="str">
        <x:v>ITEM00428</x:v>
      </x:c>
      <x:c r="B432" s="69" t="str">
        <x:v>SRC032</x:v>
      </x:c>
      <x:c r="C432" s="69" t="str">
        <x:v>2025-2026</x:v>
      </x:c>
      <x:c r="D432" s="69" t="str">
        <x:v>detail</x:v>
      </x:c>
      <x:c r="E432" s="69" t="str">
        <x:v>文件未載明</x:v>
      </x:c>
      <x:c r="F432" s="71" t="str">
        <x:v>*若遇庫存數不足時.另電洽告知工期。</x:v>
      </x:c>
      <x:c r="G432" s="71" t="str">
        <x:v>*若遇庫存數不足時.另電洽告知工期。</x:v>
      </x:c>
      <x:c r="H432" s="71" t="str">
        <x:v>文件未載明</x:v>
      </x:c>
      <x:c r="I432" s="72"/>
      <x:c r="J432" s="69" t="str">
        <x:v>文件未載明</x:v>
      </x:c>
      <x:c r="K432" s="70"/>
      <x:c r="L432" s="69" t="str">
        <x:v>文件未載明</x:v>
      </x:c>
      <x:c r="M432" s="70"/>
      <x:c r="N432" s="69" t="str">
        <x:v>文件未載明</x:v>
      </x:c>
      <x:c r="O432" s="71" t="str">
        <x:v>文件未載明</x:v>
      </x:c>
      <x:c r="P432" s="71" t="str">
        <x:v>HTML table 1 row 19</x:v>
      </x:c>
      <x:c r="Q432" s="71" t="str">
        <x:v>*若遇庫存數不足時.另電洽告知工期。</x:v>
      </x:c>
      <x:c r="R432" s="71" t="str">
        <x:v>各廠商合約&amp; 報價\MD檔案\20250212 智慧城植草磚、透水磚.md</x:v>
      </x:c>
    </x:row>
    <x:row r="433">
      <x:c r="A433" s="69" t="str">
        <x:v>ITEM00429</x:v>
      </x:c>
      <x:c r="B433" s="69" t="str">
        <x:v>SRC032</x:v>
      </x:c>
      <x:c r="C433" s="69" t="str">
        <x:v>2025-2026</x:v>
      </x:c>
      <x:c r="D433" s="69" t="str">
        <x:v>note</x:v>
      </x:c>
      <x:c r="E433" s="69" t="str">
        <x:v>文件未載明</x:v>
      </x:c>
      <x:c r="F433" s="71" t="str">
        <x:v>*以上報價為業主提供初估數量.實際數量以施作完畢後實做實量實算.如需補磚請自行派車自本公司自運.植草磚.透水磚不退貨不回收.敬請知悉。</x:v>
      </x:c>
      <x:c r="G433" s="71" t="str">
        <x:v>*以上報價為業主提供初估數量.實際數量以施作完畢後實做實量實算.如需補磚請自行派車自本公司自運.植草磚.透水磚不退貨不回收.敬請知悉。</x:v>
      </x:c>
      <x:c r="H433" s="71" t="str">
        <x:v>文件未載明</x:v>
      </x:c>
      <x:c r="I433" s="72"/>
      <x:c r="J433" s="69" t="str">
        <x:v>文件未載明</x:v>
      </x:c>
      <x:c r="K433" s="70"/>
      <x:c r="L433" s="69" t="str">
        <x:v>文件未載明</x:v>
      </x:c>
      <x:c r="M433" s="70"/>
      <x:c r="N433" s="69" t="str">
        <x:v>文件未載明</x:v>
      </x:c>
      <x:c r="O433" s="71" t="str">
        <x:v>文件未載明</x:v>
      </x:c>
      <x:c r="P433" s="71" t="str">
        <x:v>HTML table 1 row 20</x:v>
      </x:c>
      <x:c r="Q433" s="71" t="str">
        <x:v>*以上報價為業主提供初估數量.實際數量以施作完畢後實做實量實算.如需補磚請自行派車自本公司自運.植草磚.透水磚不退貨不回收.敬請知悉。</x:v>
      </x:c>
      <x:c r="R433" s="71" t="str">
        <x:v>各廠商合約&amp; 報價\MD檔案\20250212 智慧城植草磚、透水磚.md</x:v>
      </x:c>
    </x:row>
    <x:row r="434">
      <x:c r="A434" s="69" t="str">
        <x:v>ITEM00430</x:v>
      </x:c>
      <x:c r="B434" s="69" t="str">
        <x:v>SRC032</x:v>
      </x:c>
      <x:c r="C434" s="69" t="str">
        <x:v>2025-2026</x:v>
      </x:c>
      <x:c r="D434" s="69" t="str">
        <x:v>detail</x:v>
      </x:c>
      <x:c r="E434" s="69" t="str">
        <x:v>文件未載明</x:v>
      </x:c>
      <x:c r="F434" s="71" t="str">
        <x:v>***貨品皆以本公司規範為準***☆貨品售出概不退換貨!敬請知悉!!!***勿扣保留款</x:v>
      </x:c>
      <x:c r="G434" s="71" t="str">
        <x:v>***貨品皆以本公司規範為準***☆貨品售出概不退換貨!敬請知悉!!!***勿扣保留款</x:v>
      </x:c>
      <x:c r="H434" s="71" t="str">
        <x:v>文件未載明</x:v>
      </x:c>
      <x:c r="I434" s="72"/>
      <x:c r="J434" s="69" t="str">
        <x:v>文件未載明</x:v>
      </x:c>
      <x:c r="K434" s="70"/>
      <x:c r="L434" s="69" t="str">
        <x:v>文件未載明</x:v>
      </x:c>
      <x:c r="M434" s="70"/>
      <x:c r="N434" s="69" t="str">
        <x:v>文件未載明</x:v>
      </x:c>
      <x:c r="O434" s="71" t="str">
        <x:v>文件未載明</x:v>
      </x:c>
      <x:c r="P434" s="71" t="str">
        <x:v>HTML table 1 row 21</x:v>
      </x:c>
      <x:c r="Q434" s="71" t="str">
        <x:v>***貨品皆以本公司規範為準***☆貨品售出概不退換貨!敬請知悉!!!***勿扣保留款</x:v>
      </x:c>
      <x:c r="R434" s="71" t="str">
        <x:v>各廠商合約&amp; 報價\MD檔案\20250212 智慧城植草磚、透水磚.md</x:v>
      </x:c>
    </x:row>
    <x:row r="435">
      <x:c r="A435" s="69" t="str">
        <x:v>ITEM00431</x:v>
      </x:c>
      <x:c r="B435" s="69" t="str">
        <x:v>SRC032</x:v>
      </x:c>
      <x:c r="C435" s="69" t="str">
        <x:v>2025-2026</x:v>
      </x:c>
      <x:c r="D435" s="69" t="str">
        <x:v>note</x:v>
      </x:c>
      <x:c r="E435" s="69" t="str">
        <x:v>文件未載明</x:v>
      </x:c>
      <x:c r="F435" s="71" t="str">
        <x:v>付款方式: ★★現金交易★★訂金50%.尾款50%施作完畢後尾款3日內現金貨匯款結帳完成.謝謝!(現金不折扣)請全額支付,零保留。</x:v>
      </x:c>
      <x:c r="G435" s="71" t="str">
        <x:v>付款方式: ★★現金交易★★訂金50%.尾款50%施作完畢後尾款3日內現金貨匯款結帳完成.謝謝!(現金不折扣)請全額支付,零保留。</x:v>
      </x:c>
      <x:c r="H435" s="71" t="str">
        <x:v>文件未載明</x:v>
      </x:c>
      <x:c r="I435" s="72"/>
      <x:c r="J435" s="69" t="str">
        <x:v>文件未載明</x:v>
      </x:c>
      <x:c r="K435" s="70"/>
      <x:c r="L435" s="69" t="str">
        <x:v>文件未載明</x:v>
      </x:c>
      <x:c r="M435" s="70"/>
      <x:c r="N435" s="69" t="str">
        <x:v>文件未載明</x:v>
      </x:c>
      <x:c r="O435" s="71" t="str">
        <x:v>文件未載明</x:v>
      </x:c>
      <x:c r="P435" s="71" t="str">
        <x:v>HTML table 1 row 22</x:v>
      </x:c>
      <x:c r="Q435" s="71" t="str">
        <x:v>付款方式: ★★現金交易★★訂金50%.尾款50%施作完畢後尾款3日內現金貨匯款結帳完成.謝謝!(現金不折扣)請全額支付,零保留。</x:v>
      </x:c>
      <x:c r="R435" s="71" t="str">
        <x:v>各廠商合約&amp; 報價\MD檔案\20250212 智慧城植草磚、透水磚.md</x:v>
      </x:c>
    </x:row>
    <x:row r="436">
      <x:c r="A436" s="69" t="str">
        <x:v>ITEM00432</x:v>
      </x:c>
      <x:c r="B436" s="69" t="str">
        <x:v>SRC032</x:v>
      </x:c>
      <x:c r="C436" s="69" t="str">
        <x:v>2025-2026</x:v>
      </x:c>
      <x:c r="D436" s="69" t="str">
        <x:v>note</x:v>
      </x:c>
      <x:c r="E436" s="69" t="str">
        <x:v>文件未載明</x:v>
      </x:c>
      <x:c r="F436" s="71" t="str">
        <x:v>備註:請確認無誤後簽章回傳.方可盡快為貴公司安排出貨事宜.謝謝。</x:v>
      </x:c>
      <x:c r="G436" s="71" t="str">
        <x:v>備註:請確認無誤後簽章回傳.方可盡快為貴公司安排出貨事宜.謝謝。</x:v>
      </x:c>
      <x:c r="H436" s="71" t="str">
        <x:v>文件未載明</x:v>
      </x:c>
      <x:c r="I436" s="72"/>
      <x:c r="J436" s="69" t="str">
        <x:v>文件未載明</x:v>
      </x:c>
      <x:c r="K436" s="70"/>
      <x:c r="L436" s="69" t="str">
        <x:v>文件未載明</x:v>
      </x:c>
      <x:c r="M436" s="70"/>
      <x:c r="N436" s="69" t="str">
        <x:v>文件未載明</x:v>
      </x:c>
      <x:c r="O436" s="71" t="str">
        <x:v>文件未載明</x:v>
      </x:c>
      <x:c r="P436" s="71" t="str">
        <x:v>HTML table 1 row 23</x:v>
      </x:c>
      <x:c r="Q436" s="71" t="str">
        <x:v>備註:請確認無誤後簽章回傳.方可盡快為貴公司安排出貨事宜.謝謝。</x:v>
      </x:c>
      <x:c r="R436" s="71" t="str">
        <x:v>各廠商合約&amp; 報價\MD檔案\20250212 智慧城植草磚、透水磚.md</x:v>
      </x:c>
    </x:row>
    <x:row r="437">
      <x:c r="A437" s="69" t="str">
        <x:v>ITEM00433</x:v>
      </x:c>
      <x:c r="B437" s="69" t="str">
        <x:v>SRC032</x:v>
      </x:c>
      <x:c r="C437" s="69" t="str">
        <x:v>2025-2026</x:v>
      </x:c>
      <x:c r="D437" s="69" t="str">
        <x:v>party</x:v>
      </x:c>
      <x:c r="E437" s="69" t="str">
        <x:v>文件未載明</x:v>
      </x:c>
      <x:c r="F437" s="71" t="str">
        <x:v>智慧城企業有限公司負責人:陳明駿</x:v>
      </x:c>
      <x:c r="G437" s="71" t="str">
        <x:v>智慧城企業有限公司負責人:陳明駿</x:v>
      </x:c>
      <x:c r="H437" s="71" t="str">
        <x:v>明陳</x:v>
      </x:c>
      <x:c r="I437" s="72"/>
      <x:c r="J437" s="69" t="str">
        <x:v>限企智公業慧司有城</x:v>
      </x:c>
      <x:c r="K437" s="70"/>
      <x:c r="L437" s="69" t="str">
        <x:v>有設向限股上公份建建洪豪六</x:v>
      </x:c>
      <x:c r="M437" s="70"/>
      <x:c r="N437" s="69" t="str">
        <x:v>文件未載明</x:v>
      </x:c>
      <x:c r="O437" s="71" t="str">
        <x:v>文件未載明</x:v>
      </x:c>
      <x:c r="P437" s="71" t="str">
        <x:v>HTML table 1 row 24</x:v>
      </x:c>
      <x:c r="Q437" s="71" t="str">
        <x:v>智慧城企業有限公司負責人:陳明駿 | 限企智公業慧司有城 | 明陳 | 有設向限股上公份建建洪豪六</x:v>
      </x:c>
      <x:c r="R437" s="71" t="str">
        <x:v>各廠商合約&amp; 報價\MD檔案\20250212 智慧城植草磚、透水磚.md</x:v>
      </x:c>
    </x:row>
    <x:row r="438">
      <x:c r="A438" s="69" t="str">
        <x:v>ITEM00434</x:v>
      </x:c>
      <x:c r="B438" s="69" t="str">
        <x:v>SRC033</x:v>
      </x:c>
      <x:c r="C438" s="69" t="str">
        <x:v>2025-2026</x:v>
      </x:c>
      <x:c r="D438" s="69" t="str">
        <x:v>header</x:v>
      </x:c>
      <x:c r="E438" s="69" t="str">
        <x:v>項次</x:v>
      </x:c>
      <x:c r="F438" s="71" t="str">
        <x:v>規格</x:v>
      </x:c>
      <x:c r="G438" s="71" t="str">
        <x:v>規格</x:v>
      </x:c>
      <x:c r="H438" s="71" t="str">
        <x:v>數量合計(單位m2)</x:v>
      </x:c>
      <x:c r="I438" s="72"/>
      <x:c r="J438" s="69" t="str">
        <x:v>樘數</x:v>
      </x:c>
      <x:c r="K438" s="70"/>
      <x:c r="L438" s="69" t="str">
        <x:v>文件未載明</x:v>
      </x:c>
      <x:c r="M438" s="70" t="n">
        <x:v>2</x:v>
      </x:c>
      <x:c r="N438" s="69" t="str">
        <x:v>數量合計(單位m2)</x:v>
      </x:c>
      <x:c r="O438" s="71" t="str">
        <x:v>備註</x:v>
      </x:c>
      <x:c r="P438" s="71" t="str">
        <x:v>HTML table 1 row 1</x:v>
      </x:c>
      <x:c r="Q438" s="71" t="str">
        <x:v>項次 | 規格 | 色別 | 樘數 | 數量合計(單位m2) | 單樘小計 | 複價 | 備註</x:v>
      </x:c>
      <x:c r="R438" s="71" t="str">
        <x:v>各廠商合約&amp; 報價\MD檔案\20250220 塑豐 格柵 追加.md</x:v>
      </x:c>
    </x:row>
    <x:row r="439">
      <x:c r="A439" s="69" t="str">
        <x:v>ITEM00435</x:v>
      </x:c>
      <x:c r="B439" s="69" t="str">
        <x:v>SRC033</x:v>
      </x:c>
      <x:c r="C439" s="69" t="str">
        <x:v>2025-2026</x:v>
      </x:c>
      <x:c r="D439" s="69" t="str">
        <x:v>detail</x:v>
      </x:c>
      <x:c r="E439" s="69" t="str">
        <x:v>品名</x:v>
      </x:c>
      <x:c r="F439" s="71" t="str">
        <x:v>W(cm)</x:v>
      </x:c>
      <x:c r="G439" s="71" t="str">
        <x:v>W(cm)</x:v>
      </x:c>
      <x:c r="H439" s="71" t="str">
        <x:v>文件未載明</x:v>
      </x:c>
      <x:c r="I439" s="72"/>
      <x:c r="J439" s="69" t="str">
        <x:v>文件未載明</x:v>
      </x:c>
      <x:c r="K439" s="70"/>
      <x:c r="L439" s="69" t="str">
        <x:v>文件未載明</x:v>
      </x:c>
      <x:c r="M439" s="70"/>
      <x:c r="N439" s="69" t="str">
        <x:v>文件未載明</x:v>
      </x:c>
      <x:c r="O439" s="71" t="str">
        <x:v>文件未載明</x:v>
      </x:c>
      <x:c r="P439" s="71" t="str">
        <x:v>HTML table 1 row 2</x:v>
      </x:c>
      <x:c r="Q439" s="71" t="str">
        <x:v>品名 | W(cm) | H(cm)</x:v>
      </x:c>
      <x:c r="R439" s="71" t="str">
        <x:v>各廠商合約&amp; 報價\MD檔案\20250220 塑豐 格柵 追加.md</x:v>
      </x:c>
    </x:row>
    <x:row r="440">
      <x:c r="A440" s="69" t="str">
        <x:v>ITEM00436</x:v>
      </x:c>
      <x:c r="B440" s="69" t="str">
        <x:v>SRC033</x:v>
      </x:c>
      <x:c r="C440" s="69" t="str">
        <x:v>2025-2026</x:v>
      </x:c>
      <x:c r="D440" s="69" t="str">
        <x:v>detail</x:v>
      </x:c>
      <x:c r="E440" s="69" t="str">
        <x:v>1</x:v>
      </x:c>
      <x:c r="F440" s="71" t="str">
        <x:v>鋁格柵</x:v>
      </x:c>
      <x:c r="G440" s="71" t="str">
        <x:v>鋁格柵</x:v>
      </x:c>
      <x:c r="H440" s="71" t="str">
        <x:v>粉體塗裝(待決)</x:v>
      </x:c>
      <x:c r="I440" s="72" t="n">
        <x:v>130</x:v>
      </x:c>
      <x:c r="J440" s="69" t="str">
        <x:v>130</x:v>
      </x:c>
      <x:c r="K440" s="70"/>
      <x:c r="L440" s="69" t="str">
        <x:v>文件未載明</x:v>
      </x:c>
      <x:c r="M440" s="70"/>
      <x:c r="N440" s="69" t="str">
        <x:v>粉體塗裝(待決)</x:v>
      </x:c>
      <x:c r="O440" s="71" t="str">
        <x:v>28,009</x:v>
      </x:c>
      <x:c r="P440" s="71" t="str">
        <x:v>HTML table 1 row 3</x:v>
      </x:c>
      <x:c r="Q440" s="71" t="str">
        <x:v>1 | 鋁格柵 | 211 | 130 | 粉體塗裝(待決) | 1 | 2.743 | 28,009 | 28,009 |</x:v>
      </x:c>
      <x:c r="R440" s="71" t="str">
        <x:v>各廠商合約&amp; 報價\MD檔案\20250220 塑豐 格柵 追加.md</x:v>
      </x:c>
    </x:row>
    <x:row r="441">
      <x:c r="A441" s="69" t="str">
        <x:v>ITEM00437</x:v>
      </x:c>
      <x:c r="B441" s="69" t="str">
        <x:v>SRC033</x:v>
      </x:c>
      <x:c r="C441" s="69" t="str">
        <x:v>2025-2026</x:v>
      </x:c>
      <x:c r="D441" s="69" t="str">
        <x:v>detail</x:v>
      </x:c>
      <x:c r="E441" s="69" t="str">
        <x:v>2</x:v>
      </x:c>
      <x:c r="F441" s="71" t="str">
        <x:v>鋁格柵</x:v>
      </x:c>
      <x:c r="G441" s="71" t="str">
        <x:v>鋁格柵</x:v>
      </x:c>
      <x:c r="H441" s="71" t="str">
        <x:v>粉體塗裝(待決)</x:v>
      </x:c>
      <x:c r="I441" s="72" t="n">
        <x:v>130</x:v>
      </x:c>
      <x:c r="J441" s="69" t="str">
        <x:v>130</x:v>
      </x:c>
      <x:c r="K441" s="70"/>
      <x:c r="L441" s="69" t="str">
        <x:v>文件未載明</x:v>
      </x:c>
      <x:c r="M441" s="70"/>
      <x:c r="N441" s="69" t="str">
        <x:v>粉體塗裝(待決)</x:v>
      </x:c>
      <x:c r="O441" s="71" t="str">
        <x:v>32,909</x:v>
      </x:c>
      <x:c r="P441" s="71" t="str">
        <x:v>HTML table 1 row 4</x:v>
      </x:c>
      <x:c r="Q441" s="71" t="str">
        <x:v>2 | 鋁格柵 | 239 | 130 | 粉體塗裝(待決) | 1 | 3.107 | 32,909 | 32,909 |</x:v>
      </x:c>
      <x:c r="R441" s="71" t="str">
        <x:v>各廠商合約&amp; 報價\MD檔案\20250220 塑豐 格柵 追加.md</x:v>
      </x:c>
    </x:row>
    <x:row r="442">
      <x:c r="A442" s="69" t="str">
        <x:v>ITEM00438</x:v>
      </x:c>
      <x:c r="B442" s="69" t="str">
        <x:v>SRC033</x:v>
      </x:c>
      <x:c r="C442" s="69" t="str">
        <x:v>2025-2026</x:v>
      </x:c>
      <x:c r="D442" s="69" t="str">
        <x:v>detail</x:v>
      </x:c>
      <x:c r="E442" s="69" t="str">
        <x:v>文件未載明</x:v>
      </x:c>
      <x:c r="F442" s="71" t="str">
        <x:v>以下空白</x:v>
      </x:c>
      <x:c r="G442" s="71" t="str">
        <x:v>以下空白</x:v>
      </x:c>
      <x:c r="H442" s="71" t="str">
        <x:v>文件未載明</x:v>
      </x:c>
      <x:c r="I442" s="72"/>
      <x:c r="J442" s="69" t="str">
        <x:v>文件未載明</x:v>
      </x:c>
      <x:c r="K442" s="70"/>
      <x:c r="L442" s="69" t="str">
        <x:v>文件未載明</x:v>
      </x:c>
      <x:c r="M442" s="70"/>
      <x:c r="N442" s="69" t="str">
        <x:v>文件未載明</x:v>
      </x:c>
      <x:c r="O442" s="71" t="str">
        <x:v>-</x:v>
      </x:c>
      <x:c r="P442" s="71" t="str">
        <x:v>HTML table 1 row 5</x:v>
      </x:c>
      <x:c r="Q442" s="71" t="str">
        <x:v>| 以下空白 | | | | | - | - |</x:v>
      </x:c>
      <x:c r="R442" s="71" t="str">
        <x:v>各廠商合約&amp; 報價\MD檔案\20250220 塑豐 格柵 追加.md</x:v>
      </x:c>
    </x:row>
    <x:row r="443">
      <x:c r="A443" s="69" t="str">
        <x:v>ITEM00439</x:v>
      </x:c>
      <x:c r="B443" s="69" t="str">
        <x:v>SRC033</x:v>
      </x:c>
      <x:c r="C443" s="69" t="str">
        <x:v>2025-2026</x:v>
      </x:c>
      <x:c r="D443" s="69" t="str">
        <x:v>summary</x:v>
      </x:c>
      <x:c r="E443" s="69" t="str">
        <x:v>小計</x:v>
      </x:c>
      <x:c r="F443" s="71" t="str">
        <x:v>文件未載明</x:v>
      </x:c>
      <x:c r="G443" s="71" t="str">
        <x:v>文件未載明</x:v>
      </x:c>
      <x:c r="H443" s="71" t="str">
        <x:v>文件未載明</x:v>
      </x:c>
      <x:c r="I443" s="72" t="n">
        <x:v>0</x:v>
      </x:c>
      <x:c r="J443" s="69" t="str">
        <x:v>0</x:v>
      </x:c>
      <x:c r="K443" s="70"/>
      <x:c r="L443" s="69" t="str">
        <x:v>文件未載明</x:v>
      </x:c>
      <x:c r="M443" s="70"/>
      <x:c r="N443" s="69" t="str">
        <x:v>文件未載明</x:v>
      </x:c>
      <x:c r="O443" s="71" t="str">
        <x:v>文件未載明</x:v>
      </x:c>
      <x:c r="P443" s="71" t="str">
        <x:v>HTML table 1 row 6</x:v>
      </x:c>
      <x:c r="Q443" s="71" t="str">
        <x:v>小計 | | 2 | 0 | | 60,918 |</x:v>
      </x:c>
      <x:c r="R443" s="71" t="str">
        <x:v>各廠商合約&amp; 報價\MD檔案\20250220 塑豐 格柵 追加.md</x:v>
      </x:c>
    </x:row>
    <x:row r="444">
      <x:c r="A444" s="69" t="str">
        <x:v>ITEM00440</x:v>
      </x:c>
      <x:c r="B444" s="69" t="str">
        <x:v>SRC034</x:v>
      </x:c>
      <x:c r="C444" s="69" t="str">
        <x:v>2025-2026</x:v>
      </x:c>
      <x:c r="D444" s="69" t="str">
        <x:v>detail</x:v>
      </x:c>
      <x:c r="E444" s="69" t="str">
        <x:v>文件未載明</x:v>
      </x:c>
      <x:c r="F444" s="71" t="str">
        <x:v>申請單編號</x:v>
      </x:c>
      <x:c r="G444" s="71" t="str">
        <x:v>文件未載明</x:v>
      </x:c>
      <x:c r="H444" s="71" t="str">
        <x:v>文件未載明</x:v>
      </x:c>
      <x:c r="I444" s="72"/>
      <x:c r="J444" s="69" t="str">
        <x:v>文件未載明</x:v>
      </x:c>
      <x:c r="K444" s="70"/>
      <x:c r="L444" s="69" t="str">
        <x:v>文件未載明</x:v>
      </x:c>
      <x:c r="M444" s="70"/>
      <x:c r="N444" s="69" t="str">
        <x:v>文件未載明</x:v>
      </x:c>
      <x:c r="O444" s="71" t="str">
        <x:v>文件未載明</x:v>
      </x:c>
      <x:c r="P444" s="71" t="str">
        <x:v>HTML table 1 row 1</x:v>
      </x:c>
      <x:c r="Q444" s="71" t="str">
        <x:v>申請單編號 | 051130070-051130080 共11户13 | 用戶編號 |</x:v>
      </x:c>
      <x:c r="R444" s="71" t="str">
        <x:v>各廠商合約&amp; 報價\MD檔案\20250220 裕苗表內管報價.md</x:v>
      </x:c>
    </x:row>
    <x:row r="445">
      <x:c r="A445" s="69" t="str">
        <x:v>ITEM00441</x:v>
      </x:c>
      <x:c r="B445" s="69" t="str">
        <x:v>SRC034</x:v>
      </x:c>
      <x:c r="C445" s="69" t="str">
        <x:v>2025-2026</x:v>
      </x:c>
      <x:c r="D445" s="69" t="str">
        <x:v>detail</x:v>
      </x:c>
      <x:c r="E445" s="69" t="str">
        <x:v>文件未載明</x:v>
      </x:c>
      <x:c r="F445" s="71" t="str">
        <x:v>申請人</x:v>
      </x:c>
      <x:c r="G445" s="71" t="str">
        <x:v>文件未載明</x:v>
      </x:c>
      <x:c r="H445" s="71" t="str">
        <x:v>文件未載明</x:v>
      </x:c>
      <x:c r="I445" s="72"/>
      <x:c r="J445" s="69" t="str">
        <x:v>文件未載明</x:v>
      </x:c>
      <x:c r="K445" s="70"/>
      <x:c r="L445" s="69" t="str">
        <x:v>文件未載明</x:v>
      </x:c>
      <x:c r="M445" s="70"/>
      <x:c r="N445" s="69" t="str">
        <x:v>文件未載明</x:v>
      </x:c>
      <x:c r="O445" s="71" t="str">
        <x:v>文件未載明</x:v>
      </x:c>
      <x:c r="P445" s="71" t="str">
        <x:v>HTML table 1 row 2</x:v>
      </x:c>
      <x:c r="Q445" s="71" t="str">
        <x:v>申請人 | 向上建設有限公司 | 聯絡電話 | 037-775355</x:v>
      </x:c>
      <x:c r="R445" s="71" t="str">
        <x:v>各廠商合約&amp; 報價\MD檔案\20250220 裕苗表內管報價.md</x:v>
      </x:c>
    </x:row>
    <x:row r="446">
      <x:c r="A446" s="69" t="str">
        <x:v>ITEM00442</x:v>
      </x:c>
      <x:c r="B446" s="69" t="str">
        <x:v>SRC034</x:v>
      </x:c>
      <x:c r="C446" s="69" t="str">
        <x:v>2025-2026</x:v>
      </x:c>
      <x:c r="D446" s="69" t="str">
        <x:v>detail</x:v>
      </x:c>
      <x:c r="E446" s="69" t="str">
        <x:v>文件未載明</x:v>
      </x:c>
      <x:c r="F446" s="71" t="str">
        <x:v>裝置地址</x:v>
      </x:c>
      <x:c r="G446" s="71" t="str">
        <x:v>文件未載明</x:v>
      </x:c>
      <x:c r="H446" s="71" t="str">
        <x:v>文件未載明</x:v>
      </x:c>
      <x:c r="I446" s="72"/>
      <x:c r="J446" s="69" t="str">
        <x:v>文件未載明</x:v>
      </x:c>
      <x:c r="K446" s="70"/>
      <x:c r="L446" s="69" t="str">
        <x:v>文件未載明</x:v>
      </x:c>
      <x:c r="M446" s="70"/>
      <x:c r="N446" s="69" t="str">
        <x:v>文件未載明</x:v>
      </x:c>
      <x:c r="O446" s="71" t="str">
        <x:v>文件未載明</x:v>
      </x:c>
      <x:c r="P446" s="71" t="str">
        <x:v>HTML table 1 row 3</x:v>
      </x:c>
      <x:c r="Q446" s="71" t="str">
        <x:v>裝置地址 | 後龍鎮新東路</x:v>
      </x:c>
      <x:c r="R446" s="71" t="str">
        <x:v>各廠商合約&amp; 報價\MD檔案\20250220 裕苗表內管報價.md</x:v>
      </x:c>
    </x:row>
    <x:row r="447">
      <x:c r="A447" s="69" t="str">
        <x:v>ITEM00443</x:v>
      </x:c>
      <x:c r="B447" s="69" t="str">
        <x:v>SRC034</x:v>
      </x:c>
      <x:c r="C447" s="69" t="str">
        <x:v>2025-2026</x:v>
      </x:c>
      <x:c r="D447" s="69" t="str">
        <x:v>detail</x:v>
      </x:c>
      <x:c r="E447" s="69" t="str">
        <x:v>文件未載明</x:v>
      </x:c>
      <x:c r="F447" s="71" t="str">
        <x:v>連絡人</x:v>
      </x:c>
      <x:c r="G447" s="71" t="str">
        <x:v>文件未載明</x:v>
      </x:c>
      <x:c r="H447" s="71" t="str">
        <x:v>文件未載明</x:v>
      </x:c>
      <x:c r="I447" s="72"/>
      <x:c r="J447" s="69" t="str">
        <x:v>文件未載明</x:v>
      </x:c>
      <x:c r="K447" s="70"/>
      <x:c r="L447" s="69" t="str">
        <x:v>文件未載明</x:v>
      </x:c>
      <x:c r="M447" s="70"/>
      <x:c r="N447" s="69" t="str">
        <x:v>文件未載明</x:v>
      </x:c>
      <x:c r="O447" s="71" t="str">
        <x:v>文件未載明</x:v>
      </x:c>
      <x:c r="P447" s="71" t="str">
        <x:v>HTML table 1 row 4</x:v>
      </x:c>
      <x:c r="Q447" s="71" t="str">
        <x:v>連絡人 | | 聯絡地址 |</x:v>
      </x:c>
      <x:c r="R447" s="71" t="str">
        <x:v>各廠商合約&amp; 報價\MD檔案\20250220 裕苗表內管報價.md</x:v>
      </x:c>
    </x:row>
    <x:row r="448">
      <x:c r="A448" s="69" t="str">
        <x:v>ITEM00444</x:v>
      </x:c>
      <x:c r="B448" s="69" t="str">
        <x:v>SRC034</x:v>
      </x:c>
      <x:c r="C448" s="69" t="str">
        <x:v>2025-2026</x:v>
      </x:c>
      <x:c r="D448" s="69" t="str">
        <x:v>detail</x:v>
      </x:c>
      <x:c r="E448" s="69" t="str">
        <x:v>文件未載明</x:v>
      </x:c>
      <x:c r="F448" s="71" t="str">
        <x:v>住屋狀況</x:v>
      </x:c>
      <x:c r="G448" s="71" t="str">
        <x:v>文件未載明</x:v>
      </x:c>
      <x:c r="H448" s="71" t="str">
        <x:v>文件未載明</x:v>
      </x:c>
      <x:c r="I448" s="72"/>
      <x:c r="J448" s="69" t="str">
        <x:v>文件未載明</x:v>
      </x:c>
      <x:c r="K448" s="70"/>
      <x:c r="L448" s="69" t="str">
        <x:v>接氣位</x:v>
      </x:c>
      <x:c r="M448" s="70"/>
      <x:c r="N448" s="69" t="str">
        <x:v>mm</x:v>
      </x:c>
      <x:c r="O448" s="71" t="str">
        <x:v>文件未載明</x:v>
      </x:c>
      <x:c r="P448" s="71" t="str">
        <x:v>HTML table 1 row 5</x:v>
      </x:c>
      <x:c r="Q448" s="71" t="str">
        <x:v>住屋狀況 | | 本支管狀況 | | 接氣位 | mm</x:v>
      </x:c>
      <x:c r="R448" s="71" t="str">
        <x:v>各廠商合約&amp; 報價\MD檔案\20250220 裕苗表內管報價.md</x:v>
      </x:c>
    </x:row>
    <x:row r="449">
      <x:c r="A449" s="69" t="str">
        <x:v>ITEM00445</x:v>
      </x:c>
      <x:c r="B449" s="69" t="str">
        <x:v>SRC034</x:v>
      </x:c>
      <x:c r="C449" s="69" t="str">
        <x:v>2025-2026</x:v>
      </x:c>
      <x:c r="D449" s="69" t="str">
        <x:v>detail</x:v>
      </x:c>
      <x:c r="E449" s="69" t="str">
        <x:v>文件未載明</x:v>
      </x:c>
      <x:c r="F449" s="71" t="str">
        <x:v>設計容量</x:v>
      </x:c>
      <x:c r="G449" s="71" t="str">
        <x:v>文件未載明</x:v>
      </x:c>
      <x:c r="H449" s="71" t="str">
        <x:v>文件未載明</x:v>
      </x:c>
      <x:c r="I449" s="72"/>
      <x:c r="J449" s="69" t="str">
        <x:v>文件未載明</x:v>
      </x:c>
      <x:c r="K449" s="70"/>
      <x:c r="L449" s="69" t="str">
        <x:v>文件未載明</x:v>
      </x:c>
      <x:c r="M449" s="70"/>
      <x:c r="N449" s="69" t="str">
        <x:v>文件未載明</x:v>
      </x:c>
      <x:c r="O449" s="71" t="str">
        <x:v>文件未載明</x:v>
      </x:c>
      <x:c r="P449" s="71" t="str">
        <x:v>HTML table 1 row 6</x:v>
      </x:c>
      <x:c r="Q449" s="71" t="str">
        <x:v>設計容量 | 單戶立方公尺/小時 | 補密 |</x:v>
      </x:c>
      <x:c r="R449" s="71" t="str">
        <x:v>各廠商合約&amp; 報價\MD檔案\20250220 裕苗表內管報價.md</x:v>
      </x:c>
    </x:row>
    <x:row r="450">
      <x:c r="A450" s="69" t="str">
        <x:v>ITEM00446</x:v>
      </x:c>
      <x:c r="B450" s="69" t="str">
        <x:v>SRC034</x:v>
      </x:c>
      <x:c r="C450" s="69" t="str">
        <x:v>2025-2026</x:v>
      </x:c>
      <x:c r="D450" s="69" t="str">
        <x:v>detail</x:v>
      </x:c>
      <x:c r="E450" s="69" t="str">
        <x:v>文件未載明</x:v>
      </x:c>
      <x:c r="F450" s="71" t="str">
        <x:v>牆地修復</x:v>
      </x:c>
      <x:c r="G450" s="71" t="str">
        <x:v>文件未載明</x:v>
      </x:c>
      <x:c r="H450" s="71" t="str">
        <x:v>文件未載明</x:v>
      </x:c>
      <x:c r="I450" s="72"/>
      <x:c r="J450" s="69" t="str">
        <x:v>文件未載明</x:v>
      </x:c>
      <x:c r="K450" s="70"/>
      <x:c r="L450" s="69" t="str">
        <x:v>文件未載明</x:v>
      </x:c>
      <x:c r="M450" s="70"/>
      <x:c r="N450" s="69" t="str">
        <x:v>文件未載明</x:v>
      </x:c>
      <x:c r="O450" s="71" t="str">
        <x:v>文件未載明</x:v>
      </x:c>
      <x:c r="P450" s="71" t="str">
        <x:v>HTML table 1 row 7</x:v>
      </x:c>
      <x:c r="Q450" s="71" t="str">
        <x:v>牆地修復 | | 共用管用戶編號 | - ( )</x:v>
      </x:c>
      <x:c r="R450" s="71" t="str">
        <x:v>各廠商合約&amp; 報價\MD檔案\20250220 裕苗表內管報價.md</x:v>
      </x:c>
    </x:row>
    <x:row r="451">
      <x:c r="A451" s="69" t="str">
        <x:v>ITEM00447</x:v>
      </x:c>
      <x:c r="B451" s="69" t="str">
        <x:v>SRC034</x:v>
      </x:c>
      <x:c r="C451" s="69" t="str">
        <x:v>2025-2026</x:v>
      </x:c>
      <x:c r="D451" s="69" t="str">
        <x:v>note</x:v>
      </x:c>
      <x:c r="E451" s="69" t="str">
        <x:v>文件未載明</x:v>
      </x:c>
      <x:c r="F451" s="71" t="str">
        <x:v>備註</x:v>
      </x:c>
      <x:c r="G451" s="71" t="str">
        <x:v>文件未載明</x:v>
      </x:c>
      <x:c r="H451" s="71" t="str">
        <x:v>文件未載明</x:v>
      </x:c>
      <x:c r="I451" s="72"/>
      <x:c r="J451" s="69" t="str">
        <x:v>文件未載明</x:v>
      </x:c>
      <x:c r="K451" s="70"/>
      <x:c r="L451" s="69" t="str">
        <x:v>文件未載明</x:v>
      </x:c>
      <x:c r="M451" s="70"/>
      <x:c r="N451" s="69" t="str">
        <x:v>文件未載明</x:v>
      </x:c>
      <x:c r="O451" s="71" t="str">
        <x:v>文件未載明</x:v>
      </x:c>
      <x:c r="P451" s="71" t="str">
        <x:v>HTML table 1 row 8</x:v>
      </x:c>
      <x:c r="Q451" s="71" t="str">
        <x:v>備註 | ※請詳閱報價單各項內容同意後簽章。 用户簽章:</x:v>
      </x:c>
      <x:c r="R451" s="71" t="str">
        <x:v>各廠商合約&amp; 報價\MD檔案\20250220 裕苗表內管報價.md</x:v>
      </x:c>
    </x:row>
    <x:row r="452">
      <x:c r="A452" s="69" t="str">
        <x:v>ITEM00448</x:v>
      </x:c>
      <x:c r="B452" s="69" t="str">
        <x:v>SRC034</x:v>
      </x:c>
      <x:c r="C452" s="69" t="str">
        <x:v>2025-2026</x:v>
      </x:c>
      <x:c r="D452" s="69" t="str">
        <x:v>summary</x:v>
      </x:c>
      <x:c r="E452" s="69" t="str">
        <x:v>文件未載明</x:v>
      </x:c>
      <x:c r="F452" s="71" t="str">
        <x:v>項目</x:v>
      </x:c>
      <x:c r="G452" s="71" t="str">
        <x:v>文件未載明</x:v>
      </x:c>
      <x:c r="H452" s="71" t="str">
        <x:v>文件未載明</x:v>
      </x:c>
      <x:c r="I452" s="72"/>
      <x:c r="J452" s="69" t="str">
        <x:v>其他費用</x:v>
      </x:c>
      <x:c r="K452" s="70" t="n">
        <x:v>1</x:v>
      </x:c>
      <x:c r="L452" s="69" t="str">
        <x:v>政府規費 $^{註1}$</x:v>
      </x:c>
      <x:c r="M452" s="70"/>
      <x:c r="N452" s="69" t="str">
        <x:v>合計</x:v>
      </x:c>
      <x:c r="O452" s="71" t="str">
        <x:v>文件未載明</x:v>
      </x:c>
      <x:c r="P452" s="71" t="str">
        <x:v>HTML table 1 row 9</x:v>
      </x:c>
      <x:c r="Q452" s="71" t="str">
        <x:v>項目 | 材料費 | 工資 | 其他費用 | 政府規費 $^{註1}$ | 合計</x:v>
      </x:c>
      <x:c r="R452" s="71" t="str">
        <x:v>各廠商合約&amp; 報價\MD檔案\20250220 裕苗表內管報價.md</x:v>
      </x:c>
    </x:row>
    <x:row r="453">
      <x:c r="A453" s="69" t="str">
        <x:v>ITEM00449</x:v>
      </x:c>
      <x:c r="B453" s="69" t="str">
        <x:v>SRC034</x:v>
      </x:c>
      <x:c r="C453" s="69" t="str">
        <x:v>2025-2026</x:v>
      </x:c>
      <x:c r="D453" s="69" t="str">
        <x:v>detail</x:v>
      </x:c>
      <x:c r="E453" s="69" t="str">
        <x:v>文件未載明</x:v>
      </x:c>
      <x:c r="F453" s="71" t="str">
        <x:v>表內管</x:v>
      </x:c>
      <x:c r="G453" s="71" t="str">
        <x:v>文件未載明</x:v>
      </x:c>
      <x:c r="H453" s="71" t="str">
        <x:v>文件未載明</x:v>
      </x:c>
      <x:c r="I453" s="72" t="n">
        <x:v>60203</x:v>
      </x:c>
      <x:c r="J453" s="69" t="str">
        <x:v>60,203</x:v>
      </x:c>
      <x:c r="K453" s="70"/>
      <x:c r="L453" s="69" t="str">
        <x:v>文件未載明</x:v>
      </x:c>
      <x:c r="M453" s="70" t="n">
        <x:v>377065</x:v>
      </x:c>
      <x:c r="N453" s="69" t="str">
        <x:v>377,065</x:v>
      </x:c>
      <x:c r="O453" s="71" t="str">
        <x:v>文件未載明</x:v>
      </x:c>
      <x:c r="P453" s="71" t="str">
        <x:v>HTML table 1 row 10</x:v>
      </x:c>
      <x:c r="Q453" s="71" t="str">
        <x:v>表內管 | 120,654 | 196,208 | 60,203 | | 377,065</x:v>
      </x:c>
      <x:c r="R453" s="71" t="str">
        <x:v>各廠商合約&amp; 報價\MD檔案\20250220 裕苗表內管報價.md</x:v>
      </x:c>
    </x:row>
    <x:row r="454">
      <x:c r="A454" s="69" t="str">
        <x:v>ITEM00450</x:v>
      </x:c>
      <x:c r="B454" s="69" t="str">
        <x:v>SRC034</x:v>
      </x:c>
      <x:c r="C454" s="69" t="str">
        <x:v>2025-2026</x:v>
      </x:c>
      <x:c r="D454" s="69" t="str">
        <x:v>detail</x:v>
      </x:c>
      <x:c r="E454" s="69" t="str">
        <x:v>文件未載明</x:v>
      </x:c>
      <x:c r="F454" s="71" t="str">
        <x:v>表外管</x:v>
      </x:c>
      <x:c r="G454" s="71" t="str">
        <x:v>文件未載明</x:v>
      </x:c>
      <x:c r="H454" s="71" t="str">
        <x:v>文件未載明</x:v>
      </x:c>
      <x:c r="I454" s="72" t="n">
        <x:v>0</x:v>
      </x:c>
      <x:c r="J454" s="69" t="str">
        <x:v>0</x:v>
      </x:c>
      <x:c r="K454" s="70" t="n">
        <x:v>0</x:v>
      </x:c>
      <x:c r="L454" s="69" t="str">
        <x:v>0</x:v>
      </x:c>
      <x:c r="M454" s="70" t="n">
        <x:v>0</x:v>
      </x:c>
      <x:c r="N454" s="69" t="str">
        <x:v>0</x:v>
      </x:c>
      <x:c r="O454" s="71" t="str">
        <x:v>文件未載明</x:v>
      </x:c>
      <x:c r="P454" s="71" t="str">
        <x:v>HTML table 1 row 11</x:v>
      </x:c>
      <x:c r="Q454" s="71" t="str">
        <x:v>表外管 | 0 | 0 | 0 | 0 | 0</x:v>
      </x:c>
      <x:c r="R454" s="71" t="str">
        <x:v>各廠商合約&amp; 報價\MD檔案\20250220 裕苗表內管報價.md</x:v>
      </x:c>
    </x:row>
    <x:row r="455">
      <x:c r="A455" s="69" t="str">
        <x:v>ITEM00451</x:v>
      </x:c>
      <x:c r="B455" s="69" t="str">
        <x:v>SRC034</x:v>
      </x:c>
      <x:c r="C455" s="69" t="str">
        <x:v>2025-2026</x:v>
      </x:c>
      <x:c r="D455" s="69" t="str">
        <x:v>detail</x:v>
      </x:c>
      <x:c r="E455" s="69" t="str">
        <x:v>文件未載明</x:v>
      </x:c>
      <x:c r="F455" s="71" t="str">
        <x:v>本支管費用 $^{註2}$</x:v>
      </x:c>
      <x:c r="G455" s="71" t="str">
        <x:v>文件未載明</x:v>
      </x:c>
      <x:c r="H455" s="71" t="str">
        <x:v>文件未載明</x:v>
      </x:c>
      <x:c r="I455" s="72"/>
      <x:c r="J455" s="69" t="str">
        <x:v>文件未載明</x:v>
      </x:c>
      <x:c r="K455" s="70"/>
      <x:c r="L455" s="69" t="str">
        <x:v>文件未載明</x:v>
      </x:c>
      <x:c r="M455" s="70"/>
      <x:c r="N455" s="69" t="str">
        <x:v>文件未載明</x:v>
      </x:c>
      <x:c r="O455" s="71" t="str">
        <x:v>文件未載明</x:v>
      </x:c>
      <x:c r="P455" s="71" t="str">
        <x:v>HTML table 1 row 12</x:v>
      </x:c>
      <x:c r="Q455" s="71" t="str">
        <x:v>本支管費用 $^{註2}$ | | 0</x:v>
      </x:c>
      <x:c r="R455" s="71" t="str">
        <x:v>各廠商合約&amp; 報價\MD檔案\20250220 裕苗表內管報價.md</x:v>
      </x:c>
    </x:row>
    <x:row r="456">
      <x:c r="A456" s="69" t="str">
        <x:v>ITEM00452</x:v>
      </x:c>
      <x:c r="B456" s="69" t="str">
        <x:v>SRC034</x:v>
      </x:c>
      <x:c r="C456" s="69" t="str">
        <x:v>2025-2026</x:v>
      </x:c>
      <x:c r="D456" s="69" t="str">
        <x:v>detail</x:v>
      </x:c>
      <x:c r="E456" s="69" t="str">
        <x:v>文件未載明</x:v>
      </x:c>
      <x:c r="F456" s="71" t="str">
        <x:v>其他項目註3註4</x:v>
      </x:c>
      <x:c r="G456" s="71" t="str">
        <x:v>文件未載明</x:v>
      </x:c>
      <x:c r="H456" s="71" t="str">
        <x:v>文件未載明</x:v>
      </x:c>
      <x:c r="I456" s="72"/>
      <x:c r="J456" s="69" t="str">
        <x:v>文件未載明</x:v>
      </x:c>
      <x:c r="K456" s="70"/>
      <x:c r="L456" s="69" t="str">
        <x:v>文件未載明</x:v>
      </x:c>
      <x:c r="M456" s="70"/>
      <x:c r="N456" s="69" t="str">
        <x:v>文件未載明</x:v>
      </x:c>
      <x:c r="O456" s="71" t="str">
        <x:v>文件未載明</x:v>
      </x:c>
      <x:c r="P456" s="71" t="str">
        <x:v>HTML table 1 row 13</x:v>
      </x:c>
      <x:c r="Q456" s="71" t="str">
        <x:v>其他項目註3註4 | | | | | |</x:v>
      </x:c>
      <x:c r="R456" s="71" t="str">
        <x:v>各廠商合約&amp; 報價\MD檔案\20250220 裕苗表內管報價.md</x:v>
      </x:c>
    </x:row>
    <x:row r="457">
      <x:c r="A457" s="69" t="str">
        <x:v>ITEM00453</x:v>
      </x:c>
      <x:c r="B457" s="69" t="str">
        <x:v>SRC034</x:v>
      </x:c>
      <x:c r="C457" s="69" t="str">
        <x:v>2025-2026</x:v>
      </x:c>
      <x:c r="D457" s="69" t="str">
        <x:v>summary</x:v>
      </x:c>
      <x:c r="E457" s="69" t="str">
        <x:v>文件未載明</x:v>
      </x:c>
      <x:c r="F457" s="71" t="str">
        <x:v>營業稅</x:v>
      </x:c>
      <x:c r="G457" s="71" t="str">
        <x:v>文件未載明</x:v>
      </x:c>
      <x:c r="H457" s="71" t="str">
        <x:v>文件未載明</x:v>
      </x:c>
      <x:c r="I457" s="72"/>
      <x:c r="J457" s="69" t="str">
        <x:v>文件未載明</x:v>
      </x:c>
      <x:c r="K457" s="70"/>
      <x:c r="L457" s="69" t="str">
        <x:v>文件未載明</x:v>
      </x:c>
      <x:c r="M457" s="70"/>
      <x:c r="N457" s="69" t="str">
        <x:v>文件未載明</x:v>
      </x:c>
      <x:c r="O457" s="71" t="str">
        <x:v>文件未載明</x:v>
      </x:c>
      <x:c r="P457" s="71" t="str">
        <x:v>HTML table 1 row 16</x:v>
      </x:c>
      <x:c r="Q457" s="71" t="str">
        <x:v>營業稅 | 18,855</x:v>
      </x:c>
      <x:c r="R457" s="71" t="str">
        <x:v>各廠商合約&amp; 報價\MD檔案\20250220 裕苗表內管報價.md</x:v>
      </x:c>
    </x:row>
    <x:row r="458">
      <x:c r="A458" s="69" t="str">
        <x:v>ITEM00454</x:v>
      </x:c>
      <x:c r="B458" s="69" t="str">
        <x:v>SRC034</x:v>
      </x:c>
      <x:c r="C458" s="69" t="str">
        <x:v>2025-2026</x:v>
      </x:c>
      <x:c r="D458" s="69" t="str">
        <x:v>summary</x:v>
      </x:c>
      <x:c r="E458" s="69" t="str">
        <x:v>文件未載明</x:v>
      </x:c>
      <x:c r="F458" s="71" t="str">
        <x:v>總計</x:v>
      </x:c>
      <x:c r="G458" s="71" t="str">
        <x:v>文件未載明</x:v>
      </x:c>
      <x:c r="H458" s="71" t="str">
        <x:v>文件未載明</x:v>
      </x:c>
      <x:c r="I458" s="72"/>
      <x:c r="J458" s="69" t="str">
        <x:v>文件未載明</x:v>
      </x:c>
      <x:c r="K458" s="70"/>
      <x:c r="L458" s="69" t="str">
        <x:v>文件未載明</x:v>
      </x:c>
      <x:c r="M458" s="70"/>
      <x:c r="N458" s="69" t="str">
        <x:v>文件未載明</x:v>
      </x:c>
      <x:c r="O458" s="71" t="str">
        <x:v>文件未載明</x:v>
      </x:c>
      <x:c r="P458" s="71" t="str">
        <x:v>HTML table 1 row 17</x:v>
      </x:c>
      <x:c r="Q458" s="71" t="str">
        <x:v>總計 | 395,920</x:v>
      </x:c>
      <x:c r="R458" s="71" t="str">
        <x:v>各廠商合約&amp; 報價\MD檔案\20250220 裕苗表內管報價.md</x:v>
      </x:c>
    </x:row>
    <x:row r="459">
      <x:c r="A459" s="69" t="str">
        <x:v>ITEM00455</x:v>
      </x:c>
      <x:c r="B459" s="69" t="str">
        <x:v>SRC034</x:v>
      </x:c>
      <x:c r="C459" s="69" t="str">
        <x:v>2025-2026</x:v>
      </x:c>
      <x:c r="D459" s="69" t="str">
        <x:v>detail</x:v>
      </x:c>
      <x:c r="E459" s="69" t="str">
        <x:v>文件未載明</x:v>
      </x:c>
      <x:c r="F459" s="71" t="str">
        <x:v>瓦斯表/基本費(每月)</x:v>
      </x:c>
      <x:c r="G459" s="71" t="str">
        <x:v>文件未載明</x:v>
      </x:c>
      <x:c r="H459" s="71" t="str">
        <x:v>文件未載明</x:v>
      </x:c>
      <x:c r="I459" s="72"/>
      <x:c r="J459" s="69" t="str">
        <x:v>文件未載明</x:v>
      </x:c>
      <x:c r="K459" s="70"/>
      <x:c r="L459" s="69" t="str">
        <x:v>文件未載明</x:v>
      </x:c>
      <x:c r="M459" s="70"/>
      <x:c r="N459" s="69" t="str">
        <x:v>文件未載明</x:v>
      </x:c>
      <x:c r="O459" s="71" t="str">
        <x:v>文件未載明</x:v>
      </x:c>
      <x:c r="P459" s="71" t="str">
        <x:v>HTML table 1 row 18</x:v>
      </x:c>
      <x:c r="Q459" s="71" t="str">
        <x:v>瓦斯表/基本費(每月) | 數量 | 瓦斯費保證金 | 裝表通氣費</x:v>
      </x:c>
      <x:c r="R459" s="71" t="str">
        <x:v>各廠商合約&amp; 報價\MD檔案\20250220 裕苗表內管報價.md</x:v>
      </x:c>
    </x:row>
    <x:row r="460">
      <x:c r="A460" s="69" t="str">
        <x:v>ITEM00456</x:v>
      </x:c>
      <x:c r="B460" s="69" t="str">
        <x:v>SRC034</x:v>
      </x:c>
      <x:c r="C460" s="69" t="str">
        <x:v>2025-2026</x:v>
      </x:c>
      <x:c r="D460" s="69" t="str">
        <x:v>summary</x:v>
      </x:c>
      <x:c r="E460" s="69" t="str">
        <x:v>文件未載明</x:v>
      </x:c>
      <x:c r="F460" s="71" t="str">
        <x:v>單價</x:v>
      </x:c>
      <x:c r="G460" s="71" t="str">
        <x:v>文件未載明</x:v>
      </x:c>
      <x:c r="H460" s="71" t="str">
        <x:v>文件未載明</x:v>
      </x:c>
      <x:c r="I460" s="72"/>
      <x:c r="J460" s="69" t="str">
        <x:v>文件未載明</x:v>
      </x:c>
      <x:c r="K460" s="70"/>
      <x:c r="L460" s="69" t="str">
        <x:v>文件未載明</x:v>
      </x:c>
      <x:c r="M460" s="70"/>
      <x:c r="N460" s="69" t="str">
        <x:v>文件未載明</x:v>
      </x:c>
      <x:c r="O460" s="71" t="str">
        <x:v>文件未載明</x:v>
      </x:c>
      <x:c r="P460" s="71" t="str">
        <x:v>HTML table 1 row 19</x:v>
      </x:c>
      <x:c r="Q460" s="71" t="str">
        <x:v>單價 | 合計 | 單價 | 合計</x:v>
      </x:c>
      <x:c r="R460" s="71" t="str">
        <x:v>各廠商合約&amp; 報價\MD檔案\20250220 裕苗表內管報價.md</x:v>
      </x:c>
    </x:row>
    <x:row r="461">
      <x:c r="A461" s="69" t="str">
        <x:v>ITEM00457</x:v>
      </x:c>
      <x:c r="B461" s="69" t="str">
        <x:v>SRC034</x:v>
      </x:c>
      <x:c r="C461" s="69" t="str">
        <x:v>2025-2026</x:v>
      </x:c>
      <x:c r="D461" s="69" t="str">
        <x:v>detail</x:v>
      </x:c>
      <x:c r="E461" s="69" t="str">
        <x:v>文件未載明</x:v>
      </x:c>
      <x:c r="F461" s="71" t="str">
        <x:v>4燈微電腦表/100</x:v>
      </x:c>
      <x:c r="G461" s="71" t="str">
        <x:v>文件未載明</x:v>
      </x:c>
      <x:c r="H461" s="71" t="str">
        <x:v>文件未載明</x:v>
      </x:c>
      <x:c r="I461" s="72"/>
      <x:c r="J461" s="69" t="str">
        <x:v>文件未載明</x:v>
      </x:c>
      <x:c r="K461" s="70"/>
      <x:c r="L461" s="69" t="str">
        <x:v>文件未載明</x:v>
      </x:c>
      <x:c r="M461" s="70"/>
      <x:c r="N461" s="69" t="str">
        <x:v>文件未載明</x:v>
      </x:c>
      <x:c r="O461" s="71" t="str">
        <x:v>文件未載明</x:v>
      </x:c>
      <x:c r="P461" s="71" t="str">
        <x:v>HTML table 1 row 20</x:v>
      </x:c>
      <x:c r="Q461" s="71" t="str">
        <x:v>4燈微電腦表/100 | 11 | | | |</x:v>
      </x:c>
      <x:c r="R461" s="71" t="str">
        <x:v>各廠商合約&amp; 報價\MD檔案\20250220 裕苗表內管報價.md</x:v>
      </x:c>
    </x:row>
    <x:row r="462">
      <x:c r="A462" s="69" t="str">
        <x:v>ITEM00458</x:v>
      </x:c>
      <x:c r="B462" s="69" t="str">
        <x:v>SRC034</x:v>
      </x:c>
      <x:c r="C462" s="69" t="str">
        <x:v>2025-2026</x:v>
      </x:c>
      <x:c r="D462" s="69" t="str">
        <x:v>note</x:v>
      </x:c>
      <x:c r="E462" s="69" t="str">
        <x:v>文件未載明</x:v>
      </x:c>
      <x:c r="F462" s="71" t="str">
        <x:v>以上各項設計如蒙同意,請即惠予繳納。 本報價單有效時間至114年03月11日</x:v>
      </x:c>
      <x:c r="G462" s="71" t="str">
        <x:v>文件未載明</x:v>
      </x:c>
      <x:c r="H462" s="71" t="str">
        <x:v>文件未載明</x:v>
      </x:c>
      <x:c r="I462" s="72"/>
      <x:c r="J462" s="69" t="str">
        <x:v>文件未載明</x:v>
      </x:c>
      <x:c r="K462" s="70"/>
      <x:c r="L462" s="69" t="str">
        <x:v>文件未載明</x:v>
      </x:c>
      <x:c r="M462" s="70"/>
      <x:c r="N462" s="69" t="str">
        <x:v>文件未載明</x:v>
      </x:c>
      <x:c r="O462" s="71" t="str">
        <x:v>文件未載明</x:v>
      </x:c>
      <x:c r="P462" s="71" t="str">
        <x:v>HTML table 1 row 22</x:v>
      </x:c>
      <x:c r="Q462" s="71" t="str">
        <x:v>以上各項設計如蒙同意,請即惠予繳納。 本報價單有效時間至114年03月11日</x:v>
      </x:c>
      <x:c r="R462" s="71" t="str">
        <x:v>各廠商合約&amp; 報價\MD檔案\20250220 裕苗表內管報價.md</x:v>
      </x:c>
    </x:row>
    <x:row r="463">
      <x:c r="A463" s="69" t="str">
        <x:v>ITEM00459</x:v>
      </x:c>
      <x:c r="B463" s="69" t="str">
        <x:v>SRC034</x:v>
      </x:c>
      <x:c r="C463" s="69" t="str">
        <x:v>2025-2026</x:v>
      </x:c>
      <x:c r="D463" s="69" t="str">
        <x:v>detail</x:v>
      </x:c>
      <x:c r="E463" s="69" t="str">
        <x:v>文件未載明</x:v>
      </x:c>
      <x:c r="F463" s="71" t="str">
        <x:v>推廣</x:v>
      </x:c>
      <x:c r="G463" s="71" t="str">
        <x:v>文件未載明</x:v>
      </x:c>
      <x:c r="H463" s="71" t="str">
        <x:v>文件未載明</x:v>
      </x:c>
      <x:c r="I463" s="72"/>
      <x:c r="J463" s="69" t="str">
        <x:v>文件未載明</x:v>
      </x:c>
      <x:c r="K463" s="70"/>
      <x:c r="L463" s="69" t="str">
        <x:v>文件未載明</x:v>
      </x:c>
      <x:c r="M463" s="70"/>
      <x:c r="N463" s="69" t="str">
        <x:v>文件未載明</x:v>
      </x:c>
      <x:c r="O463" s="71" t="str">
        <x:v>文件未載明</x:v>
      </x:c>
      <x:c r="P463" s="71" t="str">
        <x:v>HTML table 1 row 23</x:v>
      </x:c>
      <x:c r="Q463" s="71" t="str">
        <x:v>推廣 | 設計 | 審核 | 總經理</x:v>
      </x:c>
      <x:c r="R463" s="71" t="str">
        <x:v>各廠商合約&amp; 報價\MD檔案\20250220 裕苗表內管報價.md</x:v>
      </x:c>
    </x:row>
    <x:row r="464">
      <x:c r="A464" s="69" t="str">
        <x:v>ITEM00460</x:v>
      </x:c>
      <x:c r="B464" s="69" t="str">
        <x:v>SRC034</x:v>
      </x:c>
      <x:c r="C464" s="69" t="str">
        <x:v>2025-2026</x:v>
      </x:c>
      <x:c r="D464" s="69" t="str">
        <x:v>detail</x:v>
      </x:c>
      <x:c r="E464" s="69" t="str">
        <x:v>文件未載明</x:v>
      </x:c>
      <x:c r="F464" s="71" t="str">
        <x:v>業務部張俊樑經理張俊樑</x:v>
      </x:c>
      <x:c r="G464" s="71" t="str">
        <x:v>文件未載明</x:v>
      </x:c>
      <x:c r="H464" s="71" t="str">
        <x:v>文件未載明</x:v>
      </x:c>
      <x:c r="I464" s="72"/>
      <x:c r="J464" s="69" t="str">
        <x:v>文件未載明</x:v>
      </x:c>
      <x:c r="K464" s="70"/>
      <x:c r="L464" s="69" t="str">
        <x:v>文件未載明</x:v>
      </x:c>
      <x:c r="M464" s="70"/>
      <x:c r="N464" s="69" t="str">
        <x:v>文件未載明</x:v>
      </x:c>
      <x:c r="O464" s="71" t="str">
        <x:v>文件未載明</x:v>
      </x:c>
      <x:c r="P464" s="71" t="str">
        <x:v>HTML table 1 row 24</x:v>
      </x:c>
      <x:c r="Q464" s="71" t="str">
        <x:v>業務部張俊樑經理張俊樑 | 119.2 | 陳宇信 | 總經理</x:v>
      </x:c>
      <x:c r="R464" s="71" t="str">
        <x:v>各廠商合約&amp; 報價\MD檔案\20250220 裕苗表內管報價.md</x:v>
      </x:c>
    </x:row>
    <x:row r="465">
      <x:c r="A465" s="69" t="str">
        <x:v>ITEM00461</x:v>
      </x:c>
      <x:c r="B465" s="69" t="str">
        <x:v>SRC035</x:v>
      </x:c>
      <x:c r="C465" s="69" t="str">
        <x:v>2025-2026</x:v>
      </x:c>
      <x:c r="D465" s="69" t="str">
        <x:v>detail</x:v>
      </x:c>
      <x:c r="E465" s="69" t="str">
        <x:v>文件未載明</x:v>
      </x:c>
      <x:c r="F465" s="71" t="str">
        <x:v>客戶名稱: DA113019 向上建設-拾壹間</x:v>
      </x:c>
      <x:c r="G465" s="71" t="str">
        <x:v>文件未載明</x:v>
      </x:c>
      <x:c r="H465" s="71" t="str">
        <x:v>文件未載明</x:v>
      </x:c>
      <x:c r="I465" s="72"/>
      <x:c r="J465" s="69" t="str">
        <x:v>文件未載明</x:v>
      </x:c>
      <x:c r="K465" s="70"/>
      <x:c r="L465" s="69" t="str">
        <x:v>文件未載明</x:v>
      </x:c>
      <x:c r="M465" s="70"/>
      <x:c r="N465" s="69" t="str">
        <x:v>文件未載明</x:v>
      </x:c>
      <x:c r="O465" s="71" t="str">
        <x:v>文件未載明</x:v>
      </x:c>
      <x:c r="P465" s="71" t="str">
        <x:v>HTML table 1 row 1</x:v>
      </x:c>
      <x:c r="Q465" s="71" t="str">
        <x:v>客戶名稱: DA113019 向上建設-拾壹間 | 報價日期: 25/05/06</x:v>
      </x:c>
      <x:c r="R465" s="71" t="str">
        <x:v>各廠商合約&amp; 報價\MD檔案\20250506 楠弘柏加 _廚房Grohe伸縮龍頭_.md</x:v>
      </x:c>
    </x:row>
    <x:row r="466">
      <x:c r="A466" s="69" t="str">
        <x:v>ITEM00462</x:v>
      </x:c>
      <x:c r="B466" s="69" t="str">
        <x:v>SRC035</x:v>
      </x:c>
      <x:c r="C466" s="69" t="str">
        <x:v>2025-2026</x:v>
      </x:c>
      <x:c r="D466" s="69" t="str">
        <x:v>detail</x:v>
      </x:c>
      <x:c r="E466" s="69" t="str">
        <x:v>文件未載明</x:v>
      </x:c>
      <x:c r="F466" s="71" t="str">
        <x:v>地 址: 苗栗縣後龍</x:v>
      </x:c>
      <x:c r="G466" s="71" t="str">
        <x:v>文件未載明</x:v>
      </x:c>
      <x:c r="H466" s="71" t="str">
        <x:v>文件未載明</x:v>
      </x:c>
      <x:c r="I466" s="72"/>
      <x:c r="J466" s="69" t="str">
        <x:v>文件未載明</x:v>
      </x:c>
      <x:c r="K466" s="70"/>
      <x:c r="L466" s="69" t="str">
        <x:v>文件未載明</x:v>
      </x:c>
      <x:c r="M466" s="70"/>
      <x:c r="N466" s="69" t="str">
        <x:v>文件未載明</x:v>
      </x:c>
      <x:c r="O466" s="71" t="str">
        <x:v>文件未載明</x:v>
      </x:c>
      <x:c r="P466" s="71" t="str">
        <x:v>HTML table 1 row 2</x:v>
      </x:c>
      <x:c r="Q466" s="71" t="str">
        <x:v>地 址: 苗栗縣後龍 | 報價單號: S101-250506002</x:v>
      </x:c>
      <x:c r="R466" s="71" t="str">
        <x:v>各廠商合約&amp; 報價\MD檔案\20250506 楠弘柏加 _廚房Grohe伸縮龍頭_.md</x:v>
      </x:c>
    </x:row>
    <x:row r="467">
      <x:c r="A467" s="69" t="str">
        <x:v>ITEM00463</x:v>
      </x:c>
      <x:c r="B467" s="69" t="str">
        <x:v>SRC035</x:v>
      </x:c>
      <x:c r="C467" s="69" t="str">
        <x:v>2025-2026</x:v>
      </x:c>
      <x:c r="D467" s="69" t="str">
        <x:v>detail</x:v>
      </x:c>
      <x:c r="E467" s="69" t="str">
        <x:v>文件未載明</x:v>
      </x:c>
      <x:c r="F467" s="71" t="str">
        <x:v>電 話:</x:v>
      </x:c>
      <x:c r="G467" s="71" t="str">
        <x:v>文件未載明</x:v>
      </x:c>
      <x:c r="H467" s="71" t="str">
        <x:v>文件未載明</x:v>
      </x:c>
      <x:c r="I467" s="72"/>
      <x:c r="J467" s="69" t="str">
        <x:v>文件未載明</x:v>
      </x:c>
      <x:c r="K467" s="70"/>
      <x:c r="L467" s="69" t="str">
        <x:v>文件未載明</x:v>
      </x:c>
      <x:c r="M467" s="70"/>
      <x:c r="N467" s="69" t="str">
        <x:v>文件未載明</x:v>
      </x:c>
      <x:c r="O467" s="71" t="str">
        <x:v>文件未載明</x:v>
      </x:c>
      <x:c r="P467" s="71" t="str">
        <x:v>HTML table 1 row 3</x:v>
      </x:c>
      <x:c r="Q467" s="71" t="str">
        <x:v>電 話: | 幣 别: NTD</x:v>
      </x:c>
      <x:c r="R467" s="71" t="str">
        <x:v>各廠商合約&amp; 報價\MD檔案\20250506 楠弘柏加 _廚房Grohe伸縮龍頭_.md</x:v>
      </x:c>
    </x:row>
    <x:row r="468">
      <x:c r="A468" s="69" t="str">
        <x:v>ITEM00464</x:v>
      </x:c>
      <x:c r="B468" s="69" t="str">
        <x:v>SRC035</x:v>
      </x:c>
      <x:c r="C468" s="69" t="str">
        <x:v>2025-2026</x:v>
      </x:c>
      <x:c r="D468" s="69" t="str">
        <x:v>summary</x:v>
      </x:c>
      <x:c r="E468" s="69" t="str">
        <x:v>文件未載明</x:v>
      </x:c>
      <x:c r="F468" s="71" t="str">
        <x:v>聯絡人:</x:v>
      </x:c>
      <x:c r="G468" s="71" t="str">
        <x:v>文件未載明</x:v>
      </x:c>
      <x:c r="H468" s="71" t="str">
        <x:v>文件未載明</x:v>
      </x:c>
      <x:c r="I468" s="72"/>
      <x:c r="J468" s="69" t="str">
        <x:v>文件未載明</x:v>
      </x:c>
      <x:c r="K468" s="70"/>
      <x:c r="L468" s="69" t="str">
        <x:v>文件未載明</x:v>
      </x:c>
      <x:c r="M468" s="70"/>
      <x:c r="N468" s="69" t="str">
        <x:v>文件未載明</x:v>
      </x:c>
      <x:c r="O468" s="71" t="str">
        <x:v>文件未載明</x:v>
      </x:c>
      <x:c r="P468" s="71" t="str">
        <x:v>HTML table 1 row 4</x:v>
      </x:c>
      <x:c r="Q468" s="71" t="str">
        <x:v>聯絡人: | 稅別/稅率/含稅否: S004 / 5.00 / N</x:v>
      </x:c>
      <x:c r="R468" s="71" t="str">
        <x:v>各廠商合約&amp; 報價\MD檔案\20250506 楠弘柏加 _廚房Grohe伸縮龍頭_.md</x:v>
      </x:c>
    </x:row>
    <x:row r="469">
      <x:c r="A469" s="69" t="str">
        <x:v>ITEM00465</x:v>
      </x:c>
      <x:c r="B469" s="69" t="str">
        <x:v>SRC035</x:v>
      </x:c>
      <x:c r="C469" s="69" t="str">
        <x:v>2025-2026</x:v>
      </x:c>
      <x:c r="D469" s="69" t="str">
        <x:v>detail</x:v>
      </x:c>
      <x:c r="E469" s="69" t="str">
        <x:v>文件未載明</x:v>
      </x:c>
      <x:c r="F469" s="71" t="str">
        <x:v>備 註:</x:v>
      </x:c>
      <x:c r="G469" s="71" t="str">
        <x:v>文件未載明</x:v>
      </x:c>
      <x:c r="H469" s="71" t="str">
        <x:v>文件未載明</x:v>
      </x:c>
      <x:c r="I469" s="72"/>
      <x:c r="J469" s="69" t="str">
        <x:v>文件未載明</x:v>
      </x:c>
      <x:c r="K469" s="70"/>
      <x:c r="L469" s="69" t="str">
        <x:v>文件未載明</x:v>
      </x:c>
      <x:c r="M469" s="70"/>
      <x:c r="N469" s="69" t="str">
        <x:v>文件未載明</x:v>
      </x:c>
      <x:c r="O469" s="71" t="str">
        <x:v>文件未載明</x:v>
      </x:c>
      <x:c r="P469" s="71" t="str">
        <x:v>HTML table 1 row 5</x:v>
      </x:c>
      <x:c r="Q469" s="71" t="str">
        <x:v>備 註: | 業務員: DC4009 黃乙真</x:v>
      </x:c>
      <x:c r="R469" s="71" t="str">
        <x:v>各廠商合約&amp; 報價\MD檔案\20250506 楠弘柏加 _廚房Grohe伸縮龍頭_.md</x:v>
      </x:c>
    </x:row>
    <x:row r="470">
      <x:c r="A470" s="69" t="str">
        <x:v>ITEM00466</x:v>
      </x:c>
      <x:c r="B470" s="69" t="str">
        <x:v>SRC035</x:v>
      </x:c>
      <x:c r="C470" s="69" t="str">
        <x:v>2025-2026</x:v>
      </x:c>
      <x:c r="D470" s="69" t="str">
        <x:v>header</x:v>
      </x:c>
      <x:c r="E470" s="69" t="str">
        <x:v>項次</x:v>
      </x:c>
      <x:c r="F470" s="71" t="str">
        <x:v>料號品名/規格</x:v>
      </x:c>
      <x:c r="G470" s="71" t="str">
        <x:v>文件未載明</x:v>
      </x:c>
      <x:c r="H470" s="71" t="str">
        <x:v>數量 單位</x:v>
      </x:c>
      <x:c r="I470" s="72"/>
      <x:c r="J470" s="69" t="str">
        <x:v>數量 單位</x:v>
      </x:c>
      <x:c r="K470" s="70"/>
      <x:c r="L470" s="69" t="str">
        <x:v>單價</x:v>
      </x:c>
      <x:c r="M470" s="70"/>
      <x:c r="N470" s="69" t="str">
        <x:v>含稅金額</x:v>
      </x:c>
      <x:c r="O470" s="71" t="str">
        <x:v>備註</x:v>
      </x:c>
      <x:c r="P470" s="71" t="str">
        <x:v>HTML table 1 row 6</x:v>
      </x:c>
      <x:c r="Q470" s="71" t="str">
        <x:v>項次 | 料號品名/規格 | 數量 單位 | 單價 | 含稅金額 | 圖片 | 備註</x:v>
      </x:c>
      <x:c r="R470" s="71" t="str">
        <x:v>各廠商合約&amp; 報價\MD檔案\20250506 楠弘柏加 _廚房Grohe伸縮龍頭_.md</x:v>
      </x:c>
    </x:row>
    <x:row r="471">
      <x:c r="A471" s="69" t="str">
        <x:v>ITEM00467</x:v>
      </x:c>
      <x:c r="B471" s="69" t="str">
        <x:v>SRC035</x:v>
      </x:c>
      <x:c r="C471" s="69" t="str">
        <x:v>2025-2026</x:v>
      </x:c>
      <x:c r="D471" s="69" t="str">
        <x:v>detail</x:v>
      </x:c>
      <x:c r="E471" s="69" t="str">
        <x:v>10</x:v>
      </x:c>
      <x:c r="F471" s="71" t="str">
        <x:v>GR1000534</x:v>
      </x:c>
      <x:c r="G471" s="71" t="str">
        <x:v>文件未載明</x:v>
      </x:c>
      <x:c r="H471" s="71" t="str">
        <x:v>11 PCS</x:v>
      </x:c>
      <x:c r="I471" s="72" t="n">
        <x:v>11</x:v>
      </x:c>
      <x:c r="J471" s="69" t="str">
        <x:v>11 PCS</x:v>
      </x:c>
      <x:c r="K471" s="70" t="n">
        <x:v>8381</x:v>
      </x:c>
      <x:c r="L471" s="69" t="str">
        <x:v>8,381.00</x:v>
      </x:c>
      <x:c r="M471" s="70" t="n">
        <x:v>96800</x:v>
      </x:c>
      <x:c r="N471" s="69" t="str">
        <x:v>96,800.00</x:v>
      </x:c>
      <x:c r="O471" s="71" t="str">
        <x:v>文件未載明</x:v>
      </x:c>
      <x:c r="P471" s="71" t="str">
        <x:v>HTML table 1 row 7</x:v>
      </x:c>
      <x:c r="Q471" s="71" t="str">
        <x:v>10 | GR1000534 | 11 PCS | 8,381.00 | 96,800.00 | |</x:v>
      </x:c>
      <x:c r="R471" s="71" t="str">
        <x:v>各廠商合約&amp; 報價\MD檔案\20250506 楠弘柏加 _廚房Grohe伸縮龍頭_.md</x:v>
      </x:c>
    </x:row>
    <x:row r="472">
      <x:c r="A472" s="69" t="str">
        <x:v>ITEM00468</x:v>
      </x:c>
      <x:c r="B472" s="69" t="str">
        <x:v>SRC035</x:v>
      </x:c>
      <x:c r="C472" s="69" t="str">
        <x:v>2025-2026</x:v>
      </x:c>
      <x:c r="D472" s="69" t="str">
        <x:v>detail</x:v>
      </x:c>
      <x:c r="E472" s="69" t="str">
        <x:v>客製化Eurosmart Cosmo廚房伸縮龍頭(原31481001)鉻色/ 含無鉛軟管</x:v>
      </x:c>
      <x:c r="F472" s="71" t="str">
        <x:v>文件未載明</x:v>
      </x:c>
      <x:c r="G472" s="71" t="str">
        <x:v>文件未載明</x:v>
      </x:c>
      <x:c r="H472" s="71" t="str">
        <x:v>文件未載明</x:v>
      </x:c>
      <x:c r="I472" s="72"/>
      <x:c r="J472" s="69" t="str">
        <x:v>文件未載明</x:v>
      </x:c>
      <x:c r="K472" s="70"/>
      <x:c r="L472" s="69" t="str">
        <x:v>文件未載明</x:v>
      </x:c>
      <x:c r="M472" s="70"/>
      <x:c r="N472" s="69" t="str">
        <x:v>文件未載明</x:v>
      </x:c>
      <x:c r="O472" s="71" t="str">
        <x:v>文件未載明</x:v>
      </x:c>
      <x:c r="P472" s="71" t="str">
        <x:v>HTML table 1 row 8</x:v>
      </x:c>
      <x:c r="Q472" s="71" t="str">
        <x:v>客製化Eurosmart Cosmo廚房伸縮龍頭(原31481001)鉻色/ 含無鉛軟管</x:v>
      </x:c>
      <x:c r="R472" s="71" t="str">
        <x:v>各廠商合約&amp; 報價\MD檔案\20250506 楠弘柏加 _廚房Grohe伸縮龍頭_.md</x:v>
      </x:c>
    </x:row>
    <x:row r="473">
      <x:c r="A473" s="69" t="str">
        <x:v>ITEM00469</x:v>
      </x:c>
      <x:c r="B473" s="69" t="str">
        <x:v>SRC035</x:v>
      </x:c>
      <x:c r="C473" s="69" t="str">
        <x:v>2025-2026</x:v>
      </x:c>
      <x:c r="D473" s="69" t="str">
        <x:v>summary</x:v>
      </x:c>
      <x:c r="E473" s="69" t="str">
        <x:v>文件未載明</x:v>
      </x:c>
      <x:c r="F473" s="71" t="str">
        <x:v>含稅金額小計:</x:v>
      </x:c>
      <x:c r="G473" s="71" t="str">
        <x:v>文件未載明</x:v>
      </x:c>
      <x:c r="H473" s="71" t="str">
        <x:v>含稅金額小計:</x:v>
      </x:c>
      <x:c r="I473" s="72"/>
      <x:c r="J473" s="69" t="str">
        <x:v>含稅金額小計:</x:v>
      </x:c>
      <x:c r="K473" s="70" t="n">
        <x:v>96800</x:v>
      </x:c>
      <x:c r="L473" s="69" t="str">
        <x:v>96,800.00</x:v>
      </x:c>
      <x:c r="M473" s="70"/>
      <x:c r="N473" s="69" t="str">
        <x:v>文件未載明</x:v>
      </x:c>
      <x:c r="O473" s="71" t="str">
        <x:v>文件未載明</x:v>
      </x:c>
      <x:c r="P473" s="71" t="str">
        <x:v>HTML table 1 row 9</x:v>
      </x:c>
      <x:c r="Q473" s="71" t="str">
        <x:v>| | 含稅金額小計: | 96,800.00 | |</x:v>
      </x:c>
      <x:c r="R473" s="71" t="str">
        <x:v>各廠商合約&amp; 報價\MD檔案\20250506 楠弘柏加 _廚房Grohe伸縮龍頭_.md</x:v>
      </x:c>
    </x:row>
    <x:row r="474">
      <x:c r="A474" s="69" t="str">
        <x:v>ITEM00470</x:v>
      </x:c>
      <x:c r="B474" s="69" t="str">
        <x:v>SRC035</x:v>
      </x:c>
      <x:c r="C474" s="69" t="str">
        <x:v>2025-2026</x:v>
      </x:c>
      <x:c r="D474" s="69" t="str">
        <x:v>summary</x:v>
      </x:c>
      <x:c r="E474" s="69" t="str">
        <x:v>文件未載明</x:v>
      </x:c>
      <x:c r="F474" s="71" t="str">
        <x:v>合計:</x:v>
      </x:c>
      <x:c r="G474" s="71" t="str">
        <x:v>文件未載明</x:v>
      </x:c>
      <x:c r="H474" s="71" t="str">
        <x:v>96,800.00</x:v>
      </x:c>
      <x:c r="I474" s="72" t="n">
        <x:v>96800</x:v>
      </x:c>
      <x:c r="J474" s="69" t="str">
        <x:v>96,800.00</x:v>
      </x:c>
      <x:c r="K474" s="70"/>
      <x:c r="L474" s="69" t="str">
        <x:v>文件未載明</x:v>
      </x:c>
      <x:c r="M474" s="70"/>
      <x:c r="N474" s="69" t="str">
        <x:v>文件未載明</x:v>
      </x:c>
      <x:c r="O474" s="71" t="str">
        <x:v>文件未載明</x:v>
      </x:c>
      <x:c r="P474" s="71" t="str">
        <x:v>HTML table 1 row 10</x:v>
      </x:c>
      <x:c r="Q474" s="71" t="str">
        <x:v>| 合計: | 96,800.00 | |</x:v>
      </x:c>
      <x:c r="R474" s="71" t="str">
        <x:v>各廠商合約&amp; 報價\MD檔案\20250506 楠弘柏加 _廚房Grohe伸縮龍頭_.md</x:v>
      </x:c>
    </x:row>
    <x:row r="475">
      <x:c r="A475" s="69" t="str">
        <x:v>ITEM00471</x:v>
      </x:c>
      <x:c r="B475" s="69" t="str">
        <x:v>SRC035</x:v>
      </x:c>
      <x:c r="C475" s="69" t="str">
        <x:v>2025-2026</x:v>
      </x:c>
      <x:c r="D475" s="69" t="str">
        <x:v>note</x:v>
      </x:c>
      <x:c r="E475" s="69" t="str">
        <x:v>備註:</x:v>
      </x:c>
      <x:c r="F475" s="71" t="str">
        <x:v>文件未載明</x:v>
      </x:c>
      <x:c r="G475" s="71" t="str">
        <x:v>文件未載明</x:v>
      </x:c>
      <x:c r="H475" s="71" t="str">
        <x:v>文件未載明</x:v>
      </x:c>
      <x:c r="I475" s="72"/>
      <x:c r="J475" s="69" t="str">
        <x:v>文件未載明</x:v>
      </x:c>
      <x:c r="K475" s="70"/>
      <x:c r="L475" s="69" t="str">
        <x:v>文件未載明</x:v>
      </x:c>
      <x:c r="M475" s="70"/>
      <x:c r="N475" s="69" t="str">
        <x:v>文件未載明</x:v>
      </x:c>
      <x:c r="O475" s="71" t="str">
        <x:v>文件未載明</x:v>
      </x:c>
      <x:c r="P475" s="71" t="str">
        <x:v>HTML table 1 row 11</x:v>
      </x:c>
      <x:c r="Q475" s="71" t="str">
        <x:v>備註:</x:v>
      </x:c>
      <x:c r="R475" s="71" t="str">
        <x:v>各廠商合約&amp; 報價\MD檔案\20250506 楠弘柏加 _廚房Grohe伸縮龍頭_.md</x:v>
      </x:c>
    </x:row>
    <x:row r="476">
      <x:c r="A476" s="69" t="str">
        <x:v>ITEM00472</x:v>
      </x:c>
      <x:c r="B476" s="69" t="str">
        <x:v>SRC035</x:v>
      </x:c>
      <x:c r="C476" s="69" t="str">
        <x:v>2025-2026</x:v>
      </x:c>
      <x:c r="D476" s="69" t="str">
        <x:v>detail</x:v>
      </x:c>
      <x:c r="E476" s="69" t="str">
        <x:v>客戶簽核欄</x:v>
      </x:c>
      <x:c r="F476" s="71" t="str">
        <x:v>公司簽核欄</x:v>
      </x:c>
      <x:c r="G476" s="71" t="str">
        <x:v>文件未載明</x:v>
      </x:c>
      <x:c r="H476" s="71" t="str">
        <x:v>黃乙真</x:v>
      </x:c>
      <x:c r="I476" s="72"/>
      <x:c r="J476" s="69" t="str">
        <x:v>黃乙真</x:v>
      </x:c>
      <x:c r="K476" s="70"/>
      <x:c r="L476" s="69" t="str">
        <x:v>文件未載明</x:v>
      </x:c>
      <x:c r="M476" s="70"/>
      <x:c r="N476" s="69" t="str">
        <x:v>文件未載明</x:v>
      </x:c>
      <x:c r="O476" s="71" t="str">
        <x:v>文件未載明</x:v>
      </x:c>
      <x:c r="P476" s="71" t="str">
        <x:v>HTML table 1 row 12</x:v>
      </x:c>
      <x:c r="Q476" s="71" t="str">
        <x:v>客戶簽核欄 | 公司簽核欄 | 黃乙真 | |</x:v>
      </x:c>
      <x:c r="R476" s="71" t="str">
        <x:v>各廠商合約&amp; 報價\MD檔案\20250506 楠弘柏加 _廚房Grohe伸縮龍頭_.md</x:v>
      </x:c>
    </x:row>
    <x:row r="477">
      <x:c r="A477" s="69" t="str">
        <x:v>ITEM00473</x:v>
      </x:c>
      <x:c r="B477" s="69" t="str">
        <x:v>SRC036</x:v>
      </x:c>
      <x:c r="C477" s="69" t="str">
        <x:v>2025-2026</x:v>
      </x:c>
      <x:c r="D477" s="69" t="str">
        <x:v>summary</x:v>
      </x:c>
      <x:c r="E477" s="69" t="str">
        <x:v>文件未載明</x:v>
      </x:c>
      <x:c r="F477" s="71" t="str">
        <x:v>客戶名稱: DA113019 向上建設-拾壹間 報價日期: 25/05/09地址: 苗栗縣後龍 報價單號: S101-250506002電話: 幣 别: NTD聯絡人: 稅別/稅率/含稅否: S004 / 5.00 / N備 註: 業務員: DC4009 黃乙真</x:v>
      </x:c>
      <x:c r="G477" s="71" t="str">
        <x:v>文件未載明</x:v>
      </x:c>
      <x:c r="H477" s="71" t="str">
        <x:v>文件未載明</x:v>
      </x:c>
      <x:c r="I477" s="72"/>
      <x:c r="J477" s="69" t="str">
        <x:v>文件未載明</x:v>
      </x:c>
      <x:c r="K477" s="70"/>
      <x:c r="L477" s="69" t="str">
        <x:v>文件未載明</x:v>
      </x:c>
      <x:c r="M477" s="70"/>
      <x:c r="N477" s="69" t="str">
        <x:v>文件未載明</x:v>
      </x:c>
      <x:c r="O477" s="71" t="str">
        <x:v>文件未載明</x:v>
      </x:c>
      <x:c r="P477" s="71" t="str">
        <x:v>HTML table 1 row 1</x:v>
      </x:c>
      <x:c r="Q477" s="71" t="str">
        <x:v>客戶名稱: DA113019 向上建設-拾壹間 報價日期: 25/05/09地址: 苗栗縣後龍 報價單號: S101-250506002電話: 幣 别: NTD聯絡人: 稅別/稅率/含稅否: S004 / 5.00 / N備 註: 業務員: DC4009 黃乙真</x:v>
      </x:c>
      <x:c r="R477" s="71" t="str">
        <x:v>各廠商合約&amp; 報價\MD檔案\20250508 楠弘柏加 合約.md</x:v>
      </x:c>
    </x:row>
    <x:row r="478">
      <x:c r="A478" s="69" t="str">
        <x:v>ITEM00474</x:v>
      </x:c>
      <x:c r="B478" s="69" t="str">
        <x:v>SRC036</x:v>
      </x:c>
      <x:c r="C478" s="69" t="str">
        <x:v>2025-2026</x:v>
      </x:c>
      <x:c r="D478" s="69" t="str">
        <x:v>header</x:v>
      </x:c>
      <x:c r="E478" s="69" t="str">
        <x:v>項次</x:v>
      </x:c>
      <x:c r="F478" s="71" t="str">
        <x:v>料號品名/規格</x:v>
      </x:c>
      <x:c r="G478" s="71" t="str">
        <x:v>文件未載明</x:v>
      </x:c>
      <x:c r="H478" s="71" t="str">
        <x:v>數量單位</x:v>
      </x:c>
      <x:c r="I478" s="72"/>
      <x:c r="J478" s="69" t="str">
        <x:v>數量單位</x:v>
      </x:c>
      <x:c r="K478" s="70"/>
      <x:c r="L478" s="69" t="str">
        <x:v>單價</x:v>
      </x:c>
      <x:c r="M478" s="70"/>
      <x:c r="N478" s="69" t="str">
        <x:v>含稅金額</x:v>
      </x:c>
      <x:c r="O478" s="71" t="str">
        <x:v>備註</x:v>
      </x:c>
      <x:c r="P478" s="71" t="str">
        <x:v>HTML table 1 row 2</x:v>
      </x:c>
      <x:c r="Q478" s="71" t="str">
        <x:v>項次 | 料號品名/規格 | 數量單位 | 單價 | 含稅金額 | 圖片 | 備註</x:v>
      </x:c>
      <x:c r="R478" s="71" t="str">
        <x:v>各廠商合約&amp; 報價\MD檔案\20250508 楠弘柏加 合約.md</x:v>
      </x:c>
    </x:row>
    <x:row r="479">
      <x:c r="A479" s="69" t="str">
        <x:v>ITEM00475</x:v>
      </x:c>
      <x:c r="B479" s="69" t="str">
        <x:v>SRC036</x:v>
      </x:c>
      <x:c r="C479" s="69" t="str">
        <x:v>2025-2026</x:v>
      </x:c>
      <x:c r="D479" s="69" t="str">
        <x:v>detail</x:v>
      </x:c>
      <x:c r="E479" s="69" t="str">
        <x:v>10</x:v>
      </x:c>
      <x:c r="F479" s="71" t="str">
        <x:v>GR1000534客製化Eurosmart Cosmo廚房伸縮龍頭(原31481001)鉻色/含無鉛軟管</x:v>
      </x:c>
      <x:c r="G479" s="71" t="str">
        <x:v>文件未載明</x:v>
      </x:c>
      <x:c r="H479" s="71" t="str">
        <x:v>11 PCS</x:v>
      </x:c>
      <x:c r="I479" s="72" t="n">
        <x:v>11</x:v>
      </x:c>
      <x:c r="J479" s="69" t="str">
        <x:v>11 PCS</x:v>
      </x:c>
      <x:c r="K479" s="70" t="n">
        <x:v>8381</x:v>
      </x:c>
      <x:c r="L479" s="69" t="str">
        <x:v>8,381.00</x:v>
      </x:c>
      <x:c r="M479" s="70" t="n">
        <x:v>96800</x:v>
      </x:c>
      <x:c r="N479" s="69" t="str">
        <x:v>96,800.00</x:v>
      </x:c>
      <x:c r="O479" s="71" t="str">
        <x:v>文件未載明</x:v>
      </x:c>
      <x:c r="P479" s="71" t="str">
        <x:v>HTML table 1 row 3</x:v>
      </x:c>
      <x:c r="Q479" s="71" t="str">
        <x:v>10 | GR1000534客製化Eurosmart Cosmo廚房伸縮龍頭(原31481001)鉻色/含無鉛軟管 | 11 PCS | 8,381.00 | 96,800.00 | |</x:v>
      </x:c>
      <x:c r="R479" s="71" t="str">
        <x:v>各廠商合約&amp; 報價\MD檔案\20250508 楠弘柏加 合約.md</x:v>
      </x:c>
    </x:row>
    <x:row r="480">
      <x:c r="A480" s="69" t="str">
        <x:v>ITEM00476</x:v>
      </x:c>
      <x:c r="B480" s="69" t="str">
        <x:v>SRC036</x:v>
      </x:c>
      <x:c r="C480" s="69" t="str">
        <x:v>2025-2026</x:v>
      </x:c>
      <x:c r="D480" s="69" t="str">
        <x:v>detail</x:v>
      </x:c>
      <x:c r="E480" s="69" t="str">
        <x:v>20</x:v>
      </x:c>
      <x:c r="F480" s="71" t="str">
        <x:v>MISC以上廚房龍頭安裝費</x:v>
      </x:c>
      <x:c r="G480" s="71" t="str">
        <x:v>文件未載明</x:v>
      </x:c>
      <x:c r="H480" s="71" t="str">
        <x:v>11 PCS</x:v>
      </x:c>
      <x:c r="I480" s="72" t="n">
        <x:v>11</x:v>
      </x:c>
      <x:c r="J480" s="69" t="str">
        <x:v>11 PCS</x:v>
      </x:c>
      <x:c r="K480" s="70" t="n">
        <x:v>1286</x:v>
      </x:c>
      <x:c r="L480" s="69" t="str">
        <x:v>1,286.00</x:v>
      </x:c>
      <x:c r="M480" s="70" t="n">
        <x:v>14850</x:v>
      </x:c>
      <x:c r="N480" s="69" t="str">
        <x:v>14,850.00</x:v>
      </x:c>
      <x:c r="O480" s="71" t="str">
        <x:v>文件未載明</x:v>
      </x:c>
      <x:c r="P480" s="71" t="str">
        <x:v>HTML table 1 row 4</x:v>
      </x:c>
      <x:c r="Q480" s="71" t="str">
        <x:v>20 | MISC以上廚房龍頭安裝費 | 11 PCS | 1,286.00 | 14,850.00 | |</x:v>
      </x:c>
      <x:c r="R480" s="71" t="str">
        <x:v>各廠商合約&amp; 報價\MD檔案\20250508 楠弘柏加 合約.md</x:v>
      </x:c>
    </x:row>
    <x:row r="481">
      <x:c r="A481" s="69" t="str">
        <x:v>ITEM00477</x:v>
      </x:c>
      <x:c r="B481" s="69" t="str">
        <x:v>SRC036</x:v>
      </x:c>
      <x:c r="C481" s="69" t="str">
        <x:v>2025-2026</x:v>
      </x:c>
      <x:c r="D481" s="69" t="str">
        <x:v>note</x:v>
      </x:c>
      <x:c r="E481" s="69" t="str">
        <x:v>備註:</x:v>
      </x:c>
      <x:c r="F481" s="71" t="str">
        <x:v>文件未載明</x:v>
      </x:c>
      <x:c r="G481" s="71" t="str">
        <x:v>文件未載明</x:v>
      </x:c>
      <x:c r="H481" s="71" t="str">
        <x:v>文件未載明</x:v>
      </x:c>
      <x:c r="I481" s="72"/>
      <x:c r="J481" s="69" t="str">
        <x:v>文件未載明</x:v>
      </x:c>
      <x:c r="K481" s="70"/>
      <x:c r="L481" s="69" t="str">
        <x:v>文件未載明</x:v>
      </x:c>
      <x:c r="M481" s="70"/>
      <x:c r="N481" s="69" t="str">
        <x:v>文件未載明</x:v>
      </x:c>
      <x:c r="O481" s="71" t="str">
        <x:v>文件未載明</x:v>
      </x:c>
      <x:c r="P481" s="71" t="str">
        <x:v>HTML table 1 row 5</x:v>
      </x:c>
      <x:c r="Q481" s="71" t="str">
        <x:v>備註:</x:v>
      </x:c>
      <x:c r="R481" s="71" t="str">
        <x:v>各廠商合約&amp; 報價\MD檔案\20250508 楠弘柏加 合約.md</x:v>
      </x:c>
    </x:row>
    <x:row r="482">
      <x:c r="A482" s="69" t="str">
        <x:v>ITEM00478</x:v>
      </x:c>
      <x:c r="B482" s="69" t="str">
        <x:v>SRC036</x:v>
      </x:c>
      <x:c r="C482" s="69" t="str">
        <x:v>2025-2026</x:v>
      </x:c>
      <x:c r="D482" s="69" t="str">
        <x:v>detail</x:v>
      </x:c>
      <x:c r="E482" s="69" t="str">
        <x:v>客戶簽核欄</x:v>
      </x:c>
      <x:c r="F482" s="71" t="str">
        <x:v>公司簽核欄</x:v>
      </x:c>
      <x:c r="G482" s="71" t="str">
        <x:v>文件未載明</x:v>
      </x:c>
      <x:c r="H482" s="71" t="str">
        <x:v>文件未載明</x:v>
      </x:c>
      <x:c r="I482" s="72"/>
      <x:c r="J482" s="69" t="str">
        <x:v>文件未載明</x:v>
      </x:c>
      <x:c r="K482" s="70"/>
      <x:c r="L482" s="69" t="str">
        <x:v>文件未載明</x:v>
      </x:c>
      <x:c r="M482" s="70"/>
      <x:c r="N482" s="69" t="str">
        <x:v>文件未載明</x:v>
      </x:c>
      <x:c r="O482" s="71" t="str">
        <x:v>文件未載明</x:v>
      </x:c>
      <x:c r="P482" s="71" t="str">
        <x:v>HTML table 1 row 6</x:v>
      </x:c>
      <x:c r="Q482" s="71" t="str">
        <x:v>客戶簽核欄 | 公司簽核欄</x:v>
      </x:c>
      <x:c r="R482" s="71" t="str">
        <x:v>各廠商合約&amp; 報價\MD檔案\20250508 楠弘柏加 合約.md</x:v>
      </x:c>
    </x:row>
    <x:row r="483">
      <x:c r="A483" s="69" t="str">
        <x:v>ITEM00479</x:v>
      </x:c>
      <x:c r="B483" s="69" t="str">
        <x:v>SRC036</x:v>
      </x:c>
      <x:c r="C483" s="69" t="str">
        <x:v>2025-2026</x:v>
      </x:c>
      <x:c r="D483" s="69" t="str">
        <x:v>note</x:v>
      </x:c>
      <x:c r="E483" s="69" t="str">
        <x:v>發票選項: □二聯 □三聯式 統一編號: 抬頭:收貨聯絡人: □同客戶名稱 □其它: 電話:收貨地址:發票地址: □同收貨地址 □公司登記地址 □其它:本訂購單須經訂購者及本公司經辦人簽名始生效,日後不得任意更改內容本報價單於報價日期起7日內有效,本價格不含水電配置工程施作,不含埋壁件配置本公司為國外原廠授權之正式代理商,所銷售之品項皆具有保固付款方式:簽訂合約同時須以現金或即期支票給付簽約總貨款 訂金20%:22,330元,交貨總貨款75%:83,738,驗收尾款5%:5,582元匯款帳號:006合作金庫/北新竹分行1243-717-214939柏加企業股份有限公司安裝時間需初步清潔完成,安裝請提早至少兩周前通知,以利安排訂貨及安裝事宜</x:v>
      </x:c>
      <x:c r="F483" s="71" t="str">
        <x:v>文件未載明</x:v>
      </x:c>
      <x:c r="G483" s="71" t="str">
        <x:v>文件未載明</x:v>
      </x:c>
      <x:c r="H483" s="71" t="str">
        <x:v>文件未載明</x:v>
      </x:c>
      <x:c r="I483" s="72"/>
      <x:c r="J483" s="69" t="str">
        <x:v>文件未載明</x:v>
      </x:c>
      <x:c r="K483" s="70"/>
      <x:c r="L483" s="69" t="str">
        <x:v>文件未載明</x:v>
      </x:c>
      <x:c r="M483" s="70"/>
      <x:c r="N483" s="69" t="str">
        <x:v>文件未載明</x:v>
      </x:c>
      <x:c r="O483" s="71" t="str">
        <x:v>文件未載明</x:v>
      </x:c>
      <x:c r="P483" s="71" t="str">
        <x:v>HTML table 1 row 7</x:v>
      </x:c>
      <x:c r="Q483" s="71" t="str">
        <x:v>發票選項: □二聯 □三聯式 統一編號: 抬頭:收貨聯絡人: □同客戶名稱 □其它: 電話:收貨地址:發票地址: □同收貨地址 □公司登記地址 □其它:本訂購單須經訂購者及本公司經辦人簽名始生效,日後不得任意更改內容本報價單於報價日期起7日內有效,本價格不含水電配置工程施作,不含埋壁件配置本公司為國外原廠授權之正式代理商,所銷售之品項皆具有保固付款方式:簽訂合約同時須以現金或即期支票給付簽約總貨款 訂金20%:22,330元,交貨總貨款75%:83,738,驗收尾款5%:5,582元匯款帳號:006合作金庫/北新竹分行1243-717-214939柏加企業股份有限公司安裝時間需初步清潔完成,安…（詳原文索引）</x:v>
      </x:c>
      <x:c r="R483" s="71" t="str">
        <x:v>各廠商合約&amp; 報價\MD檔案\20250508 楠弘柏加 合約.md</x:v>
      </x:c>
    </x:row>
    <x:row r="484">
      <x:c r="A484" s="69" t="str">
        <x:v>ITEM00480</x:v>
      </x:c>
      <x:c r="B484" s="69" t="str">
        <x:v>SRC037</x:v>
      </x:c>
      <x:c r="C484" s="69" t="str">
        <x:v>2025-2026</x:v>
      </x:c>
      <x:c r="D484" s="69" t="str">
        <x:v>party</x:v>
      </x:c>
      <x:c r="E484" s="69" t="str">
        <x:v>文件未載明</x:v>
      </x:c>
      <x:c r="F484" s="71" t="str">
        <x:v>公司名稱:向上建設股份有限公司</x:v>
      </x:c>
      <x:c r="G484" s="71" t="str">
        <x:v>文件未載明</x:v>
      </x:c>
      <x:c r="H484" s="71" t="str">
        <x:v>文件未載明</x:v>
      </x:c>
      <x:c r="I484" s="72"/>
      <x:c r="J484" s="69" t="str">
        <x:v>文件未載明</x:v>
      </x:c>
      <x:c r="K484" s="70"/>
      <x:c r="L484" s="69" t="str">
        <x:v>文件未載明</x:v>
      </x:c>
      <x:c r="M484" s="70"/>
      <x:c r="N484" s="69" t="str">
        <x:v>文件未載明</x:v>
      </x:c>
      <x:c r="O484" s="71" t="str">
        <x:v>文件未載明</x:v>
      </x:c>
      <x:c r="P484" s="71" t="str">
        <x:v>HTML table 1 row 1</x:v>
      </x:c>
      <x:c r="Q484" s="71" t="str">
        <x:v>公司名稱:向上建設股份有限公司 | 地址:苗栗縣竹南鎮中正路423號</x:v>
      </x:c>
      <x:c r="R484" s="71" t="str">
        <x:v>各廠商合約&amp; 報價\MD檔案\20250514 TOTO 衛浴更新.md</x:v>
      </x:c>
    </x:row>
    <x:row r="485">
      <x:c r="A485" s="69" t="str">
        <x:v>ITEM00481</x:v>
      </x:c>
      <x:c r="B485" s="69" t="str">
        <x:v>SRC037</x:v>
      </x:c>
      <x:c r="C485" s="69" t="str">
        <x:v>2025-2026</x:v>
      </x:c>
      <x:c r="D485" s="69" t="str">
        <x:v>detail</x:v>
      </x:c>
      <x:c r="E485" s="69" t="str">
        <x:v>文件未載明</x:v>
      </x:c>
      <x:c r="F485" s="71" t="str">
        <x:v>案件名稱:</x:v>
      </x:c>
      <x:c r="G485" s="71" t="str">
        <x:v>文件未載明</x:v>
      </x:c>
      <x:c r="H485" s="71" t="str">
        <x:v>文件未載明</x:v>
      </x:c>
      <x:c r="I485" s="72"/>
      <x:c r="J485" s="69" t="str">
        <x:v>文件未載明</x:v>
      </x:c>
      <x:c r="K485" s="70"/>
      <x:c r="L485" s="69" t="str">
        <x:v>文件未載明</x:v>
      </x:c>
      <x:c r="M485" s="70"/>
      <x:c r="N485" s="69" t="str">
        <x:v>文件未載明</x:v>
      </x:c>
      <x:c r="O485" s="71" t="str">
        <x:v>文件未載明</x:v>
      </x:c>
      <x:c r="P485" s="71" t="str">
        <x:v>HTML table 1 row 2</x:v>
      </x:c>
      <x:c r="Q485" s="71" t="str">
        <x:v>案件名稱: | 電話:0932-695878</x:v>
      </x:c>
      <x:c r="R485" s="71" t="str">
        <x:v>各廠商合約&amp; 報價\MD檔案\20250514 TOTO 衛浴更新.md</x:v>
      </x:c>
    </x:row>
    <x:row r="486">
      <x:c r="A486" s="69" t="str">
        <x:v>ITEM00482</x:v>
      </x:c>
      <x:c r="B486" s="69" t="str">
        <x:v>SRC037</x:v>
      </x:c>
      <x:c r="C486" s="69" t="str">
        <x:v>2025-2026</x:v>
      </x:c>
      <x:c r="D486" s="69" t="str">
        <x:v>detail</x:v>
      </x:c>
      <x:c r="E486" s="69" t="str">
        <x:v>文件未載明</x:v>
      </x:c>
      <x:c r="F486" s="71" t="str">
        <x:v>聯絡人:洪建豪先生</x:v>
      </x:c>
      <x:c r="G486" s="71" t="str">
        <x:v>文件未載明</x:v>
      </x:c>
      <x:c r="H486" s="71" t="str">
        <x:v>文件未載明</x:v>
      </x:c>
      <x:c r="I486" s="72"/>
      <x:c r="J486" s="69" t="str">
        <x:v>文件未載明</x:v>
      </x:c>
      <x:c r="K486" s="70"/>
      <x:c r="L486" s="69" t="str">
        <x:v>文件未載明</x:v>
      </x:c>
      <x:c r="M486" s="70"/>
      <x:c r="N486" s="69" t="str">
        <x:v>文件未載明</x:v>
      </x:c>
      <x:c r="O486" s="71" t="str">
        <x:v>文件未載明</x:v>
      </x:c>
      <x:c r="P486" s="71" t="str">
        <x:v>HTML table 1 row 3</x:v>
      </x:c>
      <x:c r="Q486" s="71" t="str">
        <x:v>聯絡人:洪建豪先生 | 傳真:</x:v>
      </x:c>
      <x:c r="R486" s="71" t="str">
        <x:v>各廠商合約&amp; 報價\MD檔案\20250514 TOTO 衛浴更新.md</x:v>
      </x:c>
    </x:row>
    <x:row r="487">
      <x:c r="A487" s="69" t="str">
        <x:v>ITEM00483</x:v>
      </x:c>
      <x:c r="B487" s="69" t="str">
        <x:v>SRC037</x:v>
      </x:c>
      <x:c r="C487" s="69" t="str">
        <x:v>2025-2026</x:v>
      </x:c>
      <x:c r="D487" s="69" t="str">
        <x:v>header</x:v>
      </x:c>
      <x:c r="E487" s="69" t="str">
        <x:v>項次</x:v>
      </x:c>
      <x:c r="F487" s="71" t="str">
        <x:v>品名</x:v>
      </x:c>
      <x:c r="G487" s="71" t="str">
        <x:v>規格</x:v>
      </x:c>
      <x:c r="H487" s="71" t="str">
        <x:v>文件未載明</x:v>
      </x:c>
      <x:c r="I487" s="72"/>
      <x:c r="J487" s="69" t="str">
        <x:v>數量</x:v>
      </x:c>
      <x:c r="K487" s="70"/>
      <x:c r="L487" s="69" t="str">
        <x:v>單價</x:v>
      </x:c>
      <x:c r="M487" s="70"/>
      <x:c r="N487" s="69" t="str">
        <x:v>金額</x:v>
      </x:c>
      <x:c r="O487" s="71" t="str">
        <x:v>備 註</x:v>
      </x:c>
      <x:c r="P487" s="71" t="str">
        <x:v>HTML table 1 row 4</x:v>
      </x:c>
      <x:c r="Q487" s="71" t="str">
        <x:v>項次 | 品名 | 規格 | 數量 | 單價 | 金額 | 備 註</x:v>
      </x:c>
      <x:c r="R487" s="71" t="str">
        <x:v>各廠商合約&amp; 報價\MD檔案\20250514 TOTO 衛浴更新.md</x:v>
      </x:c>
    </x:row>
    <x:row r="488">
      <x:c r="A488" s="69" t="str">
        <x:v>ITEM00484</x:v>
      </x:c>
      <x:c r="B488" s="69" t="str">
        <x:v>SRC037</x:v>
      </x:c>
      <x:c r="C488" s="69" t="str">
        <x:v>2025-2026</x:v>
      </x:c>
      <x:c r="D488" s="69" t="str">
        <x:v>detail</x:v>
      </x:c>
      <x:c r="E488" s="69" t="str">
        <x:v>1</x:v>
      </x:c>
      <x:c r="F488" s="71" t="str">
        <x:v>單體馬桶</x:v>
      </x:c>
      <x:c r="G488" s="71" t="str">
        <x:v>CW288SGUR</x:v>
      </x:c>
      <x:c r="H488" s="71" t="str">
        <x:v>文件未載明</x:v>
      </x:c>
      <x:c r="I488" s="72" t="n">
        <x:v>11</x:v>
      </x:c>
      <x:c r="J488" s="69" t="str">
        <x:v>11</x:v>
      </x:c>
      <x:c r="K488" s="70" t="n">
        <x:v>13620</x:v>
      </x:c>
      <x:c r="L488" s="69" t="str">
        <x:v>13,620</x:v>
      </x:c>
      <x:c r="M488" s="70" t="n">
        <x:v>149820</x:v>
      </x:c>
      <x:c r="N488" s="69" t="str">
        <x:v>149,820</x:v>
      </x:c>
      <x:c r="O488" s="71" t="str">
        <x:v>文件未載明</x:v>
      </x:c>
      <x:c r="P488" s="71" t="str">
        <x:v>HTML table 1 row 5</x:v>
      </x:c>
      <x:c r="Q488" s="71" t="str">
        <x:v>1 | 單體馬桶 | CW288SGUR | 11 | 13,620 | 149,820 |</x:v>
      </x:c>
      <x:c r="R488" s="71" t="str">
        <x:v>各廠商合約&amp; 報價\MD檔案\20250514 TOTO 衛浴更新.md</x:v>
      </x:c>
    </x:row>
    <x:row r="489">
      <x:c r="A489" s="69" t="str">
        <x:v>ITEM00485</x:v>
      </x:c>
      <x:c r="B489" s="69" t="str">
        <x:v>SRC037</x:v>
      </x:c>
      <x:c r="C489" s="69" t="str">
        <x:v>2025-2026</x:v>
      </x:c>
      <x:c r="D489" s="69" t="str">
        <x:v>detail</x:v>
      </x:c>
      <x:c r="E489" s="69" t="str">
        <x:v>2</x:v>
      </x:c>
      <x:c r="F489" s="71" t="str">
        <x:v>單體馬桶</x:v>
      </x:c>
      <x:c r="G489" s="71" t="str">
        <x:v>CW889CDRTW</x:v>
      </x:c>
      <x:c r="H489" s="71" t="str">
        <x:v>文件未載明</x:v>
      </x:c>
      <x:c r="I489" s="72" t="n">
        <x:v>11</x:v>
      </x:c>
      <x:c r="J489" s="69" t="str">
        <x:v>11</x:v>
      </x:c>
      <x:c r="K489" s="70" t="n">
        <x:v>12300</x:v>
      </x:c>
      <x:c r="L489" s="69" t="str">
        <x:v>12,300</x:v>
      </x:c>
      <x:c r="M489" s="70" t="n">
        <x:v>135300</x:v>
      </x:c>
      <x:c r="N489" s="69" t="str">
        <x:v>135,300</x:v>
      </x:c>
      <x:c r="O489" s="71" t="str">
        <x:v>文件未載明</x:v>
      </x:c>
      <x:c r="P489" s="71" t="str">
        <x:v>HTML table 1 row 6</x:v>
      </x:c>
      <x:c r="Q489" s="71" t="str">
        <x:v>2 | 單體馬桶 | CW889CDRTW | 11 | 12,300 | 135,300 |</x:v>
      </x:c>
      <x:c r="R489" s="71" t="str">
        <x:v>各廠商合約&amp; 報價\MD檔案\20250514 TOTO 衛浴更新.md</x:v>
      </x:c>
    </x:row>
    <x:row r="490">
      <x:c r="A490" s="69" t="str">
        <x:v>ITEM00486</x:v>
      </x:c>
      <x:c r="B490" s="69" t="str">
        <x:v>SRC037</x:v>
      </x:c>
      <x:c r="C490" s="69" t="str">
        <x:v>2025-2026</x:v>
      </x:c>
      <x:c r="D490" s="69" t="str">
        <x:v>detail</x:v>
      </x:c>
      <x:c r="E490" s="69" t="str">
        <x:v>3</x:v>
      </x:c>
      <x:c r="F490" s="71" t="str">
        <x:v>溫水洗淨便座</x:v>
      </x:c>
      <x:c r="G490" s="71" t="str">
        <x:v>TCF4911ETR</x:v>
      </x:c>
      <x:c r="H490" s="71" t="str">
        <x:v>文件未載明</x:v>
      </x:c>
      <x:c r="I490" s="72" t="n">
        <x:v>11</x:v>
      </x:c>
      <x:c r="J490" s="69" t="str">
        <x:v>11</x:v>
      </x:c>
      <x:c r="K490" s="70" t="n">
        <x:v>31410</x:v>
      </x:c>
      <x:c r="L490" s="69" t="str">
        <x:v>31,410</x:v>
      </x:c>
      <x:c r="M490" s="70" t="n">
        <x:v>345510</x:v>
      </x:c>
      <x:c r="N490" s="69" t="str">
        <x:v>345,510</x:v>
      </x:c>
      <x:c r="O490" s="71" t="str">
        <x:v>特惠價</x:v>
      </x:c>
      <x:c r="P490" s="71" t="str">
        <x:v>HTML table 1 row 7</x:v>
      </x:c>
      <x:c r="Q490" s="71" t="str">
        <x:v>3 | 溫水洗淨便座 | TCF4911ETR | 11 | 31,410 | 345,510 | 特惠價</x:v>
      </x:c>
      <x:c r="R490" s="71" t="str">
        <x:v>各廠商合約&amp; 報價\MD檔案\20250514 TOTO 衛浴更新.md</x:v>
      </x:c>
    </x:row>
    <x:row r="491">
      <x:c r="A491" s="69" t="str">
        <x:v>ITEM00487</x:v>
      </x:c>
      <x:c r="B491" s="69" t="str">
        <x:v>SRC037</x:v>
      </x:c>
      <x:c r="C491" s="69" t="str">
        <x:v>2025-2026</x:v>
      </x:c>
      <x:c r="D491" s="69" t="str">
        <x:v>detail</x:v>
      </x:c>
      <x:c r="E491" s="69" t="str">
        <x:v>4</x:v>
      </x:c>
      <x:c r="F491" s="71" t="str">
        <x:v>溫水洗淨便座</x:v>
      </x:c>
      <x:c r="G491" s="71" t="str">
        <x:v>TCF23360ATW</x:v>
      </x:c>
      <x:c r="H491" s="71" t="str">
        <x:v>文件未載明</x:v>
      </x:c>
      <x:c r="I491" s="72" t="n">
        <x:v>11</x:v>
      </x:c>
      <x:c r="J491" s="69" t="str">
        <x:v>11</x:v>
      </x:c>
      <x:c r="K491" s="70" t="n">
        <x:v>10260</x:v>
      </x:c>
      <x:c r="L491" s="69" t="str">
        <x:v>10,260</x:v>
      </x:c>
      <x:c r="M491" s="70" t="n">
        <x:v>112860</x:v>
      </x:c>
      <x:c r="N491" s="69" t="str">
        <x:v>112,860</x:v>
      </x:c>
      <x:c r="O491" s="71" t="str">
        <x:v>特惠價</x:v>
      </x:c>
      <x:c r="P491" s="71" t="str">
        <x:v>HTML table 1 row 8</x:v>
      </x:c>
      <x:c r="Q491" s="71" t="str">
        <x:v>4 | 溫水洗淨便座 | TCF23360ATW | 11 | 10,260 | 112,860 | 特惠價</x:v>
      </x:c>
      <x:c r="R491" s="71" t="str">
        <x:v>各廠商合約&amp; 報價\MD檔案\20250514 TOTO 衛浴更新.md</x:v>
      </x:c>
    </x:row>
    <x:row r="492">
      <x:c r="A492" s="69" t="str">
        <x:v>ITEM00488</x:v>
      </x:c>
      <x:c r="B492" s="69" t="str">
        <x:v>SRC037</x:v>
      </x:c>
      <x:c r="C492" s="69" t="str">
        <x:v>2025-2026</x:v>
      </x:c>
      <x:c r="D492" s="69" t="str">
        <x:v>detail</x:v>
      </x:c>
      <x:c r="E492" s="69" t="str">
        <x:v>5</x:v>
      </x:c>
      <x:c r="F492" s="71" t="str">
        <x:v>檯面盆</x:v>
      </x:c>
      <x:c r="G492" s="71" t="str">
        <x:v>LW1615CTW</x:v>
      </x:c>
      <x:c r="H492" s="71" t="str">
        <x:v>文件未載明</x:v>
      </x:c>
      <x:c r="I492" s="72" t="n">
        <x:v>22</x:v>
      </x:c>
      <x:c r="J492" s="69" t="str">
        <x:v>22</x:v>
      </x:c>
      <x:c r="K492" s="70" t="n">
        <x:v>8220</x:v>
      </x:c>
      <x:c r="L492" s="69" t="str">
        <x:v>8,220</x:v>
      </x:c>
      <x:c r="M492" s="70" t="n">
        <x:v>180840</x:v>
      </x:c>
      <x:c r="N492" s="69" t="str">
        <x:v>180,840</x:v>
      </x:c>
      <x:c r="O492" s="71" t="str">
        <x:v>文件未載明</x:v>
      </x:c>
      <x:c r="P492" s="71" t="str">
        <x:v>HTML table 1 row 9</x:v>
      </x:c>
      <x:c r="Q492" s="71" t="str">
        <x:v>5 | 檯面盆 | LW1615CTW | 22 | 8,220 | 180,840 |</x:v>
      </x:c>
      <x:c r="R492" s="71" t="str">
        <x:v>各廠商合約&amp; 報價\MD檔案\20250514 TOTO 衛浴更新.md</x:v>
      </x:c>
    </x:row>
    <x:row r="493">
      <x:c r="A493" s="69" t="str">
        <x:v>ITEM00489</x:v>
      </x:c>
      <x:c r="B493" s="69" t="str">
        <x:v>SRC037</x:v>
      </x:c>
      <x:c r="C493" s="69" t="str">
        <x:v>2025-2026</x:v>
      </x:c>
      <x:c r="D493" s="69" t="str">
        <x:v>detail</x:v>
      </x:c>
      <x:c r="E493" s="69" t="str">
        <x:v>6</x:v>
      </x:c>
      <x:c r="F493" s="71" t="str">
        <x:v>白色浴櫃</x:v>
      </x:c>
      <x:c r="G493" s="71" t="str">
        <x:v>C-1615</x:v>
      </x:c>
      <x:c r="H493" s="71" t="str">
        <x:v>文件未載明</x:v>
      </x:c>
      <x:c r="I493" s="72" t="n">
        <x:v>22</x:v>
      </x:c>
      <x:c r="J493" s="69" t="str">
        <x:v>22</x:v>
      </x:c>
      <x:c r="K493" s="70" t="n">
        <x:v>6500</x:v>
      </x:c>
      <x:c r="L493" s="69" t="str">
        <x:v>6,500</x:v>
      </x:c>
      <x:c r="M493" s="70" t="n">
        <x:v>143000</x:v>
      </x:c>
      <x:c r="N493" s="69" t="str">
        <x:v>143,000</x:v>
      </x:c>
      <x:c r="O493" s="71" t="str">
        <x:v>需開衛生紙孔</x:v>
      </x:c>
      <x:c r="P493" s="71" t="str">
        <x:v>HTML table 1 row 10</x:v>
      </x:c>
      <x:c r="Q493" s="71" t="str">
        <x:v>6 | 白色浴櫃 | C-1615 | 22 | 6,500 | 143,000 | 需開衛生紙孔</x:v>
      </x:c>
      <x:c r="R493" s="71" t="str">
        <x:v>各廠商合約&amp; 報價\MD檔案\20250514 TOTO 衛浴更新.md</x:v>
      </x:c>
    </x:row>
    <x:row r="494">
      <x:c r="A494" s="69" t="str">
        <x:v>ITEM00490</x:v>
      </x:c>
      <x:c r="B494" s="69" t="str">
        <x:v>SRC037</x:v>
      </x:c>
      <x:c r="C494" s="69" t="str">
        <x:v>2025-2026</x:v>
      </x:c>
      <x:c r="D494" s="69" t="str">
        <x:v>detail</x:v>
      </x:c>
      <x:c r="E494" s="69" t="str">
        <x:v>7</x:v>
      </x:c>
      <x:c r="F494" s="71" t="str">
        <x:v>面盆龍頭</x:v>
      </x:c>
      <x:c r="G494" s="71" t="str">
        <x:v>TLG02301PC</x:v>
      </x:c>
      <x:c r="H494" s="71" t="str">
        <x:v>文件未載明</x:v>
      </x:c>
      <x:c r="I494" s="72" t="n">
        <x:v>22</x:v>
      </x:c>
      <x:c r="J494" s="69" t="str">
        <x:v>22</x:v>
      </x:c>
      <x:c r="K494" s="70" t="n">
        <x:v>6780</x:v>
      </x:c>
      <x:c r="L494" s="69" t="str">
        <x:v>6,780</x:v>
      </x:c>
      <x:c r="M494" s="70" t="n">
        <x:v>149160</x:v>
      </x:c>
      <x:c r="N494" s="69" t="str">
        <x:v>149,160</x:v>
      </x:c>
      <x:c r="O494" s="71" t="str">
        <x:v>文件未載明</x:v>
      </x:c>
      <x:c r="P494" s="71" t="str">
        <x:v>HTML table 1 row 11</x:v>
      </x:c>
      <x:c r="Q494" s="71" t="str">
        <x:v>7 | 面盆龍頭 | TLG02301PC | 22 | 6,780 | 149,160 |</x:v>
      </x:c>
      <x:c r="R494" s="71" t="str">
        <x:v>各廠商合約&amp; 報價\MD檔案\20250514 TOTO 衛浴更新.md</x:v>
      </x:c>
    </x:row>
    <x:row r="495">
      <x:c r="A495" s="69" t="str">
        <x:v>ITEM00491</x:v>
      </x:c>
      <x:c r="B495" s="69" t="str">
        <x:v>SRC037</x:v>
      </x:c>
      <x:c r="C495" s="69" t="str">
        <x:v>2025-2026</x:v>
      </x:c>
      <x:c r="D495" s="69" t="str">
        <x:v>detail</x:v>
      </x:c>
      <x:c r="E495" s="69" t="str">
        <x:v>8</x:v>
      </x:c>
      <x:c r="F495" s="71" t="str">
        <x:v>淋浴控溫龍頭</x:v>
      </x:c>
      <x:c r="G495" s="71" t="str">
        <x:v>TBV03426P-S2</x:v>
      </x:c>
      <x:c r="H495" s="71" t="str">
        <x:v>文件未載明</x:v>
      </x:c>
      <x:c r="I495" s="72" t="n">
        <x:v>22</x:v>
      </x:c>
      <x:c r="J495" s="69" t="str">
        <x:v>22</x:v>
      </x:c>
      <x:c r="K495" s="70" t="n">
        <x:v>8024</x:v>
      </x:c>
      <x:c r="L495" s="69" t="str">
        <x:v>8,024</x:v>
      </x:c>
      <x:c r="M495" s="70" t="n">
        <x:v>176528</x:v>
      </x:c>
      <x:c r="N495" s="69" t="str">
        <x:v>176,528</x:v>
      </x:c>
      <x:c r="O495" s="71" t="str">
        <x:v>文件未載明</x:v>
      </x:c>
      <x:c r="P495" s="71" t="str">
        <x:v>HTML table 1 row 12</x:v>
      </x:c>
      <x:c r="Q495" s="71" t="str">
        <x:v>8 | 淋浴控溫龍頭 | TBV03426P-S2 | 22 | 8,024 | 176,528 |</x:v>
      </x:c>
      <x:c r="R495" s="71" t="str">
        <x:v>各廠商合約&amp; 報價\MD檔案\20250514 TOTO 衛浴更新.md</x:v>
      </x:c>
    </x:row>
    <x:row r="496">
      <x:c r="A496" s="69" t="str">
        <x:v>ITEM00492</x:v>
      </x:c>
      <x:c r="B496" s="69" t="str">
        <x:v>SRC037</x:v>
      </x:c>
      <x:c r="C496" s="69" t="str">
        <x:v>2025-2026</x:v>
      </x:c>
      <x:c r="D496" s="69" t="str">
        <x:v>detail</x:v>
      </x:c>
      <x:c r="E496" s="69" t="str">
        <x:v>9</x:v>
      </x:c>
      <x:c r="F496" s="71" t="str">
        <x:v>蓮蓬頭一段</x:v>
      </x:c>
      <x:c r="G496" s="71" t="str">
        <x:v>9A519RY-1</x:v>
      </x:c>
      <x:c r="H496" s="71" t="str">
        <x:v>文件未載明</x:v>
      </x:c>
      <x:c r="I496" s="72" t="n">
        <x:v>12</x:v>
      </x:c>
      <x:c r="J496" s="69" t="str">
        <x:v>12</x:v>
      </x:c>
      <x:c r="K496" s="70" t="n">
        <x:v>1593</x:v>
      </x:c>
      <x:c r="L496" s="69" t="str">
        <x:v>1,593</x:v>
      </x:c>
      <x:c r="M496" s="70" t="n">
        <x:v>19116</x:v>
      </x:c>
      <x:c r="N496" s="69" t="str">
        <x:v>19,116</x:v>
      </x:c>
      <x:c r="O496" s="71" t="str">
        <x:v>文件未載明</x:v>
      </x:c>
      <x:c r="P496" s="71" t="str">
        <x:v>HTML table 1 row 13</x:v>
      </x:c>
      <x:c r="Q496" s="71" t="str">
        <x:v>9 | 蓮蓬頭一段 | 9A519RY-1 | 12 | 1,593 | 19,116 |</x:v>
      </x:c>
      <x:c r="R496" s="71" t="str">
        <x:v>各廠商合約&amp; 報價\MD檔案\20250514 TOTO 衛浴更新.md</x:v>
      </x:c>
    </x:row>
    <x:row r="497">
      <x:c r="A497" s="69" t="str">
        <x:v>ITEM00493</x:v>
      </x:c>
      <x:c r="B497" s="69" t="str">
        <x:v>SRC037</x:v>
      </x:c>
      <x:c r="C497" s="69" t="str">
        <x:v>2025-2026</x:v>
      </x:c>
      <x:c r="D497" s="69" t="str">
        <x:v>detail</x:v>
      </x:c>
      <x:c r="E497" s="69" t="str">
        <x:v>10</x:v>
      </x:c>
      <x:c r="F497" s="71" t="str">
        <x:v>蓮蓬頭三段</x:v>
      </x:c>
      <x:c r="G497" s="71" t="str">
        <x:v>9A520SY-1</x:v>
      </x:c>
      <x:c r="H497" s="71" t="str">
        <x:v>文件未載明</x:v>
      </x:c>
      <x:c r="I497" s="72" t="n">
        <x:v>11</x:v>
      </x:c>
      <x:c r="J497" s="69" t="str">
        <x:v>11</x:v>
      </x:c>
      <x:c r="K497" s="70" t="n">
        <x:v>2596</x:v>
      </x:c>
      <x:c r="L497" s="69" t="str">
        <x:v>2,596</x:v>
      </x:c>
      <x:c r="M497" s="70" t="n">
        <x:v>28556</x:v>
      </x:c>
      <x:c r="N497" s="69" t="str">
        <x:v>28,556</x:v>
      </x:c>
      <x:c r="O497" s="71" t="str">
        <x:v>文件未載明</x:v>
      </x:c>
      <x:c r="P497" s="71" t="str">
        <x:v>HTML table 1 row 14</x:v>
      </x:c>
      <x:c r="Q497" s="71" t="str">
        <x:v>10 | 蓮蓬頭三段 | 9A520SY-1 | 11 | 2,596 | 28,556 |</x:v>
      </x:c>
      <x:c r="R497" s="71" t="str">
        <x:v>各廠商合約&amp; 報價\MD檔案\20250514 TOTO 衛浴更新.md</x:v>
      </x:c>
    </x:row>
    <x:row r="498">
      <x:c r="A498" s="69" t="str">
        <x:v>ITEM00494</x:v>
      </x:c>
      <x:c r="B498" s="69" t="str">
        <x:v>SRC037</x:v>
      </x:c>
      <x:c r="C498" s="69" t="str">
        <x:v>2025-2026</x:v>
      </x:c>
      <x:c r="D498" s="69" t="str">
        <x:v>detail</x:v>
      </x:c>
      <x:c r="E498" s="69" t="str">
        <x:v>11</x:v>
      </x:c>
      <x:c r="F498" s="71" t="str">
        <x:v>升降桿</x:v>
      </x:c>
      <x:c r="G498" s="71" t="str">
        <x:v>TBW01016P</x:v>
      </x:c>
      <x:c r="H498" s="71" t="str">
        <x:v>文件未載明</x:v>
      </x:c>
      <x:c r="I498" s="72" t="n">
        <x:v>22</x:v>
      </x:c>
      <x:c r="J498" s="69" t="str">
        <x:v>22</x:v>
      </x:c>
      <x:c r="K498" s="70" t="n">
        <x:v>1534</x:v>
      </x:c>
      <x:c r="L498" s="69" t="str">
        <x:v>1,534</x:v>
      </x:c>
      <x:c r="M498" s="70" t="n">
        <x:v>33748</x:v>
      </x:c>
      <x:c r="N498" s="69" t="str">
        <x:v>33,748</x:v>
      </x:c>
      <x:c r="O498" s="71" t="str">
        <x:v>文件未載明</x:v>
      </x:c>
      <x:c r="P498" s="71" t="str">
        <x:v>HTML table 1 row 15</x:v>
      </x:c>
      <x:c r="Q498" s="71" t="str">
        <x:v>11 | 升降桿 | TBW01016P | 22 | 1,534 | 33,748 |</x:v>
      </x:c>
      <x:c r="R498" s="71" t="str">
        <x:v>各廠商合約&amp; 報價\MD檔案\20250514 TOTO 衛浴更新.md</x:v>
      </x:c>
    </x:row>
    <x:row r="499">
      <x:c r="A499" s="69" t="str">
        <x:v>ITEM00495</x:v>
      </x:c>
      <x:c r="B499" s="69" t="str">
        <x:v>SRC037</x:v>
      </x:c>
      <x:c r="C499" s="69" t="str">
        <x:v>2025-2026</x:v>
      </x:c>
      <x:c r="D499" s="69" t="str">
        <x:v>detail</x:v>
      </x:c>
      <x:c r="E499" s="69" t="str">
        <x:v>12</x:v>
      </x:c>
      <x:c r="F499" s="71" t="str">
        <x:v>暖風乾燥機(無線220V)</x:v>
      </x:c>
      <x:c r="G499" s="71" t="str">
        <x:v>TYB3151AAR</x:v>
      </x:c>
      <x:c r="H499" s="71" t="str">
        <x:v>文件未載明</x:v>
      </x:c>
      <x:c r="I499" s="72" t="n">
        <x:v>22</x:v>
      </x:c>
      <x:c r="J499" s="69" t="str">
        <x:v>22</x:v>
      </x:c>
      <x:c r="K499" s="70" t="n">
        <x:v>13260</x:v>
      </x:c>
      <x:c r="L499" s="69" t="str">
        <x:v>13,260</x:v>
      </x:c>
      <x:c r="M499" s="70" t="n">
        <x:v>291720</x:v>
      </x:c>
      <x:c r="N499" s="69" t="str">
        <x:v>291,720</x:v>
      </x:c>
      <x:c r="O499" s="71" t="str">
        <x:v>文件未載明</x:v>
      </x:c>
      <x:c r="P499" s="71" t="str">
        <x:v>HTML table 1 row 16</x:v>
      </x:c>
      <x:c r="Q499" s="71" t="str">
        <x:v>12 | 暖風乾燥機(無線220V) | TYB3151AAR | 22 | 13,260 | 291,720 |</x:v>
      </x:c>
      <x:c r="R499" s="71" t="str">
        <x:v>各廠商合約&amp; 報價\MD檔案\20250514 TOTO 衛浴更新.md</x:v>
      </x:c>
    </x:row>
    <x:row r="500">
      <x:c r="A500" s="69" t="str">
        <x:v>ITEM00496</x:v>
      </x:c>
      <x:c r="B500" s="69" t="str">
        <x:v>SRC037</x:v>
      </x:c>
      <x:c r="C500" s="69" t="str">
        <x:v>2025-2026</x:v>
      </x:c>
      <x:c r="D500" s="69" t="str">
        <x:v>detail</x:v>
      </x:c>
      <x:c r="E500" s="69" t="str">
        <x:v>13</x:v>
      </x:c>
      <x:c r="F500" s="71" t="str">
        <x:v>置衣平台</x:v>
      </x:c>
      <x:c r="G500" s="71" t="str">
        <x:v>AK15</x:v>
      </x:c>
      <x:c r="H500" s="71" t="str">
        <x:v>文件未載明</x:v>
      </x:c>
      <x:c r="I500" s="72" t="n">
        <x:v>22</x:v>
      </x:c>
      <x:c r="J500" s="69" t="str">
        <x:v>22</x:v>
      </x:c>
      <x:c r="K500" s="70" t="n">
        <x:v>2040</x:v>
      </x:c>
      <x:c r="L500" s="69" t="str">
        <x:v>2,040</x:v>
      </x:c>
      <x:c r="M500" s="70" t="n">
        <x:v>44880</x:v>
      </x:c>
      <x:c r="N500" s="69" t="str">
        <x:v>44,880</x:v>
      </x:c>
      <x:c r="O500" s="71" t="str">
        <x:v>訂金80萬元</x:v>
      </x:c>
      <x:c r="P500" s="71" t="str">
        <x:v>HTML table 1 row 17</x:v>
      </x:c>
      <x:c r="Q500" s="71" t="str">
        <x:v>13 | 置衣平台 | AK15 | 22 | 2,040 | 44,880 | 訂金80萬元</x:v>
      </x:c>
      <x:c r="R500" s="71" t="str">
        <x:v>各廠商合約&amp; 報價\MD檔案\20250514 TOTO 衛浴更新.md</x:v>
      </x:c>
    </x:row>
    <x:row r="501">
      <x:c r="A501" s="69" t="str">
        <x:v>ITEM00497</x:v>
      </x:c>
      <x:c r="B501" s="69" t="str">
        <x:v>SRC037</x:v>
      </x:c>
      <x:c r="C501" s="69" t="str">
        <x:v>2025-2026</x:v>
      </x:c>
      <x:c r="D501" s="69" t="str">
        <x:v>detail</x:v>
      </x:c>
      <x:c r="E501" s="69" t="str">
        <x:v>14</x:v>
      </x:c>
      <x:c r="F501" s="71" t="str">
        <x:v>安裝費</x:v>
      </x:c>
      <x:c r="G501" s="71" t="str">
        <x:v>文件未載明</x:v>
      </x:c>
      <x:c r="H501" s="71" t="str">
        <x:v>文件未載明</x:v>
      </x:c>
      <x:c r="I501" s="72" t="n">
        <x:v>1</x:v>
      </x:c>
      <x:c r="J501" s="69" t="str">
        <x:v>1</x:v>
      </x:c>
      <x:c r="K501" s="70" t="n">
        <x:v>141260</x:v>
      </x:c>
      <x:c r="L501" s="69" t="str">
        <x:v>141,260</x:v>
      </x:c>
      <x:c r="M501" s="70" t="n">
        <x:v>141260</x:v>
      </x:c>
      <x:c r="N501" s="69" t="str">
        <x:v>141,260</x:v>
      </x:c>
      <x:c r="O501" s="71" t="str">
        <x:v>文件未載明</x:v>
      </x:c>
      <x:c r="P501" s="71" t="str">
        <x:v>HTML table 1 row 18</x:v>
      </x:c>
      <x:c r="Q501" s="71" t="str">
        <x:v>14 | 安裝費 | | 1 | 141,260 | 141,260 |</x:v>
      </x:c>
      <x:c r="R501" s="71" t="str">
        <x:v>各廠商合約&amp; 報價\MD檔案\20250514 TOTO 衛浴更新.md</x:v>
      </x:c>
    </x:row>
    <x:row r="502">
      <x:c r="A502" s="69" t="str">
        <x:v>ITEM00498</x:v>
      </x:c>
      <x:c r="B502" s="69" t="str">
        <x:v>SRC037</x:v>
      </x:c>
      <x:c r="C502" s="69" t="str">
        <x:v>2025-2026</x:v>
      </x:c>
      <x:c r="D502" s="69" t="str">
        <x:v>detail</x:v>
      </x:c>
      <x:c r="E502" s="69" t="str">
        <x:v>15</x:v>
      </x:c>
      <x:c r="F502" s="71" t="str">
        <x:v>文件未載明</x:v>
      </x:c>
      <x:c r="G502" s="71" t="str">
        <x:v>文件未載明</x:v>
      </x:c>
      <x:c r="H502" s="71" t="str">
        <x:v>文件未載明</x:v>
      </x:c>
      <x:c r="I502" s="72"/>
      <x:c r="J502" s="69" t="str">
        <x:v>文件未載明</x:v>
      </x:c>
      <x:c r="K502" s="70"/>
      <x:c r="L502" s="69" t="str">
        <x:v>文件未載明</x:v>
      </x:c>
      <x:c r="M502" s="70"/>
      <x:c r="N502" s="69" t="str">
        <x:v>文件未載明</x:v>
      </x:c>
      <x:c r="O502" s="71" t="str">
        <x:v>文件未載明</x:v>
      </x:c>
      <x:c r="P502" s="71" t="str">
        <x:v>HTML table 1 row 19</x:v>
      </x:c>
      <x:c r="Q502" s="71" t="str">
        <x:v>15 | | | | | |</x:v>
      </x:c>
      <x:c r="R502" s="71" t="str">
        <x:v>各廠商合約&amp; 報價\MD檔案\20250514 TOTO 衛浴更新.md</x:v>
      </x:c>
    </x:row>
    <x:row r="503">
      <x:c r="A503" s="69" t="str">
        <x:v>ITEM00499</x:v>
      </x:c>
      <x:c r="B503" s="69" t="str">
        <x:v>SRC037</x:v>
      </x:c>
      <x:c r="C503" s="69" t="str">
        <x:v>2025-2026</x:v>
      </x:c>
      <x:c r="D503" s="69" t="str">
        <x:v>summary</x:v>
      </x:c>
      <x:c r="E503" s="69" t="str">
        <x:v>16</x:v>
      </x:c>
      <x:c r="F503" s="71" t="str">
        <x:v>小計 1,952,298</x:v>
      </x:c>
      <x:c r="G503" s="71" t="str">
        <x:v>文件未載明</x:v>
      </x:c>
      <x:c r="H503" s="71" t="str">
        <x:v>文件未載明</x:v>
      </x:c>
      <x:c r="I503" s="72" t="n">
        <x:v>1952298</x:v>
      </x:c>
      <x:c r="J503" s="69" t="str">
        <x:v>小計 1,952,298</x:v>
      </x:c>
      <x:c r="K503" s="70"/>
      <x:c r="L503" s="69" t="str">
        <x:v>元整</x:v>
      </x:c>
      <x:c r="M503" s="70"/>
      <x:c r="N503" s="69" t="str">
        <x:v>文件未載明</x:v>
      </x:c>
      <x:c r="O503" s="71" t="str">
        <x:v>文件未載明</x:v>
      </x:c>
      <x:c r="P503" s="71" t="str">
        <x:v>HTML table 1 row 20</x:v>
      </x:c>
      <x:c r="Q503" s="71" t="str">
        <x:v>16 | | | 小計 1,952,298 | 元整</x:v>
      </x:c>
      <x:c r="R503" s="71" t="str">
        <x:v>各廠商合約&amp; 報價\MD檔案\20250514 TOTO 衛浴更新.md</x:v>
      </x:c>
    </x:row>
    <x:row r="504">
      <x:c r="A504" s="69" t="str">
        <x:v>ITEM00500</x:v>
      </x:c>
      <x:c r="B504" s="69" t="str">
        <x:v>SRC037</x:v>
      </x:c>
      <x:c r="C504" s="69" t="str">
        <x:v>2025-2026</x:v>
      </x:c>
      <x:c r="D504" s="69" t="str">
        <x:v>detail</x:v>
      </x:c>
      <x:c r="E504" s="69" t="str">
        <x:v>17</x:v>
      </x:c>
      <x:c r="F504" s="71" t="str">
        <x:v>稅額 97,615</x:v>
      </x:c>
      <x:c r="G504" s="71" t="str">
        <x:v>文件未載明</x:v>
      </x:c>
      <x:c r="H504" s="71" t="str">
        <x:v>文件未載明</x:v>
      </x:c>
      <x:c r="I504" s="72" t="n">
        <x:v>97615</x:v>
      </x:c>
      <x:c r="J504" s="69" t="str">
        <x:v>稅額 97,615</x:v>
      </x:c>
      <x:c r="K504" s="70"/>
      <x:c r="L504" s="69" t="str">
        <x:v>元整</x:v>
      </x:c>
      <x:c r="M504" s="70"/>
      <x:c r="N504" s="69" t="str">
        <x:v>文件未載明</x:v>
      </x:c>
      <x:c r="O504" s="71" t="str">
        <x:v>文件未載明</x:v>
      </x:c>
      <x:c r="P504" s="71" t="str">
        <x:v>HTML table 1 row 21</x:v>
      </x:c>
      <x:c r="Q504" s="71" t="str">
        <x:v>17 | | | 稅額 97,615 | 元整</x:v>
      </x:c>
      <x:c r="R504" s="71" t="str">
        <x:v>各廠商合約&amp; 報價\MD檔案\20250514 TOTO 衛浴更新.md</x:v>
      </x:c>
    </x:row>
    <x:row r="505">
      <x:c r="A505" s="69" t="str">
        <x:v>ITEM00501</x:v>
      </x:c>
      <x:c r="B505" s="69" t="str">
        <x:v>SRC037</x:v>
      </x:c>
      <x:c r="C505" s="69" t="str">
        <x:v>2025-2026</x:v>
      </x:c>
      <x:c r="D505" s="69" t="str">
        <x:v>summary</x:v>
      </x:c>
      <x:c r="E505" s="69" t="str">
        <x:v>18</x:v>
      </x:c>
      <x:c r="F505" s="71" t="str">
        <x:v>總計 2,049,913</x:v>
      </x:c>
      <x:c r="G505" s="71" t="str">
        <x:v>文件未載明</x:v>
      </x:c>
      <x:c r="H505" s="71" t="str">
        <x:v>文件未載明</x:v>
      </x:c>
      <x:c r="I505" s="72" t="n">
        <x:v>2049913</x:v>
      </x:c>
      <x:c r="J505" s="69" t="str">
        <x:v>總計 2,049,913</x:v>
      </x:c>
      <x:c r="K505" s="70"/>
      <x:c r="L505" s="69" t="str">
        <x:v>元整</x:v>
      </x:c>
      <x:c r="M505" s="70"/>
      <x:c r="N505" s="69" t="str">
        <x:v>文件未載明</x:v>
      </x:c>
      <x:c r="O505" s="71" t="str">
        <x:v>文件未載明</x:v>
      </x:c>
      <x:c r="P505" s="71" t="str">
        <x:v>HTML table 1 row 22</x:v>
      </x:c>
      <x:c r="Q505" s="71" t="str">
        <x:v>18 | | | 總計 2,049,913 | 元整</x:v>
      </x:c>
      <x:c r="R505" s="71" t="str">
        <x:v>各廠商合約&amp; 報價\MD檔案\20250514 TOTO 衛浴更新.md</x:v>
      </x:c>
    </x:row>
    <x:row r="506">
      <x:c r="A506" s="69" t="str">
        <x:v>ITEM00502</x:v>
      </x:c>
      <x:c r="B506" s="69" t="str">
        <x:v>SRC037</x:v>
      </x:c>
      <x:c r="C506" s="69" t="str">
        <x:v>2025-2026</x:v>
      </x:c>
      <x:c r="D506" s="69" t="str">
        <x:v>summary</x:v>
      </x:c>
      <x:c r="E506" s="69" t="str">
        <x:v>1.本報價單在有效期限內使生效,有效期限至 113年9月2日 2.本報價單上產品,公司保固一年,並負責產品售後服務。 3.本報價單於出貨或安裝後7日內付清款項,付款方式以現金或即期支票方式結清。 4.本報價單於確認同時應付貨品總價百分之三十以上,做為簽約訂金。</x:v>
      </x:c>
      <x:c r="F506" s="71" t="str">
        <x:v>9.若付款方式為匯款/轉帳,請提供帳號後5碼及匯款人姓名。 ◆匯款帳戶如下: 銀行:台灣土地銀行 東新竹分行 (銀行代碼:005) 戶名:晉展股份有限公司 帳號:103-001-005883</x:v>
      </x:c>
      <x:c r="G506" s="71" t="str">
        <x:v>文件未載明</x:v>
      </x:c>
      <x:c r="H506" s="71" t="str">
        <x:v>文件未載明</x:v>
      </x:c>
      <x:c r="I506" s="72"/>
      <x:c r="J506" s="69" t="str">
        <x:v>文件未載明</x:v>
      </x:c>
      <x:c r="K506" s="70"/>
      <x:c r="L506" s="69" t="str">
        <x:v>文件未載明</x:v>
      </x:c>
      <x:c r="M506" s="70"/>
      <x:c r="N506" s="69" t="str">
        <x:v>文件未載明</x:v>
      </x:c>
      <x:c r="O506" s="71" t="str">
        <x:v>文件未載明</x:v>
      </x:c>
      <x:c r="P506" s="71" t="str">
        <x:v>HTML table 1 row 23</x:v>
      </x:c>
      <x:c r="Q506" s="71" t="str">
        <x:v>1.本報價單在有效期限內使生效,有效期限至 113年9月2日 2.本報價單上產品,公司保固一年,並負責產品售後服務。 3.本報價單於出貨或安裝後7日內付清款項,付款方式以現金或即期支票方式結清。 4.本報價單於確認同時應付貨品總價百分之三十以上,做為簽約訂金。 | 9.若付款方式為匯款/轉帳,請提供帳號後5碼及匯款人姓名。 ◆匯款帳戶如下: 銀行:台灣土地銀行 東新竹分行 (銀行代碼:005) 戶名:晉展股份有限公司 帳號:103-001-005883</x:v>
      </x:c>
      <x:c r="R506" s="71" t="str">
        <x:v>各廠商合約&amp; 報價\MD檔案\20250514 TOTO 衛浴更新.md</x:v>
      </x:c>
    </x:row>
    <x:row r="507">
      <x:c r="A507" s="69" t="str">
        <x:v>ITEM00503</x:v>
      </x:c>
      <x:c r="B507" s="69" t="str">
        <x:v>SRC038</x:v>
      </x:c>
      <x:c r="C507" s="69" t="str">
        <x:v>2025-2026</x:v>
      </x:c>
      <x:c r="D507" s="69" t="str">
        <x:v>header</x:v>
      </x:c>
      <x:c r="E507" s="69" t="str">
        <x:v>項次</x:v>
      </x:c>
      <x:c r="F507" s="71" t="str">
        <x:v>工程項目</x:v>
      </x:c>
      <x:c r="G507" s="71" t="str">
        <x:v>文件未載明</x:v>
      </x:c>
      <x:c r="H507" s="71" t="str">
        <x:v>單位</x:v>
      </x:c>
      <x:c r="I507" s="72"/>
      <x:c r="J507" s="69" t="str">
        <x:v>數量</x:v>
      </x:c>
      <x:c r="K507" s="70"/>
      <x:c r="L507" s="69" t="str">
        <x:v>單價</x:v>
      </x:c>
      <x:c r="M507" s="70"/>
      <x:c r="N507" s="69" t="str">
        <x:v>小計</x:v>
      </x:c>
      <x:c r="O507" s="71" t="str">
        <x:v>備註</x:v>
      </x:c>
      <x:c r="P507" s="71" t="str">
        <x:v>HTML table 1 row 1</x:v>
      </x:c>
      <x:c r="Q507" s="71" t="str">
        <x:v>項次 | 工位 | 工程項目 | 單位 | 數量 | 單價 | 小計 | 備註</x:v>
      </x:c>
      <x:c r="R507" s="71" t="str">
        <x:v>各廠商合約&amp; 報價\MD檔案\20250807 順靖 玻璃修復.md</x:v>
      </x:c>
    </x:row>
    <x:row r="508">
      <x:c r="A508" s="69" t="str">
        <x:v>ITEM00504</x:v>
      </x:c>
      <x:c r="B508" s="69" t="str">
        <x:v>SRC038</x:v>
      </x:c>
      <x:c r="C508" s="69" t="str">
        <x:v>2025-2026</x:v>
      </x:c>
      <x:c r="D508" s="69" t="str">
        <x:v>detail</x:v>
      </x:c>
      <x:c r="E508" s="69" t="str">
        <x:v>戶名</x:v>
      </x:c>
      <x:c r="F508" s="71" t="str">
        <x:v>樓層</x:v>
      </x:c>
      <x:c r="G508" s="71" t="str">
        <x:v>文件未載明</x:v>
      </x:c>
      <x:c r="H508" s="71" t="str">
        <x:v>文件未載明</x:v>
      </x:c>
      <x:c r="I508" s="72"/>
      <x:c r="J508" s="69" t="str">
        <x:v>文件未載明</x:v>
      </x:c>
      <x:c r="K508" s="70"/>
      <x:c r="L508" s="69" t="str">
        <x:v>文件未載明</x:v>
      </x:c>
      <x:c r="M508" s="70"/>
      <x:c r="N508" s="69" t="str">
        <x:v>文件未載明</x:v>
      </x:c>
      <x:c r="O508" s="71" t="str">
        <x:v>文件未載明</x:v>
      </x:c>
      <x:c r="P508" s="71" t="str">
        <x:v>HTML table 1 row 2</x:v>
      </x:c>
      <x:c r="Q508" s="71" t="str">
        <x:v>戶名 | 樓層</x:v>
      </x:c>
      <x:c r="R508" s="71" t="str">
        <x:v>各廠商合約&amp; 報價\MD檔案\20250807 順靖 玻璃修復.md</x:v>
      </x:c>
    </x:row>
    <x:row r="509">
      <x:c r="A509" s="69" t="str">
        <x:v>ITEM00505</x:v>
      </x:c>
      <x:c r="B509" s="69" t="str">
        <x:v>SRC038</x:v>
      </x:c>
      <x:c r="C509" s="69" t="str">
        <x:v>2025-2026</x:v>
      </x:c>
      <x:c r="D509" s="69" t="str">
        <x:v>detail</x:v>
      </x:c>
      <x:c r="E509" s="69" t="str">
        <x:v>1</x:v>
      </x:c>
      <x:c r="F509" s="71" t="str">
        <x:v>R1F</x:v>
      </x:c>
      <x:c r="G509" s="71" t="str">
        <x:v>文件未載明</x:v>
      </x:c>
      <x:c r="H509" s="71" t="str">
        <x:v>更換5+5mm單強化透明膠合玻璃上蓋更新、人工費</x:v>
      </x:c>
      <x:c r="I509" s="72"/>
      <x:c r="J509" s="69" t="str">
        <x:v>式</x:v>
      </x:c>
      <x:c r="K509" s="70" t="n">
        <x:v>1</x:v>
      </x:c>
      <x:c r="L509" s="69" t="str">
        <x:v>1</x:v>
      </x:c>
      <x:c r="M509" s="70" t="n">
        <x:v>8000</x:v>
      </x:c>
      <x:c r="N509" s="69" t="str">
        <x:v>$8,000</x:v>
      </x:c>
      <x:c r="O509" s="71" t="str">
        <x:v>$8,000</x:v>
      </x:c>
      <x:c r="P509" s="71" t="str">
        <x:v>HTML table 1 row 3</x:v>
      </x:c>
      <x:c r="Q509" s="71" t="str">
        <x:v>1 | / | R1F | 更換5+5mm單強化透明膠合玻璃上蓋更新、人工費 | 式 | 1 | $8,000 | $8,000 |</x:v>
      </x:c>
      <x:c r="R509" s="71" t="str">
        <x:v>各廠商合約&amp; 報價\MD檔案\20250807 順靖 玻璃修復.md</x:v>
      </x:c>
    </x:row>
    <x:row r="510">
      <x:c r="A510" s="69" t="str">
        <x:v>ITEM00506</x:v>
      </x:c>
      <x:c r="B510" s="69" t="str">
        <x:v>SRC038</x:v>
      </x:c>
      <x:c r="C510" s="69" t="str">
        <x:v>2025-2026</x:v>
      </x:c>
      <x:c r="D510" s="69" t="str">
        <x:v>summary</x:v>
      </x:c>
      <x:c r="E510" s="69" t="str">
        <x:v>小計</x:v>
      </x:c>
      <x:c r="F510" s="71" t="str">
        <x:v>文件未載明</x:v>
      </x:c>
      <x:c r="G510" s="71" t="str">
        <x:v>文件未載明</x:v>
      </x:c>
      <x:c r="H510" s="71" t="str">
        <x:v>文件未載明</x:v>
      </x:c>
      <x:c r="I510" s="72"/>
      <x:c r="J510" s="69" t="str">
        <x:v>文件未載明</x:v>
      </x:c>
      <x:c r="K510" s="70"/>
      <x:c r="L510" s="69" t="str">
        <x:v>文件未載明</x:v>
      </x:c>
      <x:c r="M510" s="70"/>
      <x:c r="N510" s="69" t="str">
        <x:v>文件未載明</x:v>
      </x:c>
      <x:c r="O510" s="71" t="str">
        <x:v>文件未載明</x:v>
      </x:c>
      <x:c r="P510" s="71" t="str">
        <x:v>HTML table 1 row 4</x:v>
      </x:c>
      <x:c r="Q510" s="71" t="str">
        <x:v>小計 | $8,000 |</x:v>
      </x:c>
      <x:c r="R510" s="71" t="str">
        <x:v>各廠商合約&amp; 報價\MD檔案\20250807 順靖 玻璃修復.md</x:v>
      </x:c>
    </x:row>
    <x:row r="511">
      <x:c r="A511" s="69" t="str">
        <x:v>ITEM00507</x:v>
      </x:c>
      <x:c r="B511" s="69" t="str">
        <x:v>SRC039</x:v>
      </x:c>
      <x:c r="C511" s="69" t="str">
        <x:v>2025-2026</x:v>
      </x:c>
      <x:c r="D511" s="69" t="str">
        <x:v>detail</x:v>
      </x:c>
      <x:c r="E511" s="69" t="str">
        <x:v>文件未載明</x:v>
      </x:c>
      <x:c r="F511" s="71" t="str">
        <x:v>工地名稱:向上建設 一期水電工程</x:v>
      </x:c>
      <x:c r="G511" s="71" t="str">
        <x:v>文件未載明</x:v>
      </x:c>
      <x:c r="H511" s="71" t="str">
        <x:v>文件未載明</x:v>
      </x:c>
      <x:c r="I511" s="72"/>
      <x:c r="J511" s="69" t="str">
        <x:v>文件未載明</x:v>
      </x:c>
      <x:c r="K511" s="70"/>
      <x:c r="L511" s="69" t="str">
        <x:v>文件未載明</x:v>
      </x:c>
      <x:c r="M511" s="70"/>
      <x:c r="N511" s="69" t="str">
        <x:v>文件未載明</x:v>
      </x:c>
      <x:c r="O511" s="71" t="str">
        <x:v>文件未載明</x:v>
      </x:c>
      <x:c r="P511" s="71" t="str">
        <x:v>HTML table 1 row 1</x:v>
      </x:c>
      <x:c r="Q511" s="71" t="str">
        <x:v>工地名稱:向上建設 一期水電工程 | 估價日期:114/09/17</x:v>
      </x:c>
      <x:c r="R511" s="71" t="str">
        <x:v>各廠商合約&amp; 報價\MD檔案\20250922宇勝工程行-水電報價單.md</x:v>
      </x:c>
    </x:row>
    <x:row r="512">
      <x:c r="A512" s="69" t="str">
        <x:v>ITEM00508</x:v>
      </x:c>
      <x:c r="B512" s="69" t="str">
        <x:v>SRC039</x:v>
      </x:c>
      <x:c r="C512" s="69" t="str">
        <x:v>2025-2026</x:v>
      </x:c>
      <x:c r="D512" s="69" t="str">
        <x:v>header</x:v>
      </x:c>
      <x:c r="E512" s="69" t="str">
        <x:v>項次</x:v>
      </x:c>
      <x:c r="F512" s="71" t="str">
        <x:v>項目</x:v>
      </x:c>
      <x:c r="G512" s="71" t="str">
        <x:v>文件未載明</x:v>
      </x:c>
      <x:c r="H512" s="71" t="str">
        <x:v>單位</x:v>
      </x:c>
      <x:c r="I512" s="72"/>
      <x:c r="J512" s="69" t="str">
        <x:v>數量</x:v>
      </x:c>
      <x:c r="K512" s="70"/>
      <x:c r="L512" s="69" t="str">
        <x:v>單價</x:v>
      </x:c>
      <x:c r="M512" s="70"/>
      <x:c r="N512" s="69" t="str">
        <x:v>文件未載明</x:v>
      </x:c>
      <x:c r="O512" s="71" t="str">
        <x:v>備註</x:v>
      </x:c>
      <x:c r="P512" s="71" t="str">
        <x:v>HTML table 1 row 2</x:v>
      </x:c>
      <x:c r="Q512" s="71" t="str">
        <x:v>項次 | 項目 | 單位 | 數量 | 單價 | | 備註</x:v>
      </x:c>
      <x:c r="R512" s="71" t="str">
        <x:v>各廠商合約&amp; 報價\MD檔案\20250922宇勝工程行-水電報價單.md</x:v>
      </x:c>
    </x:row>
    <x:row r="513">
      <x:c r="A513" s="69" t="str">
        <x:v>ITEM00509</x:v>
      </x:c>
      <x:c r="B513" s="69" t="str">
        <x:v>SRC039</x:v>
      </x:c>
      <x:c r="C513" s="69" t="str">
        <x:v>2025-2026</x:v>
      </x:c>
      <x:c r="D513" s="69" t="str">
        <x:v>detail</x:v>
      </x:c>
      <x:c r="E513" s="69" t="str">
        <x:v>1</x:v>
      </x:c>
      <x:c r="F513" s="71" t="str">
        <x:v>避雷針工程含線材管材、配管拉線及航空燈</x:v>
      </x:c>
      <x:c r="G513" s="71" t="str">
        <x:v>文件未載明</x:v>
      </x:c>
      <x:c r="H513" s="71" t="str">
        <x:v>式</x:v>
      </x:c>
      <x:c r="I513" s="72" t="n">
        <x:v>1</x:v>
      </x:c>
      <x:c r="J513" s="69" t="str">
        <x:v>1</x:v>
      </x:c>
      <x:c r="K513" s="70" t="n">
        <x:v>193000</x:v>
      </x:c>
      <x:c r="L513" s="69" t="str">
        <x:v>193,000</x:v>
      </x:c>
      <x:c r="M513" s="70"/>
      <x:c r="N513" s="69" t="str">
        <x:v>文件未載明</x:v>
      </x:c>
      <x:c r="O513" s="71" t="str">
        <x:v>不含設備</x:v>
      </x:c>
      <x:c r="P513" s="71" t="str">
        <x:v>HTML table 1 row 3</x:v>
      </x:c>
      <x:c r="Q513" s="71" t="str">
        <x:v>1 | 避雷針工程含線材管材、配管拉線及航空燈 | 式 | 1 | 193,000 | 193,000 | 不含設備</x:v>
      </x:c>
      <x:c r="R513" s="71" t="str">
        <x:v>各廠商合約&amp; 報價\MD檔案\20250922宇勝工程行-水電報價單.md</x:v>
      </x:c>
    </x:row>
    <x:row r="514">
      <x:c r="A514" s="69" t="str">
        <x:v>ITEM00510</x:v>
      </x:c>
      <x:c r="B514" s="69" t="str">
        <x:v>SRC039</x:v>
      </x:c>
      <x:c r="C514" s="69" t="str">
        <x:v>2025-2026</x:v>
      </x:c>
      <x:c r="D514" s="69" t="str">
        <x:v>detail</x:v>
      </x:c>
      <x:c r="E514" s="69" t="str">
        <x:v>2</x:v>
      </x:c>
      <x:c r="F514" s="71" t="str">
        <x:v>充電樁電錶箱電源線及至分路電盤</x:v>
      </x:c>
      <x:c r="G514" s="71" t="str">
        <x:v>文件未載明</x:v>
      </x:c>
      <x:c r="H514" s="71" t="str">
        <x:v>式</x:v>
      </x:c>
      <x:c r="I514" s="72" t="n">
        <x:v>1</x:v>
      </x:c>
      <x:c r="J514" s="69" t="str">
        <x:v>1</x:v>
      </x:c>
      <x:c r="K514" s="70" t="n">
        <x:v>425000</x:v>
      </x:c>
      <x:c r="L514" s="69" t="str">
        <x:v>425,000</x:v>
      </x:c>
      <x:c r="M514" s="70"/>
      <x:c r="N514" s="69" t="str">
        <x:v>文件未載明</x:v>
      </x:c>
      <x:c r="O514" s="71" t="str">
        <x:v>含管線</x:v>
      </x:c>
      <x:c r="P514" s="71" t="str">
        <x:v>HTML table 1 row 4</x:v>
      </x:c>
      <x:c r="Q514" s="71" t="str">
        <x:v>2 | 充電樁電錶箱電源線及至分路電盤 | 式 | 1 | 425,000 | 425,000 | 含管線</x:v>
      </x:c>
      <x:c r="R514" s="71" t="str">
        <x:v>各廠商合約&amp; 報價\MD檔案\20250922宇勝工程行-水電報價單.md</x:v>
      </x:c>
    </x:row>
    <x:row r="515">
      <x:c r="A515" s="69" t="str">
        <x:v>ITEM00511</x:v>
      </x:c>
      <x:c r="B515" s="69" t="str">
        <x:v>SRC039</x:v>
      </x:c>
      <x:c r="C515" s="69" t="str">
        <x:v>2025-2026</x:v>
      </x:c>
      <x:c r="D515" s="69" t="str">
        <x:v>detail</x:v>
      </x:c>
      <x:c r="E515" s="69" t="str">
        <x:v>3</x:v>
      </x:c>
      <x:c r="F515" s="71" t="str">
        <x:v>住戶電錶箱電源線及箱體結線</x:v>
      </x:c>
      <x:c r="G515" s="71" t="str">
        <x:v>文件未載明</x:v>
      </x:c>
      <x:c r="H515" s="71" t="str">
        <x:v>式</x:v>
      </x:c>
      <x:c r="I515" s="72" t="n">
        <x:v>1</x:v>
      </x:c>
      <x:c r="J515" s="69" t="str">
        <x:v>1</x:v>
      </x:c>
      <x:c r="K515" s="70" t="n">
        <x:v>185500</x:v>
      </x:c>
      <x:c r="L515" s="69" t="str">
        <x:v>185,500</x:v>
      </x:c>
      <x:c r="M515" s="70"/>
      <x:c r="N515" s="69" t="str">
        <x:v>文件未載明</x:v>
      </x:c>
      <x:c r="O515" s="71" t="str">
        <x:v>含管線</x:v>
      </x:c>
      <x:c r="P515" s="71" t="str">
        <x:v>HTML table 1 row 5</x:v>
      </x:c>
      <x:c r="Q515" s="71" t="str">
        <x:v>3 | 住戶電錶箱電源線及箱體結線 | 式 | 1 | 185,500 | 185,500 | 含管線</x:v>
      </x:c>
      <x:c r="R515" s="71" t="str">
        <x:v>各廠商合約&amp; 報價\MD檔案\20250922宇勝工程行-水電報價單.md</x:v>
      </x:c>
    </x:row>
    <x:row r="516">
      <x:c r="A516" s="69" t="str">
        <x:v>ITEM00512</x:v>
      </x:c>
      <x:c r="B516" s="69" t="str">
        <x:v>SRC039</x:v>
      </x:c>
      <x:c r="C516" s="69" t="str">
        <x:v>2025-2026</x:v>
      </x:c>
      <x:c r="D516" s="69" t="str">
        <x:v>detail</x:v>
      </x:c>
      <x:c r="E516" s="69" t="str">
        <x:v>4</x:v>
      </x:c>
      <x:c r="F516" s="71" t="str">
        <x:v>公設電錶箱電源線及連結至各區域電源施工</x:v>
      </x:c>
      <x:c r="G516" s="71" t="str">
        <x:v>文件未載明</x:v>
      </x:c>
      <x:c r="H516" s="71" t="str">
        <x:v>式</x:v>
      </x:c>
      <x:c r="I516" s="72" t="n">
        <x:v>1</x:v>
      </x:c>
      <x:c r="J516" s="69" t="str">
        <x:v>1</x:v>
      </x:c>
      <x:c r="K516" s="70" t="n">
        <x:v>528500</x:v>
      </x:c>
      <x:c r="L516" s="69" t="str">
        <x:v>528,500</x:v>
      </x:c>
      <x:c r="M516" s="70"/>
      <x:c r="N516" s="69" t="str">
        <x:v>文件未載明</x:v>
      </x:c>
      <x:c r="O516" s="71" t="str">
        <x:v>含公設查線</x:v>
      </x:c>
      <x:c r="P516" s="71" t="str">
        <x:v>HTML table 1 row 6</x:v>
      </x:c>
      <x:c r="Q516" s="71" t="str">
        <x:v>4 | 公設電錶箱電源線及連結至各區域電源施工 | 式 | 1 | 528,500 | 528,500 | 含公設查線</x:v>
      </x:c>
      <x:c r="R516" s="71" t="str">
        <x:v>各廠商合約&amp; 報價\MD檔案\20250922宇勝工程行-水電報價單.md</x:v>
      </x:c>
    </x:row>
    <x:row r="517">
      <x:c r="A517" s="69" t="str">
        <x:v>ITEM00513</x:v>
      </x:c>
      <x:c r="B517" s="69" t="str">
        <x:v>SRC039</x:v>
      </x:c>
      <x:c r="C517" s="69" t="str">
        <x:v>2025-2026</x:v>
      </x:c>
      <x:c r="D517" s="69" t="str">
        <x:v>detail</x:v>
      </x:c>
      <x:c r="E517" s="69" t="str">
        <x:v>5</x:v>
      </x:c>
      <x:c r="F517" s="71" t="str">
        <x:v>機械停車設備電源</x:v>
      </x:c>
      <x:c r="G517" s="71" t="str">
        <x:v>文件未載明</x:v>
      </x:c>
      <x:c r="H517" s="71" t="str">
        <x:v>式</x:v>
      </x:c>
      <x:c r="I517" s="72" t="n">
        <x:v>1</x:v>
      </x:c>
      <x:c r="J517" s="69" t="str">
        <x:v>1</x:v>
      </x:c>
      <x:c r="K517" s="70" t="n">
        <x:v>26000</x:v>
      </x:c>
      <x:c r="L517" s="69" t="str">
        <x:v>26,000</x:v>
      </x:c>
      <x:c r="M517" s="70"/>
      <x:c r="N517" s="69" t="str">
        <x:v>文件未載明</x:v>
      </x:c>
      <x:c r="O517" s="71" t="str">
        <x:v>含管線</x:v>
      </x:c>
      <x:c r="P517" s="71" t="str">
        <x:v>HTML table 1 row 7</x:v>
      </x:c>
      <x:c r="Q517" s="71" t="str">
        <x:v>5 | 機械停車設備電源 | 式 | 1 | 26,000 | 26,000 | 含管線</x:v>
      </x:c>
      <x:c r="R517" s="71" t="str">
        <x:v>各廠商合約&amp; 報價\MD檔案\20250922宇勝工程行-水電報價單.md</x:v>
      </x:c>
    </x:row>
    <x:row r="518">
      <x:c r="A518" s="69" t="str">
        <x:v>ITEM00514</x:v>
      </x:c>
      <x:c r="B518" s="69" t="str">
        <x:v>SRC039</x:v>
      </x:c>
      <x:c r="C518" s="69" t="str">
        <x:v>2025-2026</x:v>
      </x:c>
      <x:c r="D518" s="69" t="str">
        <x:v>detail</x:v>
      </x:c>
      <x:c r="E518" s="69" t="str">
        <x:v>6</x:v>
      </x:c>
      <x:c r="F518" s="71" t="str">
        <x:v>屋頂水塔更改3"白鐵幹管及水錶座連結</x:v>
      </x:c>
      <x:c r="G518" s="71" t="str">
        <x:v>文件未載明</x:v>
      </x:c>
      <x:c r="H518" s="71" t="str">
        <x:v>式</x:v>
      </x:c>
      <x:c r="I518" s="72" t="n">
        <x:v>1</x:v>
      </x:c>
      <x:c r="J518" s="69" t="str">
        <x:v>1</x:v>
      </x:c>
      <x:c r="K518" s="70" t="n">
        <x:v>235000</x:v>
      </x:c>
      <x:c r="L518" s="69" t="str">
        <x:v>235,000</x:v>
      </x:c>
      <x:c r="M518" s="70"/>
      <x:c r="N518" s="69" t="str">
        <x:v>文件未載明</x:v>
      </x:c>
      <x:c r="O518" s="71" t="str">
        <x:v>含管料</x:v>
      </x:c>
      <x:c r="P518" s="71" t="str">
        <x:v>HTML table 1 row 8</x:v>
      </x:c>
      <x:c r="Q518" s="71" t="str">
        <x:v>6 | 屋頂水塔更改3"白鐵幹管及水錶座連結 | 式 | 1 | 235,000 | 235,000 | 含管料</x:v>
      </x:c>
      <x:c r="R518" s="71" t="str">
        <x:v>各廠商合約&amp; 報價\MD檔案\20250922宇勝工程行-水電報價單.md</x:v>
      </x:c>
    </x:row>
    <x:row r="519">
      <x:c r="A519" s="69" t="str">
        <x:v>ITEM00515</x:v>
      </x:c>
      <x:c r="B519" s="69" t="str">
        <x:v>SRC039</x:v>
      </x:c>
      <x:c r="C519" s="69" t="str">
        <x:v>2025-2026</x:v>
      </x:c>
      <x:c r="D519" s="69" t="str">
        <x:v>detail</x:v>
      </x:c>
      <x:c r="E519" s="69" t="str">
        <x:v>文件未載明</x:v>
      </x:c>
      <x:c r="F519" s="71" t="str">
        <x:v>一樓蓄水水塔訂製11/2噸</x:v>
      </x:c>
      <x:c r="G519" s="71" t="str">
        <x:v>文件未載明</x:v>
      </x:c>
      <x:c r="H519" s="71" t="str">
        <x:v>只</x:v>
      </x:c>
      <x:c r="I519" s="72" t="n">
        <x:v>2</x:v>
      </x:c>
      <x:c r="J519" s="69" t="str">
        <x:v>2</x:v>
      </x:c>
      <x:c r="K519" s="70" t="n">
        <x:v>15800</x:v>
      </x:c>
      <x:c r="L519" s="69" t="str">
        <x:v>15,800</x:v>
      </x:c>
      <x:c r="M519" s="70"/>
      <x:c r="N519" s="69" t="str">
        <x:v>文件未載明</x:v>
      </x:c>
      <x:c r="O519" s="71" t="str">
        <x:v>文件未載明</x:v>
      </x:c>
      <x:c r="P519" s="71" t="str">
        <x:v>HTML table 1 row 9</x:v>
      </x:c>
      <x:c r="Q519" s="71" t="str">
        <x:v>| 一樓蓄水水塔訂製11/2噸 | 只 | 2 | 15,800 | 31,600 |</x:v>
      </x:c>
      <x:c r="R519" s="71" t="str">
        <x:v>各廠商合約&amp; 報價\MD檔案\20250922宇勝工程行-水電報價單.md</x:v>
      </x:c>
    </x:row>
    <x:row r="520">
      <x:c r="A520" s="69" t="str">
        <x:v>ITEM00516</x:v>
      </x:c>
      <x:c r="B520" s="69" t="str">
        <x:v>SRC039</x:v>
      </x:c>
      <x:c r="C520" s="69" t="str">
        <x:v>2025-2026</x:v>
      </x:c>
      <x:c r="D520" s="69" t="str">
        <x:v>detail</x:v>
      </x:c>
      <x:c r="E520" s="69" t="str">
        <x:v>7</x:v>
      </x:c>
      <x:c r="F520" s="71" t="str">
        <x:v>屋頂水塔訂製成3"出口(不含吊車費用)</x:v>
      </x:c>
      <x:c r="G520" s="71" t="str">
        <x:v>文件未載明</x:v>
      </x:c>
      <x:c r="H520" s="71" t="str">
        <x:v>只</x:v>
      </x:c>
      <x:c r="I520" s="72" t="n">
        <x:v>7</x:v>
      </x:c>
      <x:c r="J520" s="69" t="str">
        <x:v>7</x:v>
      </x:c>
      <x:c r="K520" s="70" t="n">
        <x:v>15800</x:v>
      </x:c>
      <x:c r="L520" s="69" t="str">
        <x:v>15,800</x:v>
      </x:c>
      <x:c r="M520" s="70"/>
      <x:c r="N520" s="69" t="str">
        <x:v>文件未載明</x:v>
      </x:c>
      <x:c r="O520" s="71" t="str">
        <x:v>11/2噸</x:v>
      </x:c>
      <x:c r="P520" s="71" t="str">
        <x:v>HTML table 1 row 10</x:v>
      </x:c>
      <x:c r="Q520" s="71" t="str">
        <x:v>7 | 屋頂水塔訂製成3"出口(不含吊車費用) | 只 | 7 | 15,800 | 110,600 | 11/2噸</x:v>
      </x:c>
      <x:c r="R520" s="71" t="str">
        <x:v>各廠商合約&amp; 報價\MD檔案\20250922宇勝工程行-水電報價單.md</x:v>
      </x:c>
    </x:row>
    <x:row r="521">
      <x:c r="A521" s="69" t="str">
        <x:v>ITEM00517</x:v>
      </x:c>
      <x:c r="B521" s="69" t="str">
        <x:v>SRC039</x:v>
      </x:c>
      <x:c r="C521" s="69" t="str">
        <x:v>2025-2026</x:v>
      </x:c>
      <x:c r="D521" s="69" t="str">
        <x:v>detail</x:v>
      </x:c>
      <x:c r="E521" s="69" t="str">
        <x:v>8</x:v>
      </x:c>
      <x:c r="F521" s="71" t="str">
        <x:v>A戶6、7樓、B戶5、6樓加壓馬達及電源線</x:v>
      </x:c>
      <x:c r="G521" s="71" t="str">
        <x:v>文件未載明</x:v>
      </x:c>
      <x:c r="H521" s="71" t="str">
        <x:v>台</x:v>
      </x:c>
      <x:c r="I521" s="72" t="n">
        <x:v>4</x:v>
      </x:c>
      <x:c r="J521" s="69" t="str">
        <x:v>4</x:v>
      </x:c>
      <x:c r="K521" s="70" t="n">
        <x:v>12500</x:v>
      </x:c>
      <x:c r="L521" s="69" t="str">
        <x:v>12,500</x:v>
      </x:c>
      <x:c r="M521" s="70"/>
      <x:c r="N521" s="69" t="str">
        <x:v>文件未載明</x:v>
      </x:c>
      <x:c r="O521" s="71" t="str">
        <x:v>含管線馬達</x:v>
      </x:c>
      <x:c r="P521" s="71" t="str">
        <x:v>HTML table 1 row 11</x:v>
      </x:c>
      <x:c r="Q521" s="71" t="str">
        <x:v>8 | A戶6、7樓、B戶5、6樓加壓馬達及電源線 | 台 | 4 | 12,500 | 50,000 | 含管線馬達</x:v>
      </x:c>
      <x:c r="R521" s="71" t="str">
        <x:v>各廠商合約&amp; 報價\MD檔案\20250922宇勝工程行-水電報價單.md</x:v>
      </x:c>
    </x:row>
    <x:row r="522">
      <x:c r="A522" s="69" t="str">
        <x:v>ITEM00518</x:v>
      </x:c>
      <x:c r="B522" s="69" t="str">
        <x:v>SRC039</x:v>
      </x:c>
      <x:c r="C522" s="69" t="str">
        <x:v>2025-2026</x:v>
      </x:c>
      <x:c r="D522" s="69" t="str">
        <x:v>detail</x:v>
      </x:c>
      <x:c r="E522" s="69" t="str">
        <x:v>9</x:v>
      </x:c>
      <x:c r="F522" s="71" t="str">
        <x:v>自來水楊水更改為白鐵管及加裝水垂吸收器</x:v>
      </x:c>
      <x:c r="G522" s="71" t="str">
        <x:v>文件未載明</x:v>
      </x:c>
      <x:c r="H522" s="71" t="str">
        <x:v>式</x:v>
      </x:c>
      <x:c r="I522" s="72" t="n">
        <x:v>1</x:v>
      </x:c>
      <x:c r="J522" s="69" t="str">
        <x:v>1</x:v>
      </x:c>
      <x:c r="K522" s="70" t="n">
        <x:v>85000</x:v>
      </x:c>
      <x:c r="L522" s="69" t="str">
        <x:v>85,000</x:v>
      </x:c>
      <x:c r="M522" s="70"/>
      <x:c r="N522" s="69" t="str">
        <x:v>文件未載明</x:v>
      </x:c>
      <x:c r="O522" s="71" t="str">
        <x:v>含管料</x:v>
      </x:c>
      <x:c r="P522" s="71" t="str">
        <x:v>HTML table 1 row 12</x:v>
      </x:c>
      <x:c r="Q522" s="71" t="str">
        <x:v>9 | 自來水楊水更改為白鐵管及加裝水垂吸收器 | 式 | 1 | 85,000 | 85,000 | 含管料</x:v>
      </x:c>
      <x:c r="R522" s="71" t="str">
        <x:v>各廠商合約&amp; 報價\MD檔案\20250922宇勝工程行-水電報價單.md</x:v>
      </x:c>
    </x:row>
    <x:row r="523">
      <x:c r="A523" s="69" t="str">
        <x:v>ITEM00519</x:v>
      </x:c>
      <x:c r="B523" s="69" t="str">
        <x:v>SRC039</x:v>
      </x:c>
      <x:c r="C523" s="69" t="str">
        <x:v>2025-2026</x:v>
      </x:c>
      <x:c r="D523" s="69" t="str">
        <x:v>detail</x:v>
      </x:c>
      <x:c r="E523" s="69" t="str">
        <x:v>10</x:v>
      </x:c>
      <x:c r="F523" s="71" t="str">
        <x:v>楊水馬達陸上型交替運轉一組含安裝及管料</x:v>
      </x:c>
      <x:c r="G523" s="71" t="str">
        <x:v>文件未載明</x:v>
      </x:c>
      <x:c r="H523" s="71" t="str">
        <x:v>式</x:v>
      </x:c>
      <x:c r="I523" s="72" t="n">
        <x:v>1</x:v>
      </x:c>
      <x:c r="J523" s="69" t="str">
        <x:v>1</x:v>
      </x:c>
      <x:c r="K523" s="70" t="n">
        <x:v>75000</x:v>
      </x:c>
      <x:c r="L523" s="69" t="str">
        <x:v>75,000</x:v>
      </x:c>
      <x:c r="M523" s="70"/>
      <x:c r="N523" s="69" t="str">
        <x:v>文件未載明</x:v>
      </x:c>
      <x:c r="O523" s="71" t="str">
        <x:v>文件未載明</x:v>
      </x:c>
      <x:c r="P523" s="71" t="str">
        <x:v>HTML table 1 row 13</x:v>
      </x:c>
      <x:c r="Q523" s="71" t="str">
        <x:v>10 | 楊水馬達陸上型交替運轉一組含安裝及管料 | 式 | 1 | 75,000 | 75,000 |</x:v>
      </x:c>
      <x:c r="R523" s="71" t="str">
        <x:v>各廠商合約&amp; 報價\MD檔案\20250922宇勝工程行-水電報價單.md</x:v>
      </x:c>
    </x:row>
    <x:row r="524">
      <x:c r="A524" s="69" t="str">
        <x:v>ITEM00520</x:v>
      </x:c>
      <x:c r="B524" s="69" t="str">
        <x:v>SRC039</x:v>
      </x:c>
      <x:c r="C524" s="69" t="str">
        <x:v>2025-2026</x:v>
      </x:c>
      <x:c r="D524" s="69" t="str">
        <x:v>detail</x:v>
      </x:c>
      <x:c r="E524" s="69" t="str">
        <x:v>11</x:v>
      </x:c>
      <x:c r="F524" s="71" t="str">
        <x:v>各戶暖風機電源更改及開關更換</x:v>
      </x:c>
      <x:c r="G524" s="71" t="str">
        <x:v>文件未載明</x:v>
      </x:c>
      <x:c r="H524" s="71" t="str">
        <x:v>戶</x:v>
      </x:c>
      <x:c r="I524" s="72" t="n">
        <x:v>11</x:v>
      </x:c>
      <x:c r="J524" s="69" t="str">
        <x:v>11</x:v>
      </x:c>
      <x:c r="K524" s="70" t="n">
        <x:v>1650</x:v>
      </x:c>
      <x:c r="L524" s="69" t="str">
        <x:v>1,650</x:v>
      </x:c>
      <x:c r="M524" s="70"/>
      <x:c r="N524" s="69" t="str">
        <x:v>文件未載明</x:v>
      </x:c>
      <x:c r="O524" s="71" t="str">
        <x:v>含管線</x:v>
      </x:c>
      <x:c r="P524" s="71" t="str">
        <x:v>HTML table 1 row 14</x:v>
      </x:c>
      <x:c r="Q524" s="71" t="str">
        <x:v>11 | 各戶暖風機電源更改及開關更換 | 戶 | 11 | 1,650 | 18,150 | 含管線</x:v>
      </x:c>
      <x:c r="R524" s="71" t="str">
        <x:v>各廠商合約&amp; 報價\MD檔案\20250922宇勝工程行-水電報價單.md</x:v>
      </x:c>
    </x:row>
    <x:row r="525">
      <x:c r="A525" s="69" t="str">
        <x:v>ITEM00521</x:v>
      </x:c>
      <x:c r="B525" s="69" t="str">
        <x:v>SRC039</x:v>
      </x:c>
      <x:c r="C525" s="69" t="str">
        <x:v>2025-2026</x:v>
      </x:c>
      <x:c r="D525" s="69" t="str">
        <x:v>detail</x:v>
      </x:c>
      <x:c r="E525" s="69" t="str">
        <x:v>12</x:v>
      </x:c>
      <x:c r="F525" s="71" t="str">
        <x:v>各戶增設一組220V專用插座連工帶料</x:v>
      </x:c>
      <x:c r="G525" s="71" t="str">
        <x:v>文件未載明</x:v>
      </x:c>
      <x:c r="H525" s="71" t="str">
        <x:v>迴</x:v>
      </x:c>
      <x:c r="I525" s="72" t="n">
        <x:v>11</x:v>
      </x:c>
      <x:c r="J525" s="69" t="str">
        <x:v>11</x:v>
      </x:c>
      <x:c r="K525" s="70" t="n">
        <x:v>4800</x:v>
      </x:c>
      <x:c r="L525" s="69" t="str">
        <x:v>4,800</x:v>
      </x:c>
      <x:c r="M525" s="70"/>
      <x:c r="N525" s="69" t="str">
        <x:v>文件未載明</x:v>
      </x:c>
      <x:c r="O525" s="71" t="str">
        <x:v>含管線</x:v>
      </x:c>
      <x:c r="P525" s="71" t="str">
        <x:v>HTML table 1 row 15</x:v>
      </x:c>
      <x:c r="Q525" s="71" t="str">
        <x:v>12 | 各戶增設一組220V專用插座連工帶料 | 迴 | 11 | 4,800 | 52,800 | 含管線</x:v>
      </x:c>
      <x:c r="R525" s="71" t="str">
        <x:v>各廠商合約&amp; 報價\MD檔案\20250922宇勝工程行-水電報價單.md</x:v>
      </x:c>
    </x:row>
    <x:row r="526">
      <x:c r="A526" s="69" t="str">
        <x:v>ITEM00522</x:v>
      </x:c>
      <x:c r="B526" s="69" t="str">
        <x:v>SRC039</x:v>
      </x:c>
      <x:c r="C526" s="69" t="str">
        <x:v>2025-2026</x:v>
      </x:c>
      <x:c r="D526" s="69" t="str">
        <x:v>detail</x:v>
      </x:c>
      <x:c r="E526" s="69" t="str">
        <x:v>13</x:v>
      </x:c>
      <x:c r="F526" s="71" t="str">
        <x:v>各戶廚房排水彎吊管90度彎頭更改</x:v>
      </x:c>
      <x:c r="G526" s="71" t="str">
        <x:v>文件未載明</x:v>
      </x:c>
      <x:c r="H526" s="71" t="str">
        <x:v>戶</x:v>
      </x:c>
      <x:c r="I526" s="72" t="n">
        <x:v>11</x:v>
      </x:c>
      <x:c r="J526" s="69" t="str">
        <x:v>11</x:v>
      </x:c>
      <x:c r="K526" s="70" t="n">
        <x:v>1800</x:v>
      </x:c>
      <x:c r="L526" s="69" t="str">
        <x:v>1,800</x:v>
      </x:c>
      <x:c r="M526" s="70"/>
      <x:c r="N526" s="69" t="str">
        <x:v>文件未載明</x:v>
      </x:c>
      <x:c r="O526" s="71" t="str">
        <x:v>含管料</x:v>
      </x:c>
      <x:c r="P526" s="71" t="str">
        <x:v>HTML table 1 row 16</x:v>
      </x:c>
      <x:c r="Q526" s="71" t="str">
        <x:v>13 | 各戶廚房排水彎吊管90度彎頭更改 | 戶 | 11 | 1,800 | 19,800 | 含管料</x:v>
      </x:c>
      <x:c r="R526" s="71" t="str">
        <x:v>各廠商合約&amp; 報價\MD檔案\20250922宇勝工程行-水電報價單.md</x:v>
      </x:c>
    </x:row>
    <x:row r="527">
      <x:c r="A527" s="69" t="str">
        <x:v>ITEM00523</x:v>
      </x:c>
      <x:c r="B527" s="69" t="str">
        <x:v>SRC039</x:v>
      </x:c>
      <x:c r="C527" s="69" t="str">
        <x:v>2025-2026</x:v>
      </x:c>
      <x:c r="D527" s="69" t="str">
        <x:v>detail</x:v>
      </x:c>
      <x:c r="E527" s="69" t="str">
        <x:v>14</x:v>
      </x:c>
      <x:c r="F527" s="71" t="str">
        <x:v>各戶冷熱水管試壓及確認下水管樓層不含漏水處理</x:v>
      </x:c>
      <x:c r="G527" s="71" t="str">
        <x:v>文件未載明</x:v>
      </x:c>
      <x:c r="H527" s="71" t="str">
        <x:v>戶</x:v>
      </x:c>
      <x:c r="I527" s="72" t="n">
        <x:v>11</x:v>
      </x:c>
      <x:c r="J527" s="69" t="str">
        <x:v>11</x:v>
      </x:c>
      <x:c r="K527" s="70" t="n">
        <x:v>3600</x:v>
      </x:c>
      <x:c r="L527" s="69" t="str">
        <x:v>3,600</x:v>
      </x:c>
      <x:c r="M527" s="70"/>
      <x:c r="N527" s="69" t="str">
        <x:v>文件未載明</x:v>
      </x:c>
      <x:c r="O527" s="71" t="str">
        <x:v>文件未載明</x:v>
      </x:c>
      <x:c r="P527" s="71" t="str">
        <x:v>HTML table 1 row 17</x:v>
      </x:c>
      <x:c r="Q527" s="71" t="str">
        <x:v>14 | 各戶冷熱水管試壓及確認下水管樓層不含漏水處理 | 戶 | 11 | 3,600 | 39,600 |</x:v>
      </x:c>
      <x:c r="R527" s="71" t="str">
        <x:v>各廠商合約&amp; 報價\MD檔案\20250922宇勝工程行-水電報價單.md</x:v>
      </x:c>
    </x:row>
    <x:row r="528">
      <x:c r="A528" s="69" t="str">
        <x:v>ITEM00524</x:v>
      </x:c>
      <x:c r="B528" s="69" t="str">
        <x:v>SRC039</x:v>
      </x:c>
      <x:c r="C528" s="69" t="str">
        <x:v>2025-2026</x:v>
      </x:c>
      <x:c r="D528" s="69" t="str">
        <x:v>detail</x:v>
      </x:c>
      <x:c r="E528" s="69" t="str">
        <x:v>15</x:v>
      </x:c>
      <x:c r="F528" s="71" t="str">
        <x:v>發電機、及消防用電管材及線材更改</x:v>
      </x:c>
      <x:c r="G528" s="71" t="str">
        <x:v>文件未載明</x:v>
      </x:c>
      <x:c r="H528" s="71" t="str">
        <x:v>式</x:v>
      </x:c>
      <x:c r="I528" s="72" t="n">
        <x:v>1</x:v>
      </x:c>
      <x:c r="J528" s="69" t="str">
        <x:v>1</x:v>
      </x:c>
      <x:c r="K528" s="70" t="n">
        <x:v>232000</x:v>
      </x:c>
      <x:c r="L528" s="69" t="str">
        <x:v>232,000</x:v>
      </x:c>
      <x:c r="M528" s="70"/>
      <x:c r="N528" s="69" t="str">
        <x:v>文件未載明</x:v>
      </x:c>
      <x:c r="O528" s="71" t="str">
        <x:v>含管線</x:v>
      </x:c>
      <x:c r="P528" s="71" t="str">
        <x:v>HTML table 1 row 18</x:v>
      </x:c>
      <x:c r="Q528" s="71" t="str">
        <x:v>15 | 發電機、及消防用電管材及線材更改 | 式 | 1 | 232,000 | 232,000 | 含管線</x:v>
      </x:c>
      <x:c r="R528" s="71" t="str">
        <x:v>各廠商合約&amp; 報價\MD檔案\20250922宇勝工程行-水電報價單.md</x:v>
      </x:c>
    </x:row>
    <x:row r="529">
      <x:c r="A529" s="69" t="str">
        <x:v>ITEM00525</x:v>
      </x:c>
      <x:c r="B529" s="69" t="str">
        <x:v>SRC039</x:v>
      </x:c>
      <x:c r="C529" s="69" t="str">
        <x:v>2025-2026</x:v>
      </x:c>
      <x:c r="D529" s="69" t="str">
        <x:v>detail</x:v>
      </x:c>
      <x:c r="E529" s="69" t="str">
        <x:v>16</x:v>
      </x:c>
      <x:c r="F529" s="71" t="str">
        <x:v>五金另件及耗材</x:v>
      </x:c>
      <x:c r="G529" s="71" t="str">
        <x:v>文件未載明</x:v>
      </x:c>
      <x:c r="H529" s="71" t="str">
        <x:v>式</x:v>
      </x:c>
      <x:c r="I529" s="72" t="n">
        <x:v>1</x:v>
      </x:c>
      <x:c r="J529" s="69" t="str">
        <x:v>1</x:v>
      </x:c>
      <x:c r="K529" s="70" t="n">
        <x:v>85000</x:v>
      </x:c>
      <x:c r="L529" s="69" t="str">
        <x:v>85,000</x:v>
      </x:c>
      <x:c r="M529" s="70"/>
      <x:c r="N529" s="69" t="str">
        <x:v>文件未載明</x:v>
      </x:c>
      <x:c r="O529" s="71" t="str">
        <x:v>文件未載明</x:v>
      </x:c>
      <x:c r="P529" s="71" t="str">
        <x:v>HTML table 1 row 19</x:v>
      </x:c>
      <x:c r="Q529" s="71" t="str">
        <x:v>16 | 五金另件及耗材 | 式 | 1 | 85,000 | 85,000 |</x:v>
      </x:c>
      <x:c r="R529" s="71" t="str">
        <x:v>各廠商合約&amp; 報價\MD檔案\20250922宇勝工程行-水電報價單.md</x:v>
      </x:c>
    </x:row>
    <x:row r="530">
      <x:c r="A530" s="69" t="str">
        <x:v>ITEM00526</x:v>
      </x:c>
      <x:c r="B530" s="69" t="str">
        <x:v>SRC039</x:v>
      </x:c>
      <x:c r="C530" s="69" t="str">
        <x:v>2025-2026</x:v>
      </x:c>
      <x:c r="D530" s="69" t="str">
        <x:v>detail</x:v>
      </x:c>
      <x:c r="E530" s="69" t="str">
        <x:v>17</x:v>
      </x:c>
      <x:c r="F530" s="71" t="str">
        <x:v>公設吊管90度彎頭更改兩個45度</x:v>
      </x:c>
      <x:c r="G530" s="71" t="str">
        <x:v>文件未載明</x:v>
      </x:c>
      <x:c r="H530" s="71" t="str">
        <x:v>式</x:v>
      </x:c>
      <x:c r="I530" s="72" t="n">
        <x:v>1</x:v>
      </x:c>
      <x:c r="J530" s="69" t="str">
        <x:v>1</x:v>
      </x:c>
      <x:c r="K530" s="70" t="n">
        <x:v>8500</x:v>
      </x:c>
      <x:c r="L530" s="69" t="str">
        <x:v>8,500</x:v>
      </x:c>
      <x:c r="M530" s="70"/>
      <x:c r="N530" s="69" t="str">
        <x:v>文件未載明</x:v>
      </x:c>
      <x:c r="O530" s="71" t="str">
        <x:v>含管料</x:v>
      </x:c>
      <x:c r="P530" s="71" t="str">
        <x:v>HTML table 1 row 20</x:v>
      </x:c>
      <x:c r="Q530" s="71" t="str">
        <x:v>17 | 公設吊管90度彎頭更改兩個45度 | 式 | 1 | 8,500 | 8,500 | 含管料</x:v>
      </x:c>
      <x:c r="R530" s="71" t="str">
        <x:v>各廠商合約&amp; 報價\MD檔案\20250922宇勝工程行-水電報價單.md</x:v>
      </x:c>
    </x:row>
    <x:row r="531">
      <x:c r="A531" s="69" t="str">
        <x:v>ITEM00527</x:v>
      </x:c>
      <x:c r="B531" s="69" t="str">
        <x:v>SRC039</x:v>
      </x:c>
      <x:c r="C531" s="69" t="str">
        <x:v>2025-2026</x:v>
      </x:c>
      <x:c r="D531" s="69" t="str">
        <x:v>detail</x:v>
      </x:c>
      <x:c r="E531" s="69" t="str">
        <x:v>18</x:v>
      </x:c>
      <x:c r="F531" s="71" t="str">
        <x:v>配合送水送電及瓦斯工資</x:v>
      </x:c>
      <x:c r="G531" s="71" t="str">
        <x:v>文件未載明</x:v>
      </x:c>
      <x:c r="H531" s="71" t="str">
        <x:v>式</x:v>
      </x:c>
      <x:c r="I531" s="72" t="n">
        <x:v>1</x:v>
      </x:c>
      <x:c r="J531" s="69" t="str">
        <x:v>1</x:v>
      </x:c>
      <x:c r="K531" s="70" t="n">
        <x:v>75000</x:v>
      </x:c>
      <x:c r="L531" s="69" t="str">
        <x:v>75,000</x:v>
      </x:c>
      <x:c r="M531" s="70"/>
      <x:c r="N531" s="69" t="str">
        <x:v>文件未載明</x:v>
      </x:c>
      <x:c r="O531" s="71" t="str">
        <x:v>文件未載明</x:v>
      </x:c>
      <x:c r="P531" s="71" t="str">
        <x:v>HTML table 1 row 21</x:v>
      </x:c>
      <x:c r="Q531" s="71" t="str">
        <x:v>18 | 配合送水送電及瓦斯工資 | 式 | 1 | 75,000 | 75,000 |</x:v>
      </x:c>
      <x:c r="R531" s="71" t="str">
        <x:v>各廠商合約&amp; 報價\MD檔案\20250922宇勝工程行-水電報價單.md</x:v>
      </x:c>
    </x:row>
    <x:row r="532">
      <x:c r="A532" s="69" t="str">
        <x:v>ITEM00528</x:v>
      </x:c>
      <x:c r="B532" s="69" t="str">
        <x:v>SRC039</x:v>
      </x:c>
      <x:c r="C532" s="69" t="str">
        <x:v>2025-2026</x:v>
      </x:c>
      <x:c r="D532" s="69" t="str">
        <x:v>detail</x:v>
      </x:c>
      <x:c r="E532" s="69" t="str">
        <x:v>19</x:v>
      </x:c>
      <x:c r="F532" s="71" t="str">
        <x:v>配合交屋驗屋工資(一戶兩次)</x:v>
      </x:c>
      <x:c r="G532" s="71" t="str">
        <x:v>文件未載明</x:v>
      </x:c>
      <x:c r="H532" s="71" t="str">
        <x:v>戶</x:v>
      </x:c>
      <x:c r="I532" s="72" t="n">
        <x:v>11</x:v>
      </x:c>
      <x:c r="J532" s="69" t="str">
        <x:v>11</x:v>
      </x:c>
      <x:c r="K532" s="70" t="n">
        <x:v>6000</x:v>
      </x:c>
      <x:c r="L532" s="69" t="str">
        <x:v>6,000</x:v>
      </x:c>
      <x:c r="M532" s="70"/>
      <x:c r="N532" s="69" t="str">
        <x:v>文件未載明</x:v>
      </x:c>
      <x:c r="O532" s="71" t="str">
        <x:v>文件未載明</x:v>
      </x:c>
      <x:c r="P532" s="71" t="str">
        <x:v>HTML table 1 row 22</x:v>
      </x:c>
      <x:c r="Q532" s="71" t="str">
        <x:v>19 | 配合交屋驗屋工資(一戶兩次) | 戶 | 11 | 6,000 | 66,000 |</x:v>
      </x:c>
      <x:c r="R532" s="71" t="str">
        <x:v>各廠商合約&amp; 報價\MD檔案\20250922宇勝工程行-水電報價單.md</x:v>
      </x:c>
    </x:row>
    <x:row r="533">
      <x:c r="A533" s="69" t="str">
        <x:v>ITEM00529</x:v>
      </x:c>
      <x:c r="B533" s="69" t="str">
        <x:v>SRC039</x:v>
      </x:c>
      <x:c r="C533" s="69" t="str">
        <x:v>2025-2026</x:v>
      </x:c>
      <x:c r="D533" s="69" t="str">
        <x:v>detail</x:v>
      </x:c>
      <x:c r="E533" s="69" t="str">
        <x:v>20</x:v>
      </x:c>
      <x:c r="F533" s="71" t="str">
        <x:v>各戶盤體迴路標示</x:v>
      </x:c>
      <x:c r="G533" s="71" t="str">
        <x:v>文件未載明</x:v>
      </x:c>
      <x:c r="H533" s="71" t="str">
        <x:v>文件未載明</x:v>
      </x:c>
      <x:c r="I533" s="72"/>
      <x:c r="J533" s="69" t="str">
        <x:v>文件未載明</x:v>
      </x:c>
      <x:c r="K533" s="70"/>
      <x:c r="L533" s="69" t="str">
        <x:v>文件未載明</x:v>
      </x:c>
      <x:c r="M533" s="70"/>
      <x:c r="N533" s="69" t="str">
        <x:v>文件未載明</x:v>
      </x:c>
      <x:c r="O533" s="71" t="str">
        <x:v>文件未載明</x:v>
      </x:c>
      <x:c r="P533" s="71" t="str">
        <x:v>HTML table 1 row 23</x:v>
      </x:c>
      <x:c r="Q533" s="71" t="str">
        <x:v>20 | 各戶盤體迴路標示 | | | | |</x:v>
      </x:c>
      <x:c r="R533" s="71" t="str">
        <x:v>各廠商合約&amp; 報價\MD檔案\20250922宇勝工程行-水電報價單.md</x:v>
      </x:c>
    </x:row>
    <x:row r="534">
      <x:c r="A534" s="69" t="str">
        <x:v>ITEM00530</x:v>
      </x:c>
      <x:c r="B534" s="69" t="str">
        <x:v>SRC039</x:v>
      </x:c>
      <x:c r="C534" s="69" t="str">
        <x:v>2025-2026</x:v>
      </x:c>
      <x:c r="D534" s="69" t="str">
        <x:v>detail</x:v>
      </x:c>
      <x:c r="E534" s="69" t="str">
        <x:v>21</x:v>
      </x:c>
      <x:c r="F534" s="71" t="str">
        <x:v>文件未載明</x:v>
      </x:c>
      <x:c r="G534" s="71" t="str">
        <x:v>文件未載明</x:v>
      </x:c>
      <x:c r="H534" s="71" t="str">
        <x:v>文件未載明</x:v>
      </x:c>
      <x:c r="I534" s="72"/>
      <x:c r="J534" s="69" t="str">
        <x:v>文件未載明</x:v>
      </x:c>
      <x:c r="K534" s="70"/>
      <x:c r="L534" s="69" t="str">
        <x:v>文件未載明</x:v>
      </x:c>
      <x:c r="M534" s="70"/>
      <x:c r="N534" s="69" t="str">
        <x:v>文件未載明</x:v>
      </x:c>
      <x:c r="O534" s="71" t="str">
        <x:v>文件未載明</x:v>
      </x:c>
      <x:c r="P534" s="71" t="str">
        <x:v>HTML table 1 row 24</x:v>
      </x:c>
      <x:c r="Q534" s="71" t="str">
        <x:v>21 | | | | | |</x:v>
      </x:c>
      <x:c r="R534" s="71" t="str">
        <x:v>各廠商合約&amp; 報價\MD檔案\20250922宇勝工程行-水電報價單.md</x:v>
      </x:c>
    </x:row>
    <x:row r="535">
      <x:c r="A535" s="69" t="str">
        <x:v>ITEM00531</x:v>
      </x:c>
      <x:c r="B535" s="69" t="str">
        <x:v>SRC039</x:v>
      </x:c>
      <x:c r="C535" s="69" t="str">
        <x:v>2025-2026</x:v>
      </x:c>
      <x:c r="D535" s="69" t="str">
        <x:v>detail</x:v>
      </x:c>
      <x:c r="E535" s="69" t="str">
        <x:v>22</x:v>
      </x:c>
      <x:c r="F535" s="71" t="str">
        <x:v>文件未載明</x:v>
      </x:c>
      <x:c r="G535" s="71" t="str">
        <x:v>文件未載明</x:v>
      </x:c>
      <x:c r="H535" s="71" t="str">
        <x:v>文件未載明</x:v>
      </x:c>
      <x:c r="I535" s="72"/>
      <x:c r="J535" s="69" t="str">
        <x:v>文件未載明</x:v>
      </x:c>
      <x:c r="K535" s="70"/>
      <x:c r="L535" s="69" t="str">
        <x:v>文件未載明</x:v>
      </x:c>
      <x:c r="M535" s="70"/>
      <x:c r="N535" s="69" t="str">
        <x:v>文件未載明</x:v>
      </x:c>
      <x:c r="O535" s="71" t="str">
        <x:v>文件未載明</x:v>
      </x:c>
      <x:c r="P535" s="71" t="str">
        <x:v>HTML table 1 row 25</x:v>
      </x:c>
      <x:c r="Q535" s="71" t="str">
        <x:v>22 | | | | | |</x:v>
      </x:c>
      <x:c r="R535" s="71" t="str">
        <x:v>各廠商合約&amp; 報價\MD檔案\20250922宇勝工程行-水電報價單.md</x:v>
      </x:c>
    </x:row>
    <x:row r="536">
      <x:c r="A536" s="69" t="str">
        <x:v>ITEM00532</x:v>
      </x:c>
      <x:c r="B536" s="69" t="str">
        <x:v>SRC039</x:v>
      </x:c>
      <x:c r="C536" s="69" t="str">
        <x:v>2025-2026</x:v>
      </x:c>
      <x:c r="D536" s="69" t="str">
        <x:v>summary</x:v>
      </x:c>
      <x:c r="E536" s="69" t="str">
        <x:v>文件未載明</x:v>
      </x:c>
      <x:c r="F536" s="71" t="str">
        <x:v>以上報價不含盤體及盤體內無熔絲開關不含驗屋缺失改善、不含交屋後保固、各錶箱幹管如有沒配或不通須另行報價、(不含台電、自来水、瓦斯代辦跑件費用)以上報價議價為含稅2600000含8月、9月點工</x:v>
      </x:c>
      <x:c r="G536" s="71" t="str">
        <x:v>文件未載明</x:v>
      </x:c>
      <x:c r="H536" s="71" t="str">
        <x:v>文件未載明</x:v>
      </x:c>
      <x:c r="I536" s="72"/>
      <x:c r="J536" s="69" t="str">
        <x:v>文件未載明</x:v>
      </x:c>
      <x:c r="K536" s="70"/>
      <x:c r="L536" s="69" t="str">
        <x:v>文件未載明</x:v>
      </x:c>
      <x:c r="M536" s="70"/>
      <x:c r="N536" s="69" t="str">
        <x:v>文件未載明</x:v>
      </x:c>
      <x:c r="O536" s="71" t="str">
        <x:v>文件未載明</x:v>
      </x:c>
      <x:c r="P536" s="71" t="str">
        <x:v>HTML table 1 row 26</x:v>
      </x:c>
      <x:c r="Q536" s="71" t="str">
        <x:v>| 以上報價不含盤體及盤體內無熔絲開關不含驗屋缺失改善、不含交屋後保固、各錶箱幹管如有沒配或不通須另行報價、(不含台電、自来水、瓦斯代辦跑件費用)以上報價議價為含稅2600000含8月、9月點工 |</x:v>
      </x:c>
      <x:c r="R536" s="71" t="str">
        <x:v>各廠商合約&amp; 報價\MD檔案\20250922宇勝工程行-水電報價單.md</x:v>
      </x:c>
    </x:row>
    <x:row r="537">
      <x:c r="A537" s="69" t="str">
        <x:v>ITEM00533</x:v>
      </x:c>
      <x:c r="B537" s="69" t="str">
        <x:v>SRC039</x:v>
      </x:c>
      <x:c r="C537" s="69" t="str">
        <x:v>2025-2026</x:v>
      </x:c>
      <x:c r="D537" s="69" t="str">
        <x:v>summary</x:v>
      </x:c>
      <x:c r="E537" s="69" t="str">
        <x:v>小計</x:v>
      </x:c>
      <x:c r="F537" s="71" t="str">
        <x:v>統一發票專用章統一編號</x:v>
      </x:c>
      <x:c r="G537" s="71" t="str">
        <x:v>文件未載明</x:v>
      </x:c>
      <x:c r="H537" s="71" t="str">
        <x:v>統一發票專用章統一編號</x:v>
      </x:c>
      <x:c r="I537" s="72" t="n">
        <x:v>2542050</x:v>
      </x:c>
      <x:c r="J537" s="69" t="str">
        <x:v>2,542,050</x:v>
      </x:c>
      <x:c r="K537" s="70"/>
      <x:c r="L537" s="69" t="str">
        <x:v>文件未載明</x:v>
      </x:c>
      <x:c r="M537" s="70"/>
      <x:c r="N537" s="69" t="str">
        <x:v>文件未載明</x:v>
      </x:c>
      <x:c r="O537" s="71" t="str">
        <x:v>文件未載明</x:v>
      </x:c>
      <x:c r="P537" s="71" t="str">
        <x:v>HTML table 1 row 27</x:v>
      </x:c>
      <x:c r="Q537" s="71" t="str">
        <x:v>小計 | | 統一發票專用章統一編號 | 2,542,050</x:v>
      </x:c>
      <x:c r="R537" s="71" t="str">
        <x:v>各廠商合約&amp; 報價\MD檔案\20250922宇勝工程行-水電報價單.md</x:v>
      </x:c>
    </x:row>
    <x:row r="538">
      <x:c r="A538" s="69" t="str">
        <x:v>ITEM00534</x:v>
      </x:c>
      <x:c r="B538" s="69" t="str">
        <x:v>SRC039</x:v>
      </x:c>
      <x:c r="C538" s="69" t="str">
        <x:v>2025-2026</x:v>
      </x:c>
      <x:c r="D538" s="69" t="str">
        <x:v>summary</x:v>
      </x:c>
      <x:c r="E538" s="69" t="str">
        <x:v>稅金</x:v>
      </x:c>
      <x:c r="F538" s="71" t="str">
        <x:v>文件未載明</x:v>
      </x:c>
      <x:c r="G538" s="71" t="str">
        <x:v>文件未載明</x:v>
      </x:c>
      <x:c r="H538" s="71" t="str">
        <x:v>90057101</x:v>
      </x:c>
      <x:c r="I538" s="72" t="n">
        <x:v>127103</x:v>
      </x:c>
      <x:c r="J538" s="69" t="str">
        <x:v>127,103</x:v>
      </x:c>
      <x:c r="K538" s="70"/>
      <x:c r="L538" s="69" t="str">
        <x:v>文件未載明</x:v>
      </x:c>
      <x:c r="M538" s="70"/>
      <x:c r="N538" s="69" t="str">
        <x:v>文件未載明</x:v>
      </x:c>
      <x:c r="O538" s="71" t="str">
        <x:v>文件未載明</x:v>
      </x:c>
      <x:c r="P538" s="71" t="str">
        <x:v>HTML table 1 row 28</x:v>
      </x:c>
      <x:c r="Q538" s="71" t="str">
        <x:v>稅金 | | 90057101 | 127,103</x:v>
      </x:c>
      <x:c r="R538" s="71" t="str">
        <x:v>各廠商合約&amp; 報價\MD檔案\20250922宇勝工程行-水電報價單.md</x:v>
      </x:c>
    </x:row>
    <x:row r="539">
      <x:c r="A539" s="69" t="str">
        <x:v>ITEM00535</x:v>
      </x:c>
      <x:c r="B539" s="69" t="str">
        <x:v>SRC039</x:v>
      </x:c>
      <x:c r="C539" s="69" t="str">
        <x:v>2025-2026</x:v>
      </x:c>
      <x:c r="D539" s="69" t="str">
        <x:v>summary</x:v>
      </x:c>
      <x:c r="E539" s="69" t="str">
        <x:v>總計</x:v>
      </x:c>
      <x:c r="F539" s="71" t="str">
        <x:v>TEL:037-775355負債人:洪建豪</x:v>
      </x:c>
      <x:c r="G539" s="71" t="str">
        <x:v>文件未載明</x:v>
      </x:c>
      <x:c r="H539" s="71" t="str">
        <x:v>TEL:037-775355負債人:洪建豪</x:v>
      </x:c>
      <x:c r="I539" s="72" t="n">
        <x:v>2669153</x:v>
      </x:c>
      <x:c r="J539" s="69" t="str">
        <x:v>2,669,153</x:v>
      </x:c>
      <x:c r="K539" s="70"/>
      <x:c r="L539" s="69" t="str">
        <x:v>文件未載明</x:v>
      </x:c>
      <x:c r="M539" s="70"/>
      <x:c r="N539" s="69" t="str">
        <x:v>文件未載明</x:v>
      </x:c>
      <x:c r="O539" s="71" t="str">
        <x:v>文件未載明</x:v>
      </x:c>
      <x:c r="P539" s="71" t="str">
        <x:v>HTML table 1 row 29</x:v>
      </x:c>
      <x:c r="Q539" s="71" t="str">
        <x:v>總計 | | TEL:037-775355負債人:洪建豪 | 2,669,153</x:v>
      </x:c>
      <x:c r="R539" s="71" t="str">
        <x:v>各廠商合約&amp; 報價\MD檔案\20250922宇勝工程行-水電報價單.md</x:v>
      </x:c>
    </x:row>
    <x:row r="540">
      <x:c r="A540" s="69" t="str">
        <x:v>ITEM00536</x:v>
      </x:c>
      <x:c r="B540" s="69" t="str">
        <x:v>SRC040</x:v>
      </x:c>
      <x:c r="C540" s="69" t="str">
        <x:v>2025-2026</x:v>
      </x:c>
      <x:c r="D540" s="69" t="str">
        <x:v>detail</x:v>
      </x:c>
      <x:c r="E540" s="69" t="str">
        <x:v>文件未載明</x:v>
      </x:c>
      <x:c r="F540" s="71" t="str">
        <x:v>客戶名稱:向上建設股份有限公司</x:v>
      </x:c>
      <x:c r="G540" s="71" t="str">
        <x:v>文件未載明</x:v>
      </x:c>
      <x:c r="H540" s="71" t="str">
        <x:v>文件未載明</x:v>
      </x:c>
      <x:c r="I540" s="72"/>
      <x:c r="J540" s="69" t="str">
        <x:v>文件未載明</x:v>
      </x:c>
      <x:c r="K540" s="70"/>
      <x:c r="L540" s="69" t="str">
        <x:v>文件未載明</x:v>
      </x:c>
      <x:c r="M540" s="70"/>
      <x:c r="N540" s="69" t="str">
        <x:v>文件未載明</x:v>
      </x:c>
      <x:c r="O540" s="71" t="str">
        <x:v>文件未載明</x:v>
      </x:c>
      <x:c r="P540" s="71" t="str">
        <x:v>HTML table 1 row 1</x:v>
      </x:c>
      <x:c r="Q540" s="71" t="str">
        <x:v>客戶名稱:向上建設股份有限公司 | 承辦人員 | 李主任 | TEL: | 03-7775355 #519</x:v>
      </x:c>
      <x:c r="R540" s="71" t="str">
        <x:v>各廠商合約&amp; 報價\MD檔案\20250922晶鼎鐳射-電梯門框包版報價單.md</x:v>
      </x:c>
    </x:row>
    <x:row r="541">
      <x:c r="A541" s="69" t="str">
        <x:v>ITEM00537</x:v>
      </x:c>
      <x:c r="B541" s="69" t="str">
        <x:v>SRC040</x:v>
      </x:c>
      <x:c r="C541" s="69" t="str">
        <x:v>2025-2026</x:v>
      </x:c>
      <x:c r="D541" s="69" t="str">
        <x:v>detail</x:v>
      </x:c>
      <x:c r="E541" s="69" t="str">
        <x:v>文件未載明</x:v>
      </x:c>
      <x:c r="F541" s="71" t="str">
        <x:v>FAX:</x:v>
      </x:c>
      <x:c r="G541" s="71" t="str">
        <x:v>文件未載明</x:v>
      </x:c>
      <x:c r="H541" s="71" t="str">
        <x:v>文件未載明</x:v>
      </x:c>
      <x:c r="I541" s="72"/>
      <x:c r="J541" s="69" t="str">
        <x:v>文件未載明</x:v>
      </x:c>
      <x:c r="K541" s="70"/>
      <x:c r="L541" s="69" t="str">
        <x:v>文件未載明</x:v>
      </x:c>
      <x:c r="M541" s="70"/>
      <x:c r="N541" s="69" t="str">
        <x:v>文件未載明</x:v>
      </x:c>
      <x:c r="O541" s="71" t="str">
        <x:v>文件未載明</x:v>
      </x:c>
      <x:c r="P541" s="71" t="str">
        <x:v>HTML table 1 row 2</x:v>
      </x:c>
      <x:c r="Q541" s="71" t="str">
        <x:v>FAX: |</x:v>
      </x:c>
      <x:c r="R541" s="71" t="str">
        <x:v>各廠商合約&amp; 報價\MD檔案\20250922晶鼎鐳射-電梯門框包版報價單.md</x:v>
      </x:c>
    </x:row>
    <x:row r="542">
      <x:c r="A542" s="69" t="str">
        <x:v>ITEM00538</x:v>
      </x:c>
      <x:c r="B542" s="69" t="str">
        <x:v>SRC040</x:v>
      </x:c>
      <x:c r="C542" s="69" t="str">
        <x:v>2025-2026</x:v>
      </x:c>
      <x:c r="D542" s="69" t="str">
        <x:v>header</x:v>
      </x:c>
      <x:c r="E542" s="69" t="str">
        <x:v>NO</x:v>
      </x:c>
      <x:c r="F542" s="71" t="str">
        <x:v>NO</x:v>
      </x:c>
      <x:c r="G542" s="71" t="str">
        <x:v>規格尺寸</x:v>
      </x:c>
      <x:c r="H542" s="71" t="str">
        <x:v>文件未載明</x:v>
      </x:c>
      <x:c r="I542" s="72"/>
      <x:c r="J542" s="69" t="str">
        <x:v>數量(批)</x:v>
      </x:c>
      <x:c r="K542" s="70"/>
      <x:c r="L542" s="69" t="str">
        <x:v>單價 (NTD)</x:v>
      </x:c>
      <x:c r="M542" s="70"/>
      <x:c r="N542" s="69" t="str">
        <x:v>小計 (NTD)</x:v>
      </x:c>
      <x:c r="O542" s="71" t="str">
        <x:v>備註</x:v>
      </x:c>
      <x:c r="P542" s="71" t="str">
        <x:v>HTML table 1 row 3</x:v>
      </x:c>
      <x:c r="Q542" s="71" t="str">
        <x:v>NO | 料號 | 規格尺寸 | 長度/mm | 數量(批) | 單價 (NTD) | 小計 (NTD) | 備註</x:v>
      </x:c>
      <x:c r="R542" s="71" t="str">
        <x:v>各廠商合約&amp; 報價\MD檔案\20250922晶鼎鐳射-電梯門框包版報價單.md</x:v>
      </x:c>
    </x:row>
    <x:row r="543">
      <x:c r="A543" s="69" t="str">
        <x:v>ITEM00539</x:v>
      </x:c>
      <x:c r="B543" s="69" t="str">
        <x:v>SRC040</x:v>
      </x:c>
      <x:c r="C543" s="69" t="str">
        <x:v>2025-2026</x:v>
      </x:c>
      <x:c r="D543" s="69" t="str">
        <x:v>detail</x:v>
      </x:c>
      <x:c r="E543" s="69" t="str">
        <x:v>1</x:v>
      </x:c>
      <x:c r="F543" s="71" t="str">
        <x:v>7F電梯門框包版</x:v>
      </x:c>
      <x:c r="G543" s="71" t="str">
        <x:v>文件未載明</x:v>
      </x:c>
      <x:c r="H543" s="71" t="str">
        <x:v>文件未載明</x:v>
      </x:c>
      <x:c r="I543" s="72" t="n">
        <x:v>1</x:v>
      </x:c>
      <x:c r="J543" s="69" t="str">
        <x:v>1</x:v>
      </x:c>
      <x:c r="K543" s="70" t="n">
        <x:v>7000</x:v>
      </x:c>
      <x:c r="L543" s="69" t="str">
        <x:v>7000</x:v>
      </x:c>
      <x:c r="M543" s="70" t="n">
        <x:v>7000</x:v>
      </x:c>
      <x:c r="N543" s="69" t="str">
        <x:v>7,000</x:v>
      </x:c>
      <x:c r="O543" s="71" t="str">
        <x:v>文件未載明</x:v>
      </x:c>
      <x:c r="P543" s="71" t="str">
        <x:v>HTML table 1 row 4</x:v>
      </x:c>
      <x:c r="Q543" s="71" t="str">
        <x:v>1 | 7F電梯門框包版 | | | 1 | 7000 | 7,000 |</x:v>
      </x:c>
      <x:c r="R543" s="71" t="str">
        <x:v>各廠商合約&amp; 報價\MD檔案\20250922晶鼎鐳射-電梯門框包版報價單.md</x:v>
      </x:c>
    </x:row>
    <x:row r="544">
      <x:c r="A544" s="69" t="str">
        <x:v>ITEM00540</x:v>
      </x:c>
      <x:c r="B544" s="69" t="str">
        <x:v>SRC040</x:v>
      </x:c>
      <x:c r="C544" s="69" t="str">
        <x:v>2025-2026</x:v>
      </x:c>
      <x:c r="D544" s="69" t="str">
        <x:v>detail</x:v>
      </x:c>
      <x:c r="E544" s="69" t="str">
        <x:v>2</x:v>
      </x:c>
      <x:c r="F544" s="71" t="str">
        <x:v>文件未載明</x:v>
      </x:c>
      <x:c r="G544" s="71" t="str">
        <x:v>文件未載明</x:v>
      </x:c>
      <x:c r="H544" s="71" t="str">
        <x:v>文件未載明</x:v>
      </x:c>
      <x:c r="I544" s="72"/>
      <x:c r="J544" s="69" t="str">
        <x:v>文件未載明</x:v>
      </x:c>
      <x:c r="K544" s="70"/>
      <x:c r="L544" s="69" t="str">
        <x:v>文件未載明</x:v>
      </x:c>
      <x:c r="M544" s="70"/>
      <x:c r="N544" s="69" t="str">
        <x:v>文件未載明</x:v>
      </x:c>
      <x:c r="O544" s="71" t="str">
        <x:v>文件未載明</x:v>
      </x:c>
      <x:c r="P544" s="71" t="str">
        <x:v>HTML table 1 row 5</x:v>
      </x:c>
      <x:c r="Q544" s="71" t="str">
        <x:v>2 | | | | | | |</x:v>
      </x:c>
      <x:c r="R544" s="71" t="str">
        <x:v>各廠商合約&amp; 報價\MD檔案\20250922晶鼎鐳射-電梯門框包版報價單.md</x:v>
      </x:c>
    </x:row>
    <x:row r="545">
      <x:c r="A545" s="69" t="str">
        <x:v>ITEM00541</x:v>
      </x:c>
      <x:c r="B545" s="69" t="str">
        <x:v>SRC040</x:v>
      </x:c>
      <x:c r="C545" s="69" t="str">
        <x:v>2025-2026</x:v>
      </x:c>
      <x:c r="D545" s="69" t="str">
        <x:v>detail</x:v>
      </x:c>
      <x:c r="E545" s="69" t="str">
        <x:v>文件未載明</x:v>
      </x:c>
      <x:c r="F545" s="71" t="str">
        <x:v>《以下空白》</x:v>
      </x:c>
      <x:c r="G545" s="71" t="str">
        <x:v>《以下空白》</x:v>
      </x:c>
      <x:c r="H545" s="71" t="str">
        <x:v>文件未載明</x:v>
      </x:c>
      <x:c r="I545" s="72"/>
      <x:c r="J545" s="69" t="str">
        <x:v>文件未載明</x:v>
      </x:c>
      <x:c r="K545" s="70"/>
      <x:c r="L545" s="69" t="str">
        <x:v>文件未載明</x:v>
      </x:c>
      <x:c r="M545" s="70"/>
      <x:c r="N545" s="69" t="str">
        <x:v>文件未載明</x:v>
      </x:c>
      <x:c r="O545" s="71" t="str">
        <x:v>文件未載明</x:v>
      </x:c>
      <x:c r="P545" s="71" t="str">
        <x:v>HTML table 1 row 6</x:v>
      </x:c>
      <x:c r="Q545" s="71" t="str">
        <x:v>| | 《以下空白》 | | |</x:v>
      </x:c>
      <x:c r="R545" s="71" t="str">
        <x:v>各廠商合約&amp; 報價\MD檔案\20250922晶鼎鐳射-電梯門框包版報價單.md</x:v>
      </x:c>
    </x:row>
    <x:row r="546">
      <x:c r="A546" s="69" t="str">
        <x:v>ITEM00542</x:v>
      </x:c>
      <x:c r="B546" s="69" t="str">
        <x:v>SRC040</x:v>
      </x:c>
      <x:c r="C546" s="69" t="str">
        <x:v>2025-2026</x:v>
      </x:c>
      <x:c r="D546" s="69" t="str">
        <x:v>detail</x:v>
      </x:c>
      <x:c r="E546" s="69" t="str">
        <x:v>文件未載明</x:v>
      </x:c>
      <x:c r="F546" s="71" t="str">
        <x:v>合 計</x:v>
      </x:c>
      <x:c r="G546" s="71" t="str">
        <x:v>文件未載明</x:v>
      </x:c>
      <x:c r="H546" s="71" t="str">
        <x:v>文件未載明</x:v>
      </x:c>
      <x:c r="I546" s="72"/>
      <x:c r="J546" s="69" t="str">
        <x:v>文件未載明</x:v>
      </x:c>
      <x:c r="K546" s="70"/>
      <x:c r="L546" s="69" t="str">
        <x:v>文件未載明</x:v>
      </x:c>
      <x:c r="M546" s="70"/>
      <x:c r="N546" s="69" t="str">
        <x:v>文件未載明</x:v>
      </x:c>
      <x:c r="O546" s="71" t="str">
        <x:v>文件未載明</x:v>
      </x:c>
      <x:c r="P546" s="71" t="str">
        <x:v>HTML table 1 row 7</x:v>
      </x:c>
      <x:c r="Q546" s="71" t="str">
        <x:v>合 計 | 7,000</x:v>
      </x:c>
      <x:c r="R546" s="71" t="str">
        <x:v>各廠商合約&amp; 報價\MD檔案\20250922晶鼎鐳射-電梯門框包版報價單.md</x:v>
      </x:c>
    </x:row>
    <x:row r="547">
      <x:c r="A547" s="69" t="str">
        <x:v>ITEM00543</x:v>
      </x:c>
      <x:c r="B547" s="69" t="str">
        <x:v>SRC040</x:v>
      </x:c>
      <x:c r="C547" s="69" t="str">
        <x:v>2025-2026</x:v>
      </x:c>
      <x:c r="D547" s="69" t="str">
        <x:v>detail</x:v>
      </x:c>
      <x:c r="E547" s="69" t="str">
        <x:v>文件未載明</x:v>
      </x:c>
      <x:c r="F547" s="71" t="str">
        <x:v>稅 金</x:v>
      </x:c>
      <x:c r="G547" s="71" t="str">
        <x:v>文件未載明</x:v>
      </x:c>
      <x:c r="H547" s="71" t="str">
        <x:v>文件未載明</x:v>
      </x:c>
      <x:c r="I547" s="72"/>
      <x:c r="J547" s="69" t="str">
        <x:v>文件未載明</x:v>
      </x:c>
      <x:c r="K547" s="70"/>
      <x:c r="L547" s="69" t="str">
        <x:v>文件未載明</x:v>
      </x:c>
      <x:c r="M547" s="70"/>
      <x:c r="N547" s="69" t="str">
        <x:v>文件未載明</x:v>
      </x:c>
      <x:c r="O547" s="71" t="str">
        <x:v>文件未載明</x:v>
      </x:c>
      <x:c r="P547" s="71" t="str">
        <x:v>HTML table 1 row 8</x:v>
      </x:c>
      <x:c r="Q547" s="71" t="str">
        <x:v>稅 金 | 350</x:v>
      </x:c>
      <x:c r="R547" s="71" t="str">
        <x:v>各廠商合約&amp; 報價\MD檔案\20250922晶鼎鐳射-電梯門框包版報價單.md</x:v>
      </x:c>
    </x:row>
    <x:row r="548">
      <x:c r="A548" s="69" t="str">
        <x:v>ITEM00544</x:v>
      </x:c>
      <x:c r="B548" s="69" t="str">
        <x:v>SRC040</x:v>
      </x:c>
      <x:c r="C548" s="69" t="str">
        <x:v>2025-2026</x:v>
      </x:c>
      <x:c r="D548" s="69" t="str">
        <x:v>detail</x:v>
      </x:c>
      <x:c r="E548" s="69" t="str">
        <x:v>文件未載明</x:v>
      </x:c>
      <x:c r="F548" s="71" t="str">
        <x:v>總 價</x:v>
      </x:c>
      <x:c r="G548" s="71" t="str">
        <x:v>文件未載明</x:v>
      </x:c>
      <x:c r="H548" s="71" t="str">
        <x:v>文件未載明</x:v>
      </x:c>
      <x:c r="I548" s="72"/>
      <x:c r="J548" s="69" t="str">
        <x:v>文件未載明</x:v>
      </x:c>
      <x:c r="K548" s="70"/>
      <x:c r="L548" s="69" t="str">
        <x:v>文件未載明</x:v>
      </x:c>
      <x:c r="M548" s="70"/>
      <x:c r="N548" s="69" t="str">
        <x:v>文件未載明</x:v>
      </x:c>
      <x:c r="O548" s="71" t="str">
        <x:v>文件未載明</x:v>
      </x:c>
      <x:c r="P548" s="71" t="str">
        <x:v>HTML table 1 row 9</x:v>
      </x:c>
      <x:c r="Q548" s="71" t="str">
        <x:v>總 價 | 7,350</x:v>
      </x:c>
      <x:c r="R548" s="71" t="str">
        <x:v>各廠商合約&amp; 報價\MD檔案\20250922晶鼎鐳射-電梯門框包版報價單.md</x:v>
      </x:c>
    </x:row>
    <x:row r="549">
      <x:c r="A549" s="69" t="str">
        <x:v>ITEM00545</x:v>
      </x:c>
      <x:c r="B549" s="69" t="str">
        <x:v>SRC041</x:v>
      </x:c>
      <x:c r="C549" s="69" t="str">
        <x:v>2025-2026</x:v>
      </x:c>
      <x:c r="D549" s="69" t="str">
        <x:v>detail</x:v>
      </x:c>
      <x:c r="E549" s="69" t="str">
        <x:v>文件未載明</x:v>
      </x:c>
      <x:c r="F549" s="71" t="str">
        <x:v>山源工程行報價單</x:v>
      </x:c>
      <x:c r="G549" s="71" t="str">
        <x:v>文件未載明</x:v>
      </x:c>
      <x:c r="H549" s="71" t="str">
        <x:v>文件未載明</x:v>
      </x:c>
      <x:c r="I549" s="72"/>
      <x:c r="J549" s="69" t="str">
        <x:v>文件未載明</x:v>
      </x:c>
      <x:c r="K549" s="70"/>
      <x:c r="L549" s="69" t="str">
        <x:v>文件未載明</x:v>
      </x:c>
      <x:c r="M549" s="70"/>
      <x:c r="N549" s="69" t="str">
        <x:v>文件未載明</x:v>
      </x:c>
      <x:c r="O549" s="71" t="str">
        <x:v>文件未載明</x:v>
      </x:c>
      <x:c r="P549" s="71" t="str">
        <x:v>HTML table 1 row 1</x:v>
      </x:c>
      <x:c r="Q549" s="71" t="str">
        <x:v>山源工程行報價單</x:v>
      </x:c>
      <x:c r="R549" s="71" t="str">
        <x:v>各廠商合約&amp; 報價\MD檔案\20250923山源工程行-2樓陽台地坪防水工程報價單.md</x:v>
      </x:c>
    </x:row>
    <x:row r="550">
      <x:c r="A550" s="69" t="str">
        <x:v>ITEM00546</x:v>
      </x:c>
      <x:c r="B550" s="69" t="str">
        <x:v>SRC041</x:v>
      </x:c>
      <x:c r="C550" s="69" t="str">
        <x:v>2025-2026</x:v>
      </x:c>
      <x:c r="D550" s="69" t="str">
        <x:v>detail</x:v>
      </x:c>
      <x:c r="E550" s="69" t="str">
        <x:v>文件未載明</x:v>
      </x:c>
      <x:c r="F550" s="71" t="str">
        <x:v>業主:</x:v>
      </x:c>
      <x:c r="G550" s="71" t="str">
        <x:v>文件未載明</x:v>
      </x:c>
      <x:c r="H550" s="71" t="str">
        <x:v>文件未載明</x:v>
      </x:c>
      <x:c r="I550" s="72"/>
      <x:c r="J550" s="69" t="str">
        <x:v>文件未載明</x:v>
      </x:c>
      <x:c r="K550" s="70"/>
      <x:c r="L550" s="69" t="str">
        <x:v>文件未載明</x:v>
      </x:c>
      <x:c r="M550" s="70"/>
      <x:c r="N550" s="69" t="str">
        <x:v>文件未載明</x:v>
      </x:c>
      <x:c r="O550" s="71" t="str">
        <x:v>文件未載明</x:v>
      </x:c>
      <x:c r="P550" s="71" t="str">
        <x:v>HTML table 1 row 2</x:v>
      </x:c>
      <x:c r="Q550" s="71" t="str">
        <x:v>業主:</x:v>
      </x:c>
      <x:c r="R550" s="71" t="str">
        <x:v>各廠商合約&amp; 報價\MD檔案\20250923山源工程行-2樓陽台地坪防水工程報價單.md</x:v>
      </x:c>
    </x:row>
    <x:row r="551">
      <x:c r="A551" s="69" t="str">
        <x:v>ITEM00547</x:v>
      </x:c>
      <x:c r="B551" s="69" t="str">
        <x:v>SRC041</x:v>
      </x:c>
      <x:c r="C551" s="69" t="str">
        <x:v>2025-2026</x:v>
      </x:c>
      <x:c r="D551" s="69" t="str">
        <x:v>detail</x:v>
      </x:c>
      <x:c r="E551" s="69" t="str">
        <x:v>文件未載明</x:v>
      </x:c>
      <x:c r="F551" s="71" t="str">
        <x:v>工程地點:後龍</x:v>
      </x:c>
      <x:c r="G551" s="71" t="str">
        <x:v>文件未載明</x:v>
      </x:c>
      <x:c r="H551" s="71" t="str">
        <x:v>文件未載明</x:v>
      </x:c>
      <x:c r="I551" s="72"/>
      <x:c r="J551" s="69" t="str">
        <x:v>文件未載明</x:v>
      </x:c>
      <x:c r="K551" s="70"/>
      <x:c r="L551" s="69" t="str">
        <x:v>文件未載明</x:v>
      </x:c>
      <x:c r="M551" s="70"/>
      <x:c r="N551" s="69" t="str">
        <x:v>文件未載明</x:v>
      </x:c>
      <x:c r="O551" s="71" t="str">
        <x:v>文件未載明</x:v>
      </x:c>
      <x:c r="P551" s="71" t="str">
        <x:v>HTML table 1 row 3</x:v>
      </x:c>
      <x:c r="Q551" s="71" t="str">
        <x:v>工程地點:後龍 | 日期:114年09月22日</x:v>
      </x:c>
      <x:c r="R551" s="71" t="str">
        <x:v>各廠商合約&amp; 報價\MD檔案\20250923山源工程行-2樓陽台地坪防水工程報價單.md</x:v>
      </x:c>
    </x:row>
    <x:row r="552">
      <x:c r="A552" s="69" t="str">
        <x:v>ITEM00548</x:v>
      </x:c>
      <x:c r="B552" s="69" t="str">
        <x:v>SRC041</x:v>
      </x:c>
      <x:c r="C552" s="69" t="str">
        <x:v>2025-2026</x:v>
      </x:c>
      <x:c r="D552" s="69" t="str">
        <x:v>header</x:v>
      </x:c>
      <x:c r="E552" s="69" t="str">
        <x:v>項次</x:v>
      </x:c>
      <x:c r="F552" s="71" t="str">
        <x:v>工程項目</x:v>
      </x:c>
      <x:c r="G552" s="71" t="str">
        <x:v>規格</x:v>
      </x:c>
      <x:c r="H552" s="71" t="str">
        <x:v>文件未載明</x:v>
      </x:c>
      <x:c r="I552" s="72"/>
      <x:c r="J552" s="69" t="str">
        <x:v>數量</x:v>
      </x:c>
      <x:c r="K552" s="70"/>
      <x:c r="L552" s="69" t="str">
        <x:v>單價</x:v>
      </x:c>
      <x:c r="M552" s="70"/>
      <x:c r="N552" s="69" t="str">
        <x:v>複價</x:v>
      </x:c>
      <x:c r="O552" s="71" t="str">
        <x:v>備註</x:v>
      </x:c>
      <x:c r="P552" s="71" t="str">
        <x:v>HTML table 1 row 4</x:v>
      </x:c>
      <x:c r="Q552" s="71" t="str">
        <x:v>項次 | 工程項目 | 規格 | 數量 | 單價 | 複價 | 備註</x:v>
      </x:c>
      <x:c r="R552" s="71" t="str">
        <x:v>各廠商合約&amp; 報價\MD檔案\20250923山源工程行-2樓陽台地坪防水工程報價單.md</x:v>
      </x:c>
    </x:row>
    <x:row r="553">
      <x:c r="A553" s="69" t="str">
        <x:v>ITEM00549</x:v>
      </x:c>
      <x:c r="B553" s="69" t="str">
        <x:v>SRC041</x:v>
      </x:c>
      <x:c r="C553" s="69" t="str">
        <x:v>2025-2026</x:v>
      </x:c>
      <x:c r="D553" s="69" t="str">
        <x:v>detail</x:v>
      </x:c>
      <x:c r="E553" s="69" t="str">
        <x:v>文件未載明</x:v>
      </x:c>
      <x:c r="F553" s="71" t="str">
        <x:v>2樓陽台地坪防水工程</x:v>
      </x:c>
      <x:c r="G553" s="71" t="str">
        <x:v>文件未載明</x:v>
      </x:c>
      <x:c r="H553" s="71" t="str">
        <x:v>文件未載明</x:v>
      </x:c>
      <x:c r="I553" s="72"/>
      <x:c r="J553" s="69" t="str">
        <x:v>文件未載明</x:v>
      </x:c>
      <x:c r="K553" s="70"/>
      <x:c r="L553" s="69" t="str">
        <x:v>文件未載明</x:v>
      </x:c>
      <x:c r="M553" s="70"/>
      <x:c r="N553" s="69" t="str">
        <x:v>文件未載明</x:v>
      </x:c>
      <x:c r="O553" s="71" t="str">
        <x:v>文件未載明</x:v>
      </x:c>
      <x:c r="P553" s="71" t="str">
        <x:v>HTML table 1 row 5</x:v>
      </x:c>
      <x:c r="Q553" s="71" t="str">
        <x:v>| 2樓陽台地坪防水工程 | | | | |</x:v>
      </x:c>
      <x:c r="R553" s="71" t="str">
        <x:v>各廠商合約&amp; 報價\MD檔案\20250923山源工程行-2樓陽台地坪防水工程報價單.md</x:v>
      </x:c>
    </x:row>
    <x:row r="554">
      <x:c r="A554" s="69" t="str">
        <x:v>ITEM00550</x:v>
      </x:c>
      <x:c r="B554" s="69" t="str">
        <x:v>SRC041</x:v>
      </x:c>
      <x:c r="C554" s="69" t="str">
        <x:v>2025-2026</x:v>
      </x:c>
      <x:c r="D554" s="69" t="str">
        <x:v>detail</x:v>
      </x:c>
      <x:c r="E554" s="69" t="str">
        <x:v>1</x:v>
      </x:c>
      <x:c r="F554" s="71" t="str">
        <x:v>地磚打除至結構體(不含清運廢棄物)</x:v>
      </x:c>
      <x:c r="G554" s="71" t="str">
        <x:v>式</x:v>
      </x:c>
      <x:c r="H554" s="71" t="str">
        <x:v>文件未載明</x:v>
      </x:c>
      <x:c r="I554" s="72"/>
      <x:c r="J554" s="69" t="str">
        <x:v>文件未載明</x:v>
      </x:c>
      <x:c r="K554" s="70"/>
      <x:c r="L554" s="69" t="str">
        <x:v>文件未載明</x:v>
      </x:c>
      <x:c r="M554" s="70" t="n">
        <x:v>10000</x:v>
      </x:c>
      <x:c r="N554" s="69" t="str">
        <x:v>10,000</x:v>
      </x:c>
      <x:c r="O554" s="71" t="str">
        <x:v>文件未載明</x:v>
      </x:c>
      <x:c r="P554" s="71" t="str">
        <x:v>HTML table 1 row 6</x:v>
      </x:c>
      <x:c r="Q554" s="71" t="str">
        <x:v>1 | 地磚打除至結構體(不含清運廢棄物) | 式 | | | 10,000 |</x:v>
      </x:c>
      <x:c r="R554" s="71" t="str">
        <x:v>各廠商合約&amp; 報價\MD檔案\20250923山源工程行-2樓陽台地坪防水工程報價單.md</x:v>
      </x:c>
    </x:row>
    <x:row r="555">
      <x:c r="A555" s="69" t="str">
        <x:v>ITEM00551</x:v>
      </x:c>
      <x:c r="B555" s="69" t="str">
        <x:v>SRC041</x:v>
      </x:c>
      <x:c r="C555" s="69" t="str">
        <x:v>2025-2026</x:v>
      </x:c>
      <x:c r="D555" s="69" t="str">
        <x:v>detail</x:v>
      </x:c>
      <x:c r="E555" s="69" t="str">
        <x:v>2</x:v>
      </x:c>
      <x:c r="F555" s="71" t="str">
        <x:v>防水施作(一底2塗) 折角打合圈 √</x:v>
      </x:c>
      <x:c r="G555" s="71" t="str">
        <x:v>式</x:v>
      </x:c>
      <x:c r="H555" s="71" t="str">
        <x:v>文件未載明</x:v>
      </x:c>
      <x:c r="I555" s="72"/>
      <x:c r="J555" s="69" t="str">
        <x:v>文件未載明</x:v>
      </x:c>
      <x:c r="K555" s="70"/>
      <x:c r="L555" s="69" t="str">
        <x:v>文件未載明</x:v>
      </x:c>
      <x:c r="M555" s="70" t="n">
        <x:v>15000</x:v>
      </x:c>
      <x:c r="N555" s="69" t="str">
        <x:v>15,000</x:v>
      </x:c>
      <x:c r="O555" s="71" t="str">
        <x:v>文件未載明</x:v>
      </x:c>
      <x:c r="P555" s="71" t="str">
        <x:v>HTML table 1 row 7</x:v>
      </x:c>
      <x:c r="Q555" s="71" t="str">
        <x:v>2 | 防水施作(一底2塗) 折角打合圈 √ | 式 | | | 15,000 |</x:v>
      </x:c>
      <x:c r="R555" s="71" t="str">
        <x:v>各廠商合約&amp; 報價\MD檔案\20250923山源工程行-2樓陽台地坪防水工程報價單.md</x:v>
      </x:c>
    </x:row>
    <x:row r="556">
      <x:c r="A556" s="69" t="str">
        <x:v>ITEM00552</x:v>
      </x:c>
      <x:c r="B556" s="69" t="str">
        <x:v>SRC041</x:v>
      </x:c>
      <x:c r="C556" s="69" t="str">
        <x:v>2025-2026</x:v>
      </x:c>
      <x:c r="D556" s="69" t="str">
        <x:v>note</x:v>
      </x:c>
      <x:c r="E556" s="69" t="str">
        <x:v>備註:</x:v>
      </x:c>
      <x:c r="F556" s="71" t="str">
        <x:v>客戶同意簽章</x:v>
      </x:c>
      <x:c r="G556" s="71" t="str">
        <x:v>文件未載明</x:v>
      </x:c>
      <x:c r="H556" s="71" t="str">
        <x:v>文件未載明</x:v>
      </x:c>
      <x:c r="I556" s="72"/>
      <x:c r="J556" s="69" t="str">
        <x:v>文件未載明</x:v>
      </x:c>
      <x:c r="K556" s="70"/>
      <x:c r="L556" s="69" t="str">
        <x:v>文件未載明</x:v>
      </x:c>
      <x:c r="M556" s="70"/>
      <x:c r="N556" s="69" t="str">
        <x:v>文件未載明</x:v>
      </x:c>
      <x:c r="O556" s="71" t="str">
        <x:v>文件未載明</x:v>
      </x:c>
      <x:c r="P556" s="71" t="str">
        <x:v>HTML table 1 row 33</x:v>
      </x:c>
      <x:c r="Q556" s="71" t="str">
        <x:v>備註: | 客戶同意簽章</x:v>
      </x:c>
      <x:c r="R556" s="71" t="str">
        <x:v>各廠商合約&amp; 報價\MD檔案\20250923山源工程行-2樓陽台地坪防水工程報價單.md</x:v>
      </x:c>
    </x:row>
    <x:row r="557">
      <x:c r="A557" s="69" t="str">
        <x:v>ITEM00553</x:v>
      </x:c>
      <x:c r="B557" s="69" t="str">
        <x:v>SRC041</x:v>
      </x:c>
      <x:c r="C557" s="69" t="str">
        <x:v>2025-2026</x:v>
      </x:c>
      <x:c r="D557" s="69" t="str">
        <x:v>summary</x:v>
      </x:c>
      <x:c r="E557" s="69" t="str">
        <x:v>(1)以上報價不含營業稅金。</x:v>
      </x:c>
      <x:c r="F557" s="71" t="str">
        <x:v>文件未載明</x:v>
      </x:c>
      <x:c r="G557" s="71" t="str">
        <x:v>文件未載明</x:v>
      </x:c>
      <x:c r="H557" s="71" t="str">
        <x:v>文件未載明</x:v>
      </x:c>
      <x:c r="I557" s="72"/>
      <x:c r="J557" s="69" t="str">
        <x:v>文件未載明</x:v>
      </x:c>
      <x:c r="K557" s="70"/>
      <x:c r="L557" s="69" t="str">
        <x:v>文件未載明</x:v>
      </x:c>
      <x:c r="M557" s="70"/>
      <x:c r="N557" s="69" t="str">
        <x:v>文件未載明</x:v>
      </x:c>
      <x:c r="O557" s="71" t="str">
        <x:v>文件未載明</x:v>
      </x:c>
      <x:c r="P557" s="71" t="str">
        <x:v>HTML table 1 row 34</x:v>
      </x:c>
      <x:c r="Q557" s="71" t="str">
        <x:v>(1)以上報價不含營業稅金。 |</x:v>
      </x:c>
      <x:c r="R557" s="71" t="str">
        <x:v>各廠商合約&amp; 報價\MD檔案\20250923山源工程行-2樓陽台地坪防水工程報價單.md</x:v>
      </x:c>
    </x:row>
    <x:row r="558">
      <x:c r="A558" s="69" t="str">
        <x:v>ITEM00554</x:v>
      </x:c>
      <x:c r="B558" s="69" t="str">
        <x:v>SRC041</x:v>
      </x:c>
      <x:c r="C558" s="69" t="str">
        <x:v>2025-2026</x:v>
      </x:c>
      <x:c r="D558" s="69" t="str">
        <x:v>note</x:v>
      </x:c>
      <x:c r="E558" s="69" t="str">
        <x:v>(2)以上工程報價不含水電或泥作費用。</x:v>
      </x:c>
      <x:c r="F558" s="71" t="str">
        <x:v>文件未載明</x:v>
      </x:c>
      <x:c r="G558" s="71" t="str">
        <x:v>文件未載明</x:v>
      </x:c>
      <x:c r="H558" s="71" t="str">
        <x:v>文件未載明</x:v>
      </x:c>
      <x:c r="I558" s="72"/>
      <x:c r="J558" s="69" t="str">
        <x:v>文件未載明</x:v>
      </x:c>
      <x:c r="K558" s="70"/>
      <x:c r="L558" s="69" t="str">
        <x:v>文件未載明</x:v>
      </x:c>
      <x:c r="M558" s="70"/>
      <x:c r="N558" s="69" t="str">
        <x:v>文件未載明</x:v>
      </x:c>
      <x:c r="O558" s="71" t="str">
        <x:v>文件未載明</x:v>
      </x:c>
      <x:c r="P558" s="71" t="str">
        <x:v>HTML table 1 row 35</x:v>
      </x:c>
      <x:c r="Q558" s="71" t="str">
        <x:v>(2)以上工程報價不含水電或泥作費用。</x:v>
      </x:c>
      <x:c r="R558" s="71" t="str">
        <x:v>各廠商合約&amp; 報價\MD檔案\20250923山源工程行-2樓陽台地坪防水工程報價單.md</x:v>
      </x:c>
    </x:row>
    <x:row r="559">
      <x:c r="A559" s="69" t="str">
        <x:v>ITEM00555</x:v>
      </x:c>
      <x:c r="B559" s="69" t="str">
        <x:v>SRC041</x:v>
      </x:c>
      <x:c r="C559" s="69" t="str">
        <x:v>2025-2026</x:v>
      </x:c>
      <x:c r="D559" s="69" t="str">
        <x:v>detail</x:v>
      </x:c>
      <x:c r="E559" s="69" t="str">
        <x:v>聯絡人:葉先生</x:v>
      </x:c>
      <x:c r="F559" s="71" t="str">
        <x:v>電話:0932-088-914</x:v>
      </x:c>
      <x:c r="G559" s="71" t="str">
        <x:v>文件未載明</x:v>
      </x:c>
      <x:c r="H559" s="71" t="str">
        <x:v>文件未載明</x:v>
      </x:c>
      <x:c r="I559" s="72"/>
      <x:c r="J559" s="69" t="str">
        <x:v>文件未載明</x:v>
      </x:c>
      <x:c r="K559" s="70"/>
      <x:c r="L559" s="69" t="str">
        <x:v>文件未載明</x:v>
      </x:c>
      <x:c r="M559" s="70"/>
      <x:c r="N559" s="69" t="str">
        <x:v>文件未載明</x:v>
      </x:c>
      <x:c r="O559" s="71" t="str">
        <x:v>文件未載明</x:v>
      </x:c>
      <x:c r="P559" s="71" t="str">
        <x:v>HTML table 1 row 37</x:v>
      </x:c>
      <x:c r="Q559" s="71" t="str">
        <x:v>聯絡人:葉先生 | 電話:0932-088-914</x:v>
      </x:c>
      <x:c r="R559" s="71" t="str">
        <x:v>各廠商合約&amp; 報價\MD檔案\20250923山源工程行-2樓陽台地坪防水工程報價單.md</x:v>
      </x:c>
    </x:row>
    <x:row r="560">
      <x:c r="A560" s="69" t="str">
        <x:v>ITEM00556</x:v>
      </x:c>
      <x:c r="B560" s="69" t="str">
        <x:v>SRC041</x:v>
      </x:c>
      <x:c r="C560" s="69" t="str">
        <x:v>2025-2026</x:v>
      </x:c>
      <x:c r="D560" s="69" t="str">
        <x:v>detail</x:v>
      </x:c>
      <x:c r="E560" s="69" t="str">
        <x:v>公司地址:新北市中和區國光街103號</x:v>
      </x:c>
      <x:c r="F560" s="71" t="str">
        <x:v>電話:(02)2956-2673</x:v>
      </x:c>
      <x:c r="G560" s="71" t="str">
        <x:v>文件未載明</x:v>
      </x:c>
      <x:c r="H560" s="71" t="str">
        <x:v>文件未載明</x:v>
      </x:c>
      <x:c r="I560" s="72"/>
      <x:c r="J560" s="69" t="str">
        <x:v>文件未載明</x:v>
      </x:c>
      <x:c r="K560" s="70"/>
      <x:c r="L560" s="69" t="str">
        <x:v>文件未載明</x:v>
      </x:c>
      <x:c r="M560" s="70"/>
      <x:c r="N560" s="69" t="str">
        <x:v>文件未載明</x:v>
      </x:c>
      <x:c r="O560" s="71" t="str">
        <x:v>文件未載明</x:v>
      </x:c>
      <x:c r="P560" s="71" t="str">
        <x:v>HTML table 1 row 38</x:v>
      </x:c>
      <x:c r="Q560" s="71" t="str">
        <x:v>公司地址:新北市中和區國光街103號 | 電話:(02)2956-2673</x:v>
      </x:c>
      <x:c r="R560" s="71" t="str">
        <x:v>各廠商合約&amp; 報價\MD檔案\20250923山源工程行-2樓陽台地坪防水工程報價單.md</x:v>
      </x:c>
    </x:row>
    <x:row r="561">
      <x:c r="A561" s="69" t="str">
        <x:v>ITEM00557</x:v>
      </x:c>
      <x:c r="B561" s="69" t="str">
        <x:v>SRC041</x:v>
      </x:c>
      <x:c r="C561" s="69" t="str">
        <x:v>2025-2026</x:v>
      </x:c>
      <x:c r="D561" s="69" t="str">
        <x:v>detail</x:v>
      </x:c>
      <x:c r="E561" s="69" t="str">
        <x:v>統編:17819498</x:v>
      </x:c>
      <x:c r="F561" s="71" t="str">
        <x:v>Mail:jinnjia1118@gmail.com</x:v>
      </x:c>
      <x:c r="G561" s="71" t="str">
        <x:v>文件未載明</x:v>
      </x:c>
      <x:c r="H561" s="71" t="str">
        <x:v>文件未載明</x:v>
      </x:c>
      <x:c r="I561" s="72"/>
      <x:c r="J561" s="69" t="str">
        <x:v>文件未載明</x:v>
      </x:c>
      <x:c r="K561" s="70"/>
      <x:c r="L561" s="69" t="str">
        <x:v>文件未載明</x:v>
      </x:c>
      <x:c r="M561" s="70"/>
      <x:c r="N561" s="69" t="str">
        <x:v>文件未載明</x:v>
      </x:c>
      <x:c r="O561" s="71" t="str">
        <x:v>文件未載明</x:v>
      </x:c>
      <x:c r="P561" s="71" t="str">
        <x:v>HTML table 1 row 39</x:v>
      </x:c>
      <x:c r="Q561" s="71" t="str">
        <x:v>統編:17819498 | Mail:jinnjia1118@gmail.com</x:v>
      </x:c>
      <x:c r="R561" s="71" t="str">
        <x:v>各廠商合約&amp; 報價\MD檔案\20250923山源工程行-2樓陽台地坪防水工程報價單.md</x:v>
      </x:c>
    </x:row>
    <x:row r="562">
      <x:c r="A562" s="69" t="str">
        <x:v>ITEM00558</x:v>
      </x:c>
      <x:c r="B562" s="69" t="str">
        <x:v>SRC042</x:v>
      </x:c>
      <x:c r="C562" s="69" t="str">
        <x:v>2025-2026</x:v>
      </x:c>
      <x:c r="D562" s="69" t="str">
        <x:v>header</x:v>
      </x:c>
      <x:c r="E562" s="69" t="str">
        <x:v>項目</x:v>
      </x:c>
      <x:c r="F562" s="71" t="str">
        <x:v>項目</x:v>
      </x:c>
      <x:c r="G562" s="71" t="str">
        <x:v>文件未載明</x:v>
      </x:c>
      <x:c r="H562" s="71" t="str">
        <x:v>單位</x:v>
      </x:c>
      <x:c r="I562" s="72"/>
      <x:c r="J562" s="69" t="str">
        <x:v>數量</x:v>
      </x:c>
      <x:c r="K562" s="70"/>
      <x:c r="L562" s="69" t="str">
        <x:v>單價</x:v>
      </x:c>
      <x:c r="M562" s="70"/>
      <x:c r="N562" s="69" t="str">
        <x:v>金額</x:v>
      </x:c>
      <x:c r="O562" s="71" t="str">
        <x:v>備註</x:v>
      </x:c>
      <x:c r="P562" s="71" t="str">
        <x:v>HTML table 1 row 1</x:v>
      </x:c>
      <x:c r="Q562" s="71" t="str">
        <x:v>項目 | 品名規格 | 單位 | 數量 | 單價 | 金額 | 備註</x:v>
      </x:c>
      <x:c r="R562" s="71" t="str">
        <x:v>各廠商合約&amp; 報價\MD檔案\20251016電箱報價單回傳.md</x:v>
      </x:c>
    </x:row>
    <x:row r="563">
      <x:c r="A563" s="69" t="str">
        <x:v>ITEM00559</x:v>
      </x:c>
      <x:c r="B563" s="69" t="str">
        <x:v>SRC042</x:v>
      </x:c>
      <x:c r="C563" s="69" t="str">
        <x:v>2025-2026</x:v>
      </x:c>
      <x:c r="D563" s="69" t="str">
        <x:v>detail</x:v>
      </x:c>
      <x:c r="E563" s="69" t="str">
        <x:v>1</x:v>
      </x:c>
      <x:c r="F563" s="71" t="str">
        <x:v>1</x:v>
      </x:c>
      <x:c r="G563" s="71" t="str">
        <x:v>文件未載明</x:v>
      </x:c>
      <x:c r="H563" s="71" t="str">
        <x:v>文件未載明</x:v>
      </x:c>
      <x:c r="I563" s="72"/>
      <x:c r="J563" s="69" t="str">
        <x:v>文件未載明</x:v>
      </x:c>
      <x:c r="K563" s="70"/>
      <x:c r="L563" s="69" t="str">
        <x:v>文件未載明</x:v>
      </x:c>
      <x:c r="M563" s="70"/>
      <x:c r="N563" s="69" t="str">
        <x:v>文件未載明</x:v>
      </x:c>
      <x:c r="O563" s="71" t="str">
        <x:v>文件未載明</x:v>
      </x:c>
      <x:c r="P563" s="71" t="str">
        <x:v>HTML table 1 row 2</x:v>
      </x:c>
      <x:c r="Q563" s="71" t="str">
        <x:v>1 | P1 PANEL 屋外不銹鋼防水受電箱(中門) | | | | |</x:v>
      </x:c>
      <x:c r="R563" s="71" t="str">
        <x:v>各廠商合約&amp; 報價\MD檔案\20251016電箱報價單回傳.md</x:v>
      </x:c>
    </x:row>
    <x:row r="564">
      <x:c r="A564" s="69" t="str">
        <x:v>ITEM00560</x:v>
      </x:c>
      <x:c r="B564" s="69" t="str">
        <x:v>SRC042</x:v>
      </x:c>
      <x:c r="C564" s="69" t="str">
        <x:v>2025-2026</x:v>
      </x:c>
      <x:c r="D564" s="69" t="str">
        <x:v>detail</x:v>
      </x:c>
      <x:c r="E564" s="69" t="str">
        <x:v>文件未載明</x:v>
      </x:c>
      <x:c r="F564" s="71" t="str">
        <x:v>3φ3W 220V SUS304 t=1.2mm 無烤漆</x:v>
      </x:c>
      <x:c r="G564" s="71" t="str">
        <x:v>文件未載明</x:v>
      </x:c>
      <x:c r="H564" s="71" t="str">
        <x:v>文件未載明</x:v>
      </x:c>
      <x:c r="I564" s="72"/>
      <x:c r="J564" s="69" t="str">
        <x:v>文件未載明</x:v>
      </x:c>
      <x:c r="K564" s="70"/>
      <x:c r="L564" s="69" t="str">
        <x:v>文件未載明</x:v>
      </x:c>
      <x:c r="M564" s="70"/>
      <x:c r="N564" s="69" t="str">
        <x:v>文件未載明</x:v>
      </x:c>
      <x:c r="O564" s="71" t="str">
        <x:v>文件未載明</x:v>
      </x:c>
      <x:c r="P564" s="71" t="str">
        <x:v>HTML table 1 row 3</x:v>
      </x:c>
      <x:c r="Q564" s="71" t="str">
        <x:v>| 3φ3W 220V SUS304 t=1.2mm 無烤漆 | | | | |</x:v>
      </x:c>
      <x:c r="R564" s="71" t="str">
        <x:v>各廠商合約&amp; 報價\MD檔案\20251016電箱報價單回傳.md</x:v>
      </x:c>
    </x:row>
    <x:row r="565">
      <x:c r="A565" s="69" t="str">
        <x:v>ITEM00561</x:v>
      </x:c>
      <x:c r="B565" s="69" t="str">
        <x:v>SRC042</x:v>
      </x:c>
      <x:c r="C565" s="69" t="str">
        <x:v>2025-2026</x:v>
      </x:c>
      <x:c r="D565" s="69" t="str">
        <x:v>detail</x:v>
      </x:c>
      <x:c r="E565" s="69" t="str">
        <x:v>文件未載明</x:v>
      </x:c>
      <x:c r="F565" s="71" t="str">
        <x:v>CASE:800W × 1600H × 350D</x:v>
      </x:c>
      <x:c r="G565" s="71" t="str">
        <x:v>文件未載明</x:v>
      </x:c>
      <x:c r="H565" s="71" t="str">
        <x:v>只</x:v>
      </x:c>
      <x:c r="I565" s="72" t="n">
        <x:v>1</x:v>
      </x:c>
      <x:c r="J565" s="69" t="str">
        <x:v>1</x:v>
      </x:c>
      <x:c r="K565" s="70" t="n">
        <x:v>30500</x:v>
      </x:c>
      <x:c r="L565" s="69" t="str">
        <x:v>30,500</x:v>
      </x:c>
      <x:c r="M565" s="70" t="n">
        <x:v>30500</x:v>
      </x:c>
      <x:c r="N565" s="69" t="str">
        <x:v>30,500</x:v>
      </x:c>
      <x:c r="O565" s="71" t="str">
        <x:v>文件未載明</x:v>
      </x:c>
      <x:c r="P565" s="71" t="str">
        <x:v>HTML table 1 row 4</x:v>
      </x:c>
      <x:c r="Q565" s="71" t="str">
        <x:v>| CASE:800W × 1600H × 350D | 只 | 1 | 30,500 | 30,500 |</x:v>
      </x:c>
      <x:c r="R565" s="71" t="str">
        <x:v>各廠商合約&amp; 報價\MD檔案\20251016電箱報價單回傳.md</x:v>
      </x:c>
    </x:row>
    <x:row r="566">
      <x:c r="A566" s="69" t="str">
        <x:v>ITEM00562</x:v>
      </x:c>
      <x:c r="B566" s="69" t="str">
        <x:v>SRC042</x:v>
      </x:c>
      <x:c r="C566" s="69" t="str">
        <x:v>2025-2026</x:v>
      </x:c>
      <x:c r="D566" s="69" t="str">
        <x:v>detail</x:v>
      </x:c>
      <x:c r="E566" s="69" t="str">
        <x:v>文件未載明</x:v>
      </x:c>
      <x:c r="F566" s="71" t="str">
        <x:v>NFB 3P 400/300A 220V/35KA 400-CN</x:v>
      </x:c>
      <x:c r="G566" s="71" t="str">
        <x:v>文件未載明</x:v>
      </x:c>
      <x:c r="H566" s="71" t="str">
        <x:v>只</x:v>
      </x:c>
      <x:c r="I566" s="72" t="n">
        <x:v>1</x:v>
      </x:c>
      <x:c r="J566" s="69" t="str">
        <x:v>1</x:v>
      </x:c>
      <x:c r="K566" s="70" t="n">
        <x:v>4877</x:v>
      </x:c>
      <x:c r="L566" s="69" t="str">
        <x:v>4,877</x:v>
      </x:c>
      <x:c r="M566" s="70" t="n">
        <x:v>4877</x:v>
      </x:c>
      <x:c r="N566" s="69" t="str">
        <x:v>4,877</x:v>
      </x:c>
      <x:c r="O566" s="71" t="str">
        <x:v>士林</x:v>
      </x:c>
      <x:c r="P566" s="71" t="str">
        <x:v>HTML table 1 row 5</x:v>
      </x:c>
      <x:c r="Q566" s="71" t="str">
        <x:v>| NFB 3P 400/300A 220V/35KA 400-CN | 只 | 1 | 4,877 | 4,877 | 士林</x:v>
      </x:c>
      <x:c r="R566" s="71" t="str">
        <x:v>各廠商合約&amp; 報價\MD檔案\20251016電箱報價單回傳.md</x:v>
      </x:c>
    </x:row>
    <x:row r="567">
      <x:c r="A567" s="69" t="str">
        <x:v>ITEM00563</x:v>
      </x:c>
      <x:c r="B567" s="69" t="str">
        <x:v>SRC042</x:v>
      </x:c>
      <x:c r="C567" s="69" t="str">
        <x:v>2025-2026</x:v>
      </x:c>
      <x:c r="D567" s="69" t="str">
        <x:v>detail</x:v>
      </x:c>
      <x:c r="E567" s="69" t="str">
        <x:v>文件未載明</x:v>
      </x:c>
      <x:c r="F567" s="71" t="str">
        <x:v>NFB 3P 125/100A 220V/35KA 125-HN</x:v>
      </x:c>
      <x:c r="G567" s="71" t="str">
        <x:v>文件未載明</x:v>
      </x:c>
      <x:c r="H567" s="71" t="str">
        <x:v>只</x:v>
      </x:c>
      <x:c r="I567" s="72" t="n">
        <x:v>1</x:v>
      </x:c>
      <x:c r="J567" s="69" t="str">
        <x:v>1</x:v>
      </x:c>
      <x:c r="K567" s="70" t="n">
        <x:v>1564</x:v>
      </x:c>
      <x:c r="L567" s="69" t="str">
        <x:v>1,564</x:v>
      </x:c>
      <x:c r="M567" s="70" t="n">
        <x:v>1564</x:v>
      </x:c>
      <x:c r="N567" s="69" t="str">
        <x:v>1,564</x:v>
      </x:c>
      <x:c r="O567" s="71" t="str">
        <x:v>士林</x:v>
      </x:c>
      <x:c r="P567" s="71" t="str">
        <x:v>HTML table 1 row 6</x:v>
      </x:c>
      <x:c r="Q567" s="71" t="str">
        <x:v>| NFB 3P 125/100A 220V/35KA 125-HN | 只 | 1 | 1,564 | 1,564 | 士林</x:v>
      </x:c>
      <x:c r="R567" s="71" t="str">
        <x:v>各廠商合約&amp; 報價\MD檔案\20251016電箱報價單回傳.md</x:v>
      </x:c>
    </x:row>
    <x:row r="568">
      <x:c r="A568" s="69" t="str">
        <x:v>ITEM00564</x:v>
      </x:c>
      <x:c r="B568" s="69" t="str">
        <x:v>SRC042</x:v>
      </x:c>
      <x:c r="C568" s="69" t="str">
        <x:v>2025-2026</x:v>
      </x:c>
      <x:c r="D568" s="69" t="str">
        <x:v>detail</x:v>
      </x:c>
      <x:c r="E568" s="69" t="str">
        <x:v>文件未載明</x:v>
      </x:c>
      <x:c r="F568" s="71" t="str">
        <x:v>壓克力銘牌(含迴路銘牌)</x:v>
      </x:c>
      <x:c r="G568" s="71" t="str">
        <x:v>文件未載明</x:v>
      </x:c>
      <x:c r="H568" s="71" t="str">
        <x:v>式</x:v>
      </x:c>
      <x:c r="I568" s="72" t="n">
        <x:v>1</x:v>
      </x:c>
      <x:c r="J568" s="69" t="str">
        <x:v>1</x:v>
      </x:c>
      <x:c r="K568" s="70" t="n">
        <x:v>650</x:v>
      </x:c>
      <x:c r="L568" s="69" t="str">
        <x:v>650</x:v>
      </x:c>
      <x:c r="M568" s="70" t="n">
        <x:v>650</x:v>
      </x:c>
      <x:c r="N568" s="69" t="str">
        <x:v>650</x:v>
      </x:c>
      <x:c r="O568" s="71" t="str">
        <x:v>文件未載明</x:v>
      </x:c>
      <x:c r="P568" s="71" t="str">
        <x:v>HTML table 1 row 7</x:v>
      </x:c>
      <x:c r="Q568" s="71" t="str">
        <x:v>| 壓克力銘牌(含迴路銘牌) | 式 | 1 | 650 | 650 |</x:v>
      </x:c>
      <x:c r="R568" s="71" t="str">
        <x:v>各廠商合約&amp; 報價\MD檔案\20251016電箱報價單回傳.md</x:v>
      </x:c>
    </x:row>
    <x:row r="569">
      <x:c r="A569" s="69" t="str">
        <x:v>ITEM00565</x:v>
      </x:c>
      <x:c r="B569" s="69" t="str">
        <x:v>SRC042</x:v>
      </x:c>
      <x:c r="C569" s="69" t="str">
        <x:v>2025-2026</x:v>
      </x:c>
      <x:c r="D569" s="69" t="str">
        <x:v>detail</x:v>
      </x:c>
      <x:c r="E569" s="69" t="str">
        <x:v>文件未載明</x:v>
      </x:c>
      <x:c r="F569" s="71" t="str">
        <x:v>CU BUS BAR &amp; SUPPORT 10t × 50W</x:v>
      </x:c>
      <x:c r="G569" s="71" t="str">
        <x:v>文件未載明</x:v>
      </x:c>
      <x:c r="H569" s="71" t="str">
        <x:v>式</x:v>
      </x:c>
      <x:c r="I569" s="72" t="n">
        <x:v>1</x:v>
      </x:c>
      <x:c r="J569" s="69" t="str">
        <x:v>1</x:v>
      </x:c>
      <x:c r="K569" s="70" t="n">
        <x:v>12000</x:v>
      </x:c>
      <x:c r="L569" s="69" t="str">
        <x:v>12,000</x:v>
      </x:c>
      <x:c r="M569" s="70" t="n">
        <x:v>12000</x:v>
      </x:c>
      <x:c r="N569" s="69" t="str">
        <x:v>12,000</x:v>
      </x:c>
      <x:c r="O569" s="71" t="str">
        <x:v>文件未載明</x:v>
      </x:c>
      <x:c r="P569" s="71" t="str">
        <x:v>HTML table 1 row 8</x:v>
      </x:c>
      <x:c r="Q569" s="71" t="str">
        <x:v>| CU BUS BAR &amp; SUPPORT 10t × 50W | 式 | 1 | 12,000 | 12,000 |</x:v>
      </x:c>
      <x:c r="R569" s="71" t="str">
        <x:v>各廠商合約&amp; 報價\MD檔案\20251016電箱報價單回傳.md</x:v>
      </x:c>
    </x:row>
    <x:row r="570">
      <x:c r="A570" s="69" t="str">
        <x:v>ITEM00566</x:v>
      </x:c>
      <x:c r="B570" s="69" t="str">
        <x:v>SRC042</x:v>
      </x:c>
      <x:c r="C570" s="69" t="str">
        <x:v>2025-2026</x:v>
      </x:c>
      <x:c r="D570" s="69" t="str">
        <x:v>detail</x:v>
      </x:c>
      <x:c r="E570" s="69" t="str">
        <x:v>文件未載明</x:v>
      </x:c>
      <x:c r="F570" s="71" t="str">
        <x:v>盤內器材組裝工資</x:v>
      </x:c>
      <x:c r="G570" s="71" t="str">
        <x:v>文件未載明</x:v>
      </x:c>
      <x:c r="H570" s="71" t="str">
        <x:v>式</x:v>
      </x:c>
      <x:c r="I570" s="72" t="n">
        <x:v>1</x:v>
      </x:c>
      <x:c r="J570" s="69" t="str">
        <x:v>1</x:v>
      </x:c>
      <x:c r="K570" s="70" t="n">
        <x:v>4500</x:v>
      </x:c>
      <x:c r="L570" s="69" t="str">
        <x:v>4,500</x:v>
      </x:c>
      <x:c r="M570" s="70" t="n">
        <x:v>4500</x:v>
      </x:c>
      <x:c r="N570" s="69" t="str">
        <x:v>4,500</x:v>
      </x:c>
      <x:c r="O570" s="71" t="str">
        <x:v>文件未載明</x:v>
      </x:c>
      <x:c r="P570" s="71" t="str">
        <x:v>HTML table 1 row 9</x:v>
      </x:c>
      <x:c r="Q570" s="71" t="str">
        <x:v>| 盤內器材組裝工資 | 式 | 1 | 4,500 | 4,500 |</x:v>
      </x:c>
      <x:c r="R570" s="71" t="str">
        <x:v>各廠商合約&amp; 報價\MD檔案\20251016電箱報價單回傳.md</x:v>
      </x:c>
    </x:row>
    <x:row r="571">
      <x:c r="A571" s="69" t="str">
        <x:v>ITEM00567</x:v>
      </x:c>
      <x:c r="B571" s="69" t="str">
        <x:v>SRC042</x:v>
      </x:c>
      <x:c r="C571" s="69" t="str">
        <x:v>2025-2026</x:v>
      </x:c>
      <x:c r="D571" s="69" t="str">
        <x:v>detail</x:v>
      </x:c>
      <x:c r="E571" s="69" t="str">
        <x:v>2</x:v>
      </x:c>
      <x:c r="F571" s="71" t="str">
        <x:v>2</x:v>
      </x:c>
      <x:c r="G571" s="71" t="str">
        <x:v>文件未載明</x:v>
      </x:c>
      <x:c r="H571" s="71" t="str">
        <x:v>文件未載明</x:v>
      </x:c>
      <x:c r="I571" s="72"/>
      <x:c r="J571" s="69" t="str">
        <x:v>文件未載明</x:v>
      </x:c>
      <x:c r="K571" s="70"/>
      <x:c r="L571" s="69" t="str">
        <x:v>文件未載明</x:v>
      </x:c>
      <x:c r="M571" s="70"/>
      <x:c r="N571" s="69" t="str">
        <x:v>文件未載明</x:v>
      </x:c>
      <x:c r="O571" s="71" t="str">
        <x:v>文件未載明</x:v>
      </x:c>
      <x:c r="P571" s="71" t="str">
        <x:v>HTML table 1 row 10</x:v>
      </x:c>
      <x:c r="Q571" s="71" t="str">
        <x:v>2 | P2 PANEL 屋外不銹鋼防水受電箱(中門) | | | | |</x:v>
      </x:c>
      <x:c r="R571" s="71" t="str">
        <x:v>各廠商合約&amp; 報價\MD檔案\20251016電箱報價單回傳.md</x:v>
      </x:c>
    </x:row>
    <x:row r="572">
      <x:c r="A572" s="69" t="str">
        <x:v>ITEM00568</x:v>
      </x:c>
      <x:c r="B572" s="69" t="str">
        <x:v>SRC042</x:v>
      </x:c>
      <x:c r="C572" s="69" t="str">
        <x:v>2025-2026</x:v>
      </x:c>
      <x:c r="D572" s="69" t="str">
        <x:v>detail</x:v>
      </x:c>
      <x:c r="E572" s="69" t="str">
        <x:v>文件未載明</x:v>
      </x:c>
      <x:c r="F572" s="71" t="str">
        <x:v>1φ3W 220/110V SUS304 t=1.2mm 無烤漆</x:v>
      </x:c>
      <x:c r="G572" s="71" t="str">
        <x:v>文件未載明</x:v>
      </x:c>
      <x:c r="H572" s="71" t="str">
        <x:v>文件未載明</x:v>
      </x:c>
      <x:c r="I572" s="72"/>
      <x:c r="J572" s="69" t="str">
        <x:v>文件未載明</x:v>
      </x:c>
      <x:c r="K572" s="70"/>
      <x:c r="L572" s="69" t="str">
        <x:v>文件未載明</x:v>
      </x:c>
      <x:c r="M572" s="70"/>
      <x:c r="N572" s="69" t="str">
        <x:v>文件未載明</x:v>
      </x:c>
      <x:c r="O572" s="71" t="str">
        <x:v>文件未載明</x:v>
      </x:c>
      <x:c r="P572" s="71" t="str">
        <x:v>HTML table 1 row 11</x:v>
      </x:c>
      <x:c r="Q572" s="71" t="str">
        <x:v>| 1φ3W 220/110V SUS304 t=1.2mm 無烤漆 | | | |</x:v>
      </x:c>
      <x:c r="R572" s="71" t="str">
        <x:v>各廠商合約&amp; 報價\MD檔案\20251016電箱報價單回傳.md</x:v>
      </x:c>
    </x:row>
    <x:row r="573">
      <x:c r="A573" s="69" t="str">
        <x:v>ITEM00569</x:v>
      </x:c>
      <x:c r="B573" s="69" t="str">
        <x:v>SRC042</x:v>
      </x:c>
      <x:c r="C573" s="69" t="str">
        <x:v>2025-2026</x:v>
      </x:c>
      <x:c r="D573" s="69" t="str">
        <x:v>detail</x:v>
      </x:c>
      <x:c r="E573" s="69" t="str">
        <x:v>文件未載明</x:v>
      </x:c>
      <x:c r="F573" s="71" t="str">
        <x:v>CASE:800W × 1600H × 350D</x:v>
      </x:c>
      <x:c r="G573" s="71" t="str">
        <x:v>文件未載明</x:v>
      </x:c>
      <x:c r="H573" s="71" t="str">
        <x:v>只</x:v>
      </x:c>
      <x:c r="I573" s="72" t="n">
        <x:v>1</x:v>
      </x:c>
      <x:c r="J573" s="69" t="str">
        <x:v>1</x:v>
      </x:c>
      <x:c r="K573" s="70" t="n">
        <x:v>30500</x:v>
      </x:c>
      <x:c r="L573" s="69" t="str">
        <x:v>30,500</x:v>
      </x:c>
      <x:c r="M573" s="70" t="n">
        <x:v>30500</x:v>
      </x:c>
      <x:c r="N573" s="69" t="str">
        <x:v>30,500</x:v>
      </x:c>
      <x:c r="O573" s="71" t="str">
        <x:v>文件未載明</x:v>
      </x:c>
      <x:c r="P573" s="71" t="str">
        <x:v>HTML table 1 row 12</x:v>
      </x:c>
      <x:c r="Q573" s="71" t="str">
        <x:v>| CASE:800W × 1600H × 350D | 只 | 1 | 30,500 | 30,500 |</x:v>
      </x:c>
      <x:c r="R573" s="71" t="str">
        <x:v>各廠商合約&amp; 報價\MD檔案\20251016電箱報價單回傳.md</x:v>
      </x:c>
    </x:row>
    <x:row r="574">
      <x:c r="A574" s="69" t="str">
        <x:v>ITEM00570</x:v>
      </x:c>
      <x:c r="B574" s="69" t="str">
        <x:v>SRC042</x:v>
      </x:c>
      <x:c r="C574" s="69" t="str">
        <x:v>2025-2026</x:v>
      </x:c>
      <x:c r="D574" s="69" t="str">
        <x:v>detail</x:v>
      </x:c>
      <x:c r="E574" s="69" t="str">
        <x:v>文件未載明</x:v>
      </x:c>
      <x:c r="F574" s="71" t="str">
        <x:v>NFB 2P 400/300A 220V/35KA 400-CN</x:v>
      </x:c>
      <x:c r="G574" s="71" t="str">
        <x:v>文件未載明</x:v>
      </x:c>
      <x:c r="H574" s="71" t="str">
        <x:v>只</x:v>
      </x:c>
      <x:c r="I574" s="72" t="n">
        <x:v>1</x:v>
      </x:c>
      <x:c r="J574" s="69" t="str">
        <x:v>1</x:v>
      </x:c>
      <x:c r="K574" s="70" t="n">
        <x:v>4435</x:v>
      </x:c>
      <x:c r="L574" s="69" t="str">
        <x:v>4,435</x:v>
      </x:c>
      <x:c r="M574" s="70" t="n">
        <x:v>4435</x:v>
      </x:c>
      <x:c r="N574" s="69" t="str">
        <x:v>4,435</x:v>
      </x:c>
      <x:c r="O574" s="71" t="str">
        <x:v>士林</x:v>
      </x:c>
      <x:c r="P574" s="71" t="str">
        <x:v>HTML table 1 row 13</x:v>
      </x:c>
      <x:c r="Q574" s="71" t="str">
        <x:v>| NFB 2P 400/300A 220V/35KA 400-CN | 只 | 1 | 4,435 | 4,435 | 士林</x:v>
      </x:c>
      <x:c r="R574" s="71" t="str">
        <x:v>各廠商合約&amp; 報價\MD檔案\20251016電箱報價單回傳.md</x:v>
      </x:c>
    </x:row>
    <x:row r="575">
      <x:c r="A575" s="69" t="str">
        <x:v>ITEM00571</x:v>
      </x:c>
      <x:c r="B575" s="69" t="str">
        <x:v>SRC042</x:v>
      </x:c>
      <x:c r="C575" s="69" t="str">
        <x:v>2025-2026</x:v>
      </x:c>
      <x:c r="D575" s="69" t="str">
        <x:v>detail</x:v>
      </x:c>
      <x:c r="E575" s="69" t="str">
        <x:v>文件未載明</x:v>
      </x:c>
      <x:c r="F575" s="71" t="str">
        <x:v>壓克力銘牌(含迴路銘牌)</x:v>
      </x:c>
      <x:c r="G575" s="71" t="str">
        <x:v>文件未載明</x:v>
      </x:c>
      <x:c r="H575" s="71" t="str">
        <x:v>式</x:v>
      </x:c>
      <x:c r="I575" s="72" t="n">
        <x:v>1</x:v>
      </x:c>
      <x:c r="J575" s="69" t="str">
        <x:v>1</x:v>
      </x:c>
      <x:c r="K575" s="70" t="n">
        <x:v>650</x:v>
      </x:c>
      <x:c r="L575" s="69" t="str">
        <x:v>650</x:v>
      </x:c>
      <x:c r="M575" s="70" t="n">
        <x:v>650</x:v>
      </x:c>
      <x:c r="N575" s="69" t="str">
        <x:v>650</x:v>
      </x:c>
      <x:c r="O575" s="71" t="str">
        <x:v>文件未載明</x:v>
      </x:c>
      <x:c r="P575" s="71" t="str">
        <x:v>HTML table 1 row 14</x:v>
      </x:c>
      <x:c r="Q575" s="71" t="str">
        <x:v>| 壓克力銘牌(含迴路銘牌) | 式 | 1 | 650 | 650 |</x:v>
      </x:c>
      <x:c r="R575" s="71" t="str">
        <x:v>各廠商合約&amp; 報價\MD檔案\20251016電箱報價單回傳.md</x:v>
      </x:c>
    </x:row>
    <x:row r="576">
      <x:c r="A576" s="69" t="str">
        <x:v>ITEM00572</x:v>
      </x:c>
      <x:c r="B576" s="69" t="str">
        <x:v>SRC042</x:v>
      </x:c>
      <x:c r="C576" s="69" t="str">
        <x:v>2025-2026</x:v>
      </x:c>
      <x:c r="D576" s="69" t="str">
        <x:v>detail</x:v>
      </x:c>
      <x:c r="E576" s="69" t="str">
        <x:v>文件未載明</x:v>
      </x:c>
      <x:c r="F576" s="71" t="str">
        <x:v>CU BUS BAR &amp; SUPPORT 10t × 50W</x:v>
      </x:c>
      <x:c r="G576" s="71" t="str">
        <x:v>文件未載明</x:v>
      </x:c>
      <x:c r="H576" s="71" t="str">
        <x:v>式</x:v>
      </x:c>
      <x:c r="I576" s="72" t="n">
        <x:v>1</x:v>
      </x:c>
      <x:c r="J576" s="69" t="str">
        <x:v>1</x:v>
      </x:c>
      <x:c r="K576" s="70" t="n">
        <x:v>9000</x:v>
      </x:c>
      <x:c r="L576" s="69" t="str">
        <x:v>9,000</x:v>
      </x:c>
      <x:c r="M576" s="70" t="n">
        <x:v>9000</x:v>
      </x:c>
      <x:c r="N576" s="69" t="str">
        <x:v>9,000</x:v>
      </x:c>
      <x:c r="O576" s="71" t="str">
        <x:v>文件未載明</x:v>
      </x:c>
      <x:c r="P576" s="71" t="str">
        <x:v>HTML table 1 row 15</x:v>
      </x:c>
      <x:c r="Q576" s="71" t="str">
        <x:v>| CU BUS BAR &amp; SUPPORT 10t × 50W | 式 | 1 | 9,000 | 9,000 |</x:v>
      </x:c>
      <x:c r="R576" s="71" t="str">
        <x:v>各廠商合約&amp; 報價\MD檔案\20251016電箱報價單回傳.md</x:v>
      </x:c>
    </x:row>
    <x:row r="577">
      <x:c r="A577" s="69" t="str">
        <x:v>ITEM00573</x:v>
      </x:c>
      <x:c r="B577" s="69" t="str">
        <x:v>SRC042</x:v>
      </x:c>
      <x:c r="C577" s="69" t="str">
        <x:v>2025-2026</x:v>
      </x:c>
      <x:c r="D577" s="69" t="str">
        <x:v>detail</x:v>
      </x:c>
      <x:c r="E577" s="69" t="str">
        <x:v>文件未載明</x:v>
      </x:c>
      <x:c r="F577" s="71" t="str">
        <x:v>盤內器材組裝工資</x:v>
      </x:c>
      <x:c r="G577" s="71" t="str">
        <x:v>文件未載明</x:v>
      </x:c>
      <x:c r="H577" s="71" t="str">
        <x:v>式</x:v>
      </x:c>
      <x:c r="I577" s="72" t="n">
        <x:v>1</x:v>
      </x:c>
      <x:c r="J577" s="69" t="str">
        <x:v>1</x:v>
      </x:c>
      <x:c r="K577" s="70" t="n">
        <x:v>4500</x:v>
      </x:c>
      <x:c r="L577" s="69" t="str">
        <x:v>4,500</x:v>
      </x:c>
      <x:c r="M577" s="70" t="n">
        <x:v>4500</x:v>
      </x:c>
      <x:c r="N577" s="69" t="str">
        <x:v>4,500</x:v>
      </x:c>
      <x:c r="O577" s="71" t="str">
        <x:v>文件未載明</x:v>
      </x:c>
      <x:c r="P577" s="71" t="str">
        <x:v>HTML table 1 row 16</x:v>
      </x:c>
      <x:c r="Q577" s="71" t="str">
        <x:v>| 盤內器材組裝工資 | 式 | 1 | 4,500 | 4,500 |</x:v>
      </x:c>
      <x:c r="R577" s="71" t="str">
        <x:v>各廠商合約&amp; 報價\MD檔案\20251016電箱報價單回傳.md</x:v>
      </x:c>
    </x:row>
    <x:row r="578">
      <x:c r="A578" s="69" t="str">
        <x:v>ITEM00574</x:v>
      </x:c>
      <x:c r="B578" s="69" t="str">
        <x:v>SRC042</x:v>
      </x:c>
      <x:c r="C578" s="69" t="str">
        <x:v>2025-2026</x:v>
      </x:c>
      <x:c r="D578" s="69" t="str">
        <x:v>detail</x:v>
      </x:c>
      <x:c r="E578" s="69" t="str">
        <x:v>3</x:v>
      </x:c>
      <x:c r="F578" s="71" t="str">
        <x:v>3</x:v>
      </x:c>
      <x:c r="G578" s="71" t="str">
        <x:v>文件未載明</x:v>
      </x:c>
      <x:c r="H578" s="71" t="str">
        <x:v>文件未載明</x:v>
      </x:c>
      <x:c r="I578" s="72"/>
      <x:c r="J578" s="69" t="str">
        <x:v>文件未載明</x:v>
      </x:c>
      <x:c r="K578" s="70"/>
      <x:c r="L578" s="69" t="str">
        <x:v>文件未載明</x:v>
      </x:c>
      <x:c r="M578" s="70"/>
      <x:c r="N578" s="69" t="str">
        <x:v>文件未載明</x:v>
      </x:c>
      <x:c r="O578" s="71" t="str">
        <x:v>文件未載明</x:v>
      </x:c>
      <x:c r="P578" s="71" t="str">
        <x:v>HTML table 1 row 17</x:v>
      </x:c>
      <x:c r="Q578" s="71" t="str">
        <x:v>3 | KWH PANEL 3φ3W 220V | | | | |</x:v>
      </x:c>
      <x:c r="R578" s="71" t="str">
        <x:v>各廠商合約&amp; 報價\MD檔案\20251016電箱報價單回傳.md</x:v>
      </x:c>
    </x:row>
    <x:row r="579">
      <x:c r="A579" s="69" t="str">
        <x:v>ITEM00575</x:v>
      </x:c>
      <x:c r="B579" s="69" t="str">
        <x:v>SRC042</x:v>
      </x:c>
      <x:c r="C579" s="69" t="str">
        <x:v>2025-2026</x:v>
      </x:c>
      <x:c r="D579" s="69" t="str">
        <x:v>detail</x:v>
      </x:c>
      <x:c r="E579" s="69" t="str">
        <x:v>文件未載明</x:v>
      </x:c>
      <x:c r="F579" s="71" t="str">
        <x:v>CASE:600W × 1600H × 300D</x:v>
      </x:c>
      <x:c r="G579" s="71" t="str">
        <x:v>文件未載明</x:v>
      </x:c>
      <x:c r="H579" s="71" t="str">
        <x:v>只</x:v>
      </x:c>
      <x:c r="I579" s="72" t="n">
        <x:v>1</x:v>
      </x:c>
      <x:c r="J579" s="69" t="str">
        <x:v>1</x:v>
      </x:c>
      <x:c r="K579" s="70"/>
      <x:c r="L579" s="69" t="str">
        <x:v>文件未載明</x:v>
      </x:c>
      <x:c r="M579" s="70"/>
      <x:c r="N579" s="69" t="str">
        <x:v>既有盤</x:v>
      </x:c>
      <x:c r="O579" s="71" t="str">
        <x:v>文件未載明</x:v>
      </x:c>
      <x:c r="P579" s="71" t="str">
        <x:v>HTML table 1 row 18</x:v>
      </x:c>
      <x:c r="Q579" s="71" t="str">
        <x:v>| CASE:600W × 1600H × 300D | 只 | 1 | | 既有盤 |</x:v>
      </x:c>
      <x:c r="R579" s="71" t="str">
        <x:v>各廠商合約&amp; 報價\MD檔案\20251016電箱報價單回傳.md</x:v>
      </x:c>
    </x:row>
    <x:row r="580">
      <x:c r="A580" s="69" t="str">
        <x:v>ITEM00576</x:v>
      </x:c>
      <x:c r="B580" s="69" t="str">
        <x:v>SRC042</x:v>
      </x:c>
      <x:c r="C580" s="69" t="str">
        <x:v>2025-2026</x:v>
      </x:c>
      <x:c r="D580" s="69" t="str">
        <x:v>detail</x:v>
      </x:c>
      <x:c r="E580" s="69" t="str">
        <x:v>文件未載明</x:v>
      </x:c>
      <x:c r="F580" s="71" t="str">
        <x:v>KS 3P 100A</x:v>
      </x:c>
      <x:c r="G580" s="71" t="str">
        <x:v>文件未載明</x:v>
      </x:c>
      <x:c r="H580" s="71" t="str">
        <x:v>只</x:v>
      </x:c>
      <x:c r="I580" s="72" t="n">
        <x:v>1</x:v>
      </x:c>
      <x:c r="J580" s="69" t="str">
        <x:v>1</x:v>
      </x:c>
      <x:c r="K580" s="70" t="n">
        <x:v>1000</x:v>
      </x:c>
      <x:c r="L580" s="69" t="str">
        <x:v>1,000</x:v>
      </x:c>
      <x:c r="M580" s="70" t="n">
        <x:v>1000</x:v>
      </x:c>
      <x:c r="N580" s="69" t="str">
        <x:v>1,000</x:v>
      </x:c>
      <x:c r="O580" s="71" t="str">
        <x:v>光威</x:v>
      </x:c>
      <x:c r="P580" s="71" t="str">
        <x:v>HTML table 1 row 19</x:v>
      </x:c>
      <x:c r="Q580" s="71" t="str">
        <x:v>| KS 3P 100A | 只 | 1 | 1,000 | 1,000 | 光威</x:v>
      </x:c>
      <x:c r="R580" s="71" t="str">
        <x:v>各廠商合約&amp; 報價\MD檔案\20251016電箱報價單回傳.md</x:v>
      </x:c>
    </x:row>
    <x:row r="581">
      <x:c r="A581" s="69" t="str">
        <x:v>ITEM00577</x:v>
      </x:c>
      <x:c r="B581" s="69" t="str">
        <x:v>SRC042</x:v>
      </x:c>
      <x:c r="C581" s="69" t="str">
        <x:v>2025-2026</x:v>
      </x:c>
      <x:c r="D581" s="69" t="str">
        <x:v>detail</x:v>
      </x:c>
      <x:c r="E581" s="69" t="str">
        <x:v>文件未載明</x:v>
      </x:c>
      <x:c r="F581" s="71" t="str">
        <x:v>NFB 3P 125/100A 220V/20KA 125-SN</x:v>
      </x:c>
      <x:c r="G581" s="71" t="str">
        <x:v>文件未載明</x:v>
      </x:c>
      <x:c r="H581" s="71" t="str">
        <x:v>只</x:v>
      </x:c>
      <x:c r="I581" s="72" t="n">
        <x:v>1</x:v>
      </x:c>
      <x:c r="J581" s="69" t="str">
        <x:v>1</x:v>
      </x:c>
      <x:c r="K581" s="70" t="n">
        <x:v>1247</x:v>
      </x:c>
      <x:c r="L581" s="69" t="str">
        <x:v>1,247</x:v>
      </x:c>
      <x:c r="M581" s="70" t="n">
        <x:v>1247</x:v>
      </x:c>
      <x:c r="N581" s="69" t="str">
        <x:v>1,247</x:v>
      </x:c>
      <x:c r="O581" s="71" t="str">
        <x:v>士林</x:v>
      </x:c>
      <x:c r="P581" s="71" t="str">
        <x:v>HTML table 1 row 20</x:v>
      </x:c>
      <x:c r="Q581" s="71" t="str">
        <x:v>| NFB 3P 125/100A 220V/20KA 125-SN | 只 | 1 | 1,247 | 1,247 | 士林</x:v>
      </x:c>
      <x:c r="R581" s="71" t="str">
        <x:v>各廠商合約&amp; 報價\MD檔案\20251016電箱報價單回傳.md</x:v>
      </x:c>
    </x:row>
    <x:row r="582">
      <x:c r="A582" s="69" t="str">
        <x:v>ITEM00578</x:v>
      </x:c>
      <x:c r="B582" s="69" t="str">
        <x:v>SRC042</x:v>
      </x:c>
      <x:c r="C582" s="69" t="str">
        <x:v>2025-2026</x:v>
      </x:c>
      <x:c r="D582" s="69" t="str">
        <x:v>detail</x:v>
      </x:c>
      <x:c r="E582" s="69" t="str">
        <x:v>文件未載明</x:v>
      </x:c>
      <x:c r="F582" s="71" t="str">
        <x:v>低電壓跳脫裝置 UVT</x:v>
      </x:c>
      <x:c r="G582" s="71" t="str">
        <x:v>文件未載明</x:v>
      </x:c>
      <x:c r="H582" s="71" t="str">
        <x:v>只</x:v>
      </x:c>
      <x:c r="I582" s="72" t="n">
        <x:v>1</x:v>
      </x:c>
      <x:c r="J582" s="69" t="str">
        <x:v>1</x:v>
      </x:c>
      <x:c r="K582" s="70" t="n">
        <x:v>1241</x:v>
      </x:c>
      <x:c r="L582" s="69" t="str">
        <x:v>1,241</x:v>
      </x:c>
      <x:c r="M582" s="70" t="n">
        <x:v>1241</x:v>
      </x:c>
      <x:c r="N582" s="69" t="str">
        <x:v>1,241</x:v>
      </x:c>
      <x:c r="O582" s="71" t="str">
        <x:v>士林</x:v>
      </x:c>
      <x:c r="P582" s="71" t="str">
        <x:v>HTML table 1 row 21</x:v>
      </x:c>
      <x:c r="Q582" s="71" t="str">
        <x:v>| 低電壓跳脫裝置 UVT | 只 | 1 | 1,241 | 1,241 | 士林</x:v>
      </x:c>
      <x:c r="R582" s="71" t="str">
        <x:v>各廠商合約&amp; 報價\MD檔案\20251016電箱報價單回傳.md</x:v>
      </x:c>
    </x:row>
    <x:row r="583">
      <x:c r="A583" s="69" t="str">
        <x:v>ITEM00579</x:v>
      </x:c>
      <x:c r="B583" s="69" t="str">
        <x:v>SRC042</x:v>
      </x:c>
      <x:c r="C583" s="69" t="str">
        <x:v>2025-2026</x:v>
      </x:c>
      <x:c r="D583" s="69" t="str">
        <x:v>detail</x:v>
      </x:c>
      <x:c r="E583" s="69" t="str">
        <x:v>文件未載明</x:v>
      </x:c>
      <x:c r="F583" s="71" t="str">
        <x:v>欠相保護電驛 APR-4S</x:v>
      </x:c>
      <x:c r="G583" s="71" t="str">
        <x:v>文件未載明</x:v>
      </x:c>
      <x:c r="H583" s="71" t="str">
        <x:v>只</x:v>
      </x:c>
      <x:c r="I583" s="72" t="n">
        <x:v>1</x:v>
      </x:c>
      <x:c r="J583" s="69" t="str">
        <x:v>1</x:v>
      </x:c>
      <x:c r="K583" s="70" t="n">
        <x:v>1050</x:v>
      </x:c>
      <x:c r="L583" s="69" t="str">
        <x:v>1,050</x:v>
      </x:c>
      <x:c r="M583" s="70" t="n">
        <x:v>1050</x:v>
      </x:c>
      <x:c r="N583" s="69" t="str">
        <x:v>1,050</x:v>
      </x:c>
      <x:c r="O583" s="71" t="str">
        <x:v>ANLY</x:v>
      </x:c>
      <x:c r="P583" s="71" t="str">
        <x:v>HTML table 1 row 22</x:v>
      </x:c>
      <x:c r="Q583" s="71" t="str">
        <x:v>| 欠相保護電驛 APR-4S | 只 | 1 | 1,050 | 1,050 | ANLY</x:v>
      </x:c>
      <x:c r="R583" s="71" t="str">
        <x:v>各廠商合約&amp; 報價\MD檔案\20251016電箱報價單回傳.md</x:v>
      </x:c>
    </x:row>
    <x:row r="584">
      <x:c r="A584" s="69" t="str">
        <x:v>ITEM00580</x:v>
      </x:c>
      <x:c r="B584" s="69" t="str">
        <x:v>SRC042</x:v>
      </x:c>
      <x:c r="C584" s="69" t="str">
        <x:v>2025-2026</x:v>
      </x:c>
      <x:c r="D584" s="69" t="str">
        <x:v>detail</x:v>
      </x:c>
      <x:c r="E584" s="69" t="str">
        <x:v>文件未載明</x:v>
      </x:c>
      <x:c r="F584" s="71" t="str">
        <x:v>PVC電線、端子、色套等五金另料</x:v>
      </x:c>
      <x:c r="G584" s="71" t="str">
        <x:v>文件未載明</x:v>
      </x:c>
      <x:c r="H584" s="71" t="str">
        <x:v>式</x:v>
      </x:c>
      <x:c r="I584" s="72" t="n">
        <x:v>1</x:v>
      </x:c>
      <x:c r="J584" s="69" t="str">
        <x:v>1</x:v>
      </x:c>
      <x:c r="K584" s="70" t="n">
        <x:v>350</x:v>
      </x:c>
      <x:c r="L584" s="69" t="str">
        <x:v>350</x:v>
      </x:c>
      <x:c r="M584" s="70" t="n">
        <x:v>350</x:v>
      </x:c>
      <x:c r="N584" s="69" t="str">
        <x:v>350</x:v>
      </x:c>
      <x:c r="O584" s="71" t="str">
        <x:v>文件未載明</x:v>
      </x:c>
      <x:c r="P584" s="71" t="str">
        <x:v>HTML table 1 row 23</x:v>
      </x:c>
      <x:c r="Q584" s="71" t="str">
        <x:v>| PVC電線、端子、色套等五金另料 | 式 | 1 | 350 | 350 |</x:v>
      </x:c>
      <x:c r="R584" s="71" t="str">
        <x:v>各廠商合約&amp; 報價\MD檔案\20251016電箱報價單回傳.md</x:v>
      </x:c>
    </x:row>
    <x:row r="585">
      <x:c r="A585" s="69" t="str">
        <x:v>ITEM00581</x:v>
      </x:c>
      <x:c r="B585" s="69" t="str">
        <x:v>SRC042</x:v>
      </x:c>
      <x:c r="C585" s="69" t="str">
        <x:v>2025-2026</x:v>
      </x:c>
      <x:c r="D585" s="69" t="str">
        <x:v>detail</x:v>
      </x:c>
      <x:c r="E585" s="69" t="str">
        <x:v>文件未載明</x:v>
      </x:c>
      <x:c r="F585" s="71" t="str">
        <x:v>盤內器材組裝工資</x:v>
      </x:c>
      <x:c r="G585" s="71" t="str">
        <x:v>文件未載明</x:v>
      </x:c>
      <x:c r="H585" s="71" t="str">
        <x:v>式</x:v>
      </x:c>
      <x:c r="I585" s="72" t="n">
        <x:v>1</x:v>
      </x:c>
      <x:c r="J585" s="69" t="str">
        <x:v>1</x:v>
      </x:c>
      <x:c r="K585" s="70" t="n">
        <x:v>1000</x:v>
      </x:c>
      <x:c r="L585" s="69" t="str">
        <x:v>1,000</x:v>
      </x:c>
      <x:c r="M585" s="70" t="n">
        <x:v>1000</x:v>
      </x:c>
      <x:c r="N585" s="69" t="str">
        <x:v>1,000</x:v>
      </x:c>
      <x:c r="O585" s="71" t="str">
        <x:v>文件未載明</x:v>
      </x:c>
      <x:c r="P585" s="71" t="str">
        <x:v>HTML table 1 row 24</x:v>
      </x:c>
      <x:c r="Q585" s="71" t="str">
        <x:v>| 盤內器材組裝工資 | 式 | 1 | 1,000 | 1,000 |</x:v>
      </x:c>
      <x:c r="R585" s="71" t="str">
        <x:v>各廠商合約&amp; 報價\MD檔案\20251016電箱報價單回傳.md</x:v>
      </x:c>
    </x:row>
    <x:row r="586">
      <x:c r="A586" s="69" t="str">
        <x:v>ITEM00582</x:v>
      </x:c>
      <x:c r="B586" s="69" t="str">
        <x:v>SRC042</x:v>
      </x:c>
      <x:c r="C586" s="69" t="str">
        <x:v>2025-2026</x:v>
      </x:c>
      <x:c r="D586" s="69" t="str">
        <x:v>detail</x:v>
      </x:c>
      <x:c r="E586" s="69" t="str">
        <x:v>4</x:v>
      </x:c>
      <x:c r="F586" s="71" t="str">
        <x:v>4</x:v>
      </x:c>
      <x:c r="G586" s="71" t="str">
        <x:v>文件未載明</x:v>
      </x:c>
      <x:c r="H586" s="71" t="str">
        <x:v>文件未載明</x:v>
      </x:c>
      <x:c r="I586" s="72"/>
      <x:c r="J586" s="69" t="str">
        <x:v>文件未載明</x:v>
      </x:c>
      <x:c r="K586" s="70"/>
      <x:c r="L586" s="69" t="str">
        <x:v>文件未載明</x:v>
      </x:c>
      <x:c r="M586" s="70"/>
      <x:c r="N586" s="69" t="str">
        <x:v>文件未載明</x:v>
      </x:c>
      <x:c r="O586" s="71" t="str">
        <x:v>文件未載明</x:v>
      </x:c>
      <x:c r="P586" s="71" t="str">
        <x:v>HTML table 1 row 25</x:v>
      </x:c>
      <x:c r="Q586" s="71" t="str">
        <x:v>4 | KWHM PANEL 3φ3W 220V | | | | |</x:v>
      </x:c>
      <x:c r="R586" s="71" t="str">
        <x:v>各廠商合約&amp; 報價\MD檔案\20251016電箱報價單回傳.md</x:v>
      </x:c>
    </x:row>
    <x:row r="587">
      <x:c r="A587" s="69" t="str">
        <x:v>ITEM00583</x:v>
      </x:c>
      <x:c r="B587" s="69" t="str">
        <x:v>SRC042</x:v>
      </x:c>
      <x:c r="C587" s="69" t="str">
        <x:v>2025-2026</x:v>
      </x:c>
      <x:c r="D587" s="69" t="str">
        <x:v>detail</x:v>
      </x:c>
      <x:c r="E587" s="69" t="str">
        <x:v>文件未載明</x:v>
      </x:c>
      <x:c r="F587" s="71" t="str">
        <x:v>CASE:600W × 1600H × 300D</x:v>
      </x:c>
      <x:c r="G587" s="71" t="str">
        <x:v>文件未載明</x:v>
      </x:c>
      <x:c r="H587" s="71" t="str">
        <x:v>只</x:v>
      </x:c>
      <x:c r="I587" s="72" t="n">
        <x:v>1</x:v>
      </x:c>
      <x:c r="J587" s="69" t="str">
        <x:v>1</x:v>
      </x:c>
      <x:c r="K587" s="70"/>
      <x:c r="L587" s="69" t="str">
        <x:v>文件未載明</x:v>
      </x:c>
      <x:c r="M587" s="70"/>
      <x:c r="N587" s="69" t="str">
        <x:v>既有盤</x:v>
      </x:c>
      <x:c r="O587" s="71" t="str">
        <x:v>文件未載明</x:v>
      </x:c>
      <x:c r="P587" s="71" t="str">
        <x:v>HTML table 1 row 26</x:v>
      </x:c>
      <x:c r="Q587" s="71" t="str">
        <x:v>| CASE:600W × 1600H × 300D | 只 | 1 | | 既有盤 |</x:v>
      </x:c>
      <x:c r="R587" s="71" t="str">
        <x:v>各廠商合約&amp; 報價\MD檔案\20251016電箱報價單回傳.md</x:v>
      </x:c>
    </x:row>
    <x:row r="588">
      <x:c r="A588" s="69" t="str">
        <x:v>ITEM00584</x:v>
      </x:c>
      <x:c r="B588" s="69" t="str">
        <x:v>SRC042</x:v>
      </x:c>
      <x:c r="C588" s="69" t="str">
        <x:v>2025-2026</x:v>
      </x:c>
      <x:c r="D588" s="69" t="str">
        <x:v>detail</x:v>
      </x:c>
      <x:c r="E588" s="69" t="str">
        <x:v>文件未載明</x:v>
      </x:c>
      <x:c r="F588" s="71" t="str">
        <x:v>KS 3P 400A</x:v>
      </x:c>
      <x:c r="G588" s="71" t="str">
        <x:v>文件未載明</x:v>
      </x:c>
      <x:c r="H588" s="71" t="str">
        <x:v>只</x:v>
      </x:c>
      <x:c r="I588" s="72" t="n">
        <x:v>1</x:v>
      </x:c>
      <x:c r="J588" s="69" t="str">
        <x:v>1</x:v>
      </x:c>
      <x:c r="K588" s="70" t="n">
        <x:v>3000</x:v>
      </x:c>
      <x:c r="L588" s="69" t="str">
        <x:v>3,000</x:v>
      </x:c>
      <x:c r="M588" s="70" t="n">
        <x:v>3000</x:v>
      </x:c>
      <x:c r="N588" s="69" t="str">
        <x:v>3,000</x:v>
      </x:c>
      <x:c r="O588" s="71" t="str">
        <x:v>光威</x:v>
      </x:c>
      <x:c r="P588" s="71" t="str">
        <x:v>HTML table 1 row 27</x:v>
      </x:c>
      <x:c r="Q588" s="71" t="str">
        <x:v>| KS 3P 400A | 只 | 1 | 3,000 | 3,000 | 光威</x:v>
      </x:c>
      <x:c r="R588" s="71" t="str">
        <x:v>各廠商合約&amp; 報價\MD檔案\20251016電箱報價單回傳.md</x:v>
      </x:c>
    </x:row>
    <x:row r="589">
      <x:c r="A589" s="69" t="str">
        <x:v>ITEM00585</x:v>
      </x:c>
      <x:c r="B589" s="69" t="str">
        <x:v>SRC042</x:v>
      </x:c>
      <x:c r="C589" s="69" t="str">
        <x:v>2025-2026</x:v>
      </x:c>
      <x:c r="D589" s="69" t="str">
        <x:v>detail</x:v>
      </x:c>
      <x:c r="E589" s="69" t="str">
        <x:v>文件未載明</x:v>
      </x:c>
      <x:c r="F589" s="71" t="str">
        <x:v>NFB 3P 400/300A 220V/35KA 400-CN</x:v>
      </x:c>
      <x:c r="G589" s="71" t="str">
        <x:v>文件未載明</x:v>
      </x:c>
      <x:c r="H589" s="71" t="str">
        <x:v>只</x:v>
      </x:c>
      <x:c r="I589" s="72" t="n">
        <x:v>1</x:v>
      </x:c>
      <x:c r="J589" s="69" t="str">
        <x:v>1</x:v>
      </x:c>
      <x:c r="K589" s="70" t="n">
        <x:v>4877</x:v>
      </x:c>
      <x:c r="L589" s="69" t="str">
        <x:v>4,877</x:v>
      </x:c>
      <x:c r="M589" s="70" t="n">
        <x:v>4877</x:v>
      </x:c>
      <x:c r="N589" s="69" t="str">
        <x:v>4,877</x:v>
      </x:c>
      <x:c r="O589" s="71" t="str">
        <x:v>士林</x:v>
      </x:c>
      <x:c r="P589" s="71" t="str">
        <x:v>HTML table 1 row 28</x:v>
      </x:c>
      <x:c r="Q589" s="71" t="str">
        <x:v>| NFB 3P 400/300A 220V/35KA 400-CN | 只 | 1 | 4,877 | 4,877 | 士林</x:v>
      </x:c>
      <x:c r="R589" s="71" t="str">
        <x:v>各廠商合約&amp; 報價\MD檔案\20251016電箱報價單回傳.md</x:v>
      </x:c>
    </x:row>
    <x:row r="590">
      <x:c r="A590" s="69" t="str">
        <x:v>ITEM00586</x:v>
      </x:c>
      <x:c r="B590" s="69" t="str">
        <x:v>SRC042</x:v>
      </x:c>
      <x:c r="C590" s="69" t="str">
        <x:v>2025-2026</x:v>
      </x:c>
      <x:c r="D590" s="69" t="str">
        <x:v>detail</x:v>
      </x:c>
      <x:c r="E590" s="69" t="str">
        <x:v>文件未載明</x:v>
      </x:c>
      <x:c r="F590" s="71" t="str">
        <x:v>低電壓跳脫裝置 UVT</x:v>
      </x:c>
      <x:c r="G590" s="71" t="str">
        <x:v>文件未載明</x:v>
      </x:c>
      <x:c r="H590" s="71" t="str">
        <x:v>只</x:v>
      </x:c>
      <x:c r="I590" s="72" t="n">
        <x:v>1</x:v>
      </x:c>
      <x:c r="J590" s="69" t="str">
        <x:v>1</x:v>
      </x:c>
      <x:c r="K590" s="70" t="n">
        <x:v>1604</x:v>
      </x:c>
      <x:c r="L590" s="69" t="str">
        <x:v>1,604</x:v>
      </x:c>
      <x:c r="M590" s="70" t="n">
        <x:v>1604</x:v>
      </x:c>
      <x:c r="N590" s="69" t="str">
        <x:v>1,604</x:v>
      </x:c>
      <x:c r="O590" s="71" t="str">
        <x:v>士林</x:v>
      </x:c>
      <x:c r="P590" s="71" t="str">
        <x:v>HTML table 1 row 29</x:v>
      </x:c>
      <x:c r="Q590" s="71" t="str">
        <x:v>| 低電壓跳脫裝置 UVT | 只 | 1 | 1,604 | 1,604 | 士林</x:v>
      </x:c>
      <x:c r="R590" s="71" t="str">
        <x:v>各廠商合約&amp; 報價\MD檔案\20251016電箱報價單回傳.md</x:v>
      </x:c>
    </x:row>
    <x:row r="591">
      <x:c r="A591" s="69" t="str">
        <x:v>ITEM00587</x:v>
      </x:c>
      <x:c r="B591" s="69" t="str">
        <x:v>SRC042</x:v>
      </x:c>
      <x:c r="C591" s="69" t="str">
        <x:v>2025-2026</x:v>
      </x:c>
      <x:c r="D591" s="69" t="str">
        <x:v>detail</x:v>
      </x:c>
      <x:c r="E591" s="69" t="str">
        <x:v>文件未載明</x:v>
      </x:c>
      <x:c r="F591" s="71" t="str">
        <x:v>欠相保護電驛 APR-4S</x:v>
      </x:c>
      <x:c r="G591" s="71" t="str">
        <x:v>文件未載明</x:v>
      </x:c>
      <x:c r="H591" s="71" t="str">
        <x:v>只</x:v>
      </x:c>
      <x:c r="I591" s="72" t="n">
        <x:v>1</x:v>
      </x:c>
      <x:c r="J591" s="69" t="str">
        <x:v>1</x:v>
      </x:c>
      <x:c r="K591" s="70" t="n">
        <x:v>1050</x:v>
      </x:c>
      <x:c r="L591" s="69" t="str">
        <x:v>1,050</x:v>
      </x:c>
      <x:c r="M591" s="70" t="n">
        <x:v>1050</x:v>
      </x:c>
      <x:c r="N591" s="69" t="str">
        <x:v>1,050</x:v>
      </x:c>
      <x:c r="O591" s="71" t="str">
        <x:v>ANLY</x:v>
      </x:c>
      <x:c r="P591" s="71" t="str">
        <x:v>HTML table 1 row 30</x:v>
      </x:c>
      <x:c r="Q591" s="71" t="str">
        <x:v>| 欠相保護電驛 APR-4S | 只 | 1 | 1,050 | 1,050 | ANLY</x:v>
      </x:c>
      <x:c r="R591" s="71" t="str">
        <x:v>各廠商合約&amp; 報價\MD檔案\20251016電箱報價單回傳.md</x:v>
      </x:c>
    </x:row>
    <x:row r="592">
      <x:c r="A592" s="69" t="str">
        <x:v>ITEM00588</x:v>
      </x:c>
      <x:c r="B592" s="69" t="str">
        <x:v>SRC042</x:v>
      </x:c>
      <x:c r="C592" s="69" t="str">
        <x:v>2025-2026</x:v>
      </x:c>
      <x:c r="D592" s="69" t="str">
        <x:v>detail</x:v>
      </x:c>
      <x:c r="E592" s="69" t="str">
        <x:v>文件未載明</x:v>
      </x:c>
      <x:c r="F592" s="71" t="str">
        <x:v>CU BUS BAR &amp;另料(KS一、二次側用)</x:v>
      </x:c>
      <x:c r="G592" s="71" t="str">
        <x:v>文件未載明</x:v>
      </x:c>
      <x:c r="H592" s="71" t="str">
        <x:v>式</x:v>
      </x:c>
      <x:c r="I592" s="72" t="n">
        <x:v>1</x:v>
      </x:c>
      <x:c r="J592" s="69" t="str">
        <x:v>1</x:v>
      </x:c>
      <x:c r="K592" s="70" t="n">
        <x:v>3500</x:v>
      </x:c>
      <x:c r="L592" s="69" t="str">
        <x:v>3,500</x:v>
      </x:c>
      <x:c r="M592" s="70" t="n">
        <x:v>3500</x:v>
      </x:c>
      <x:c r="N592" s="69" t="str">
        <x:v>3,500</x:v>
      </x:c>
      <x:c r="O592" s="71" t="str">
        <x:v>文件未載明</x:v>
      </x:c>
      <x:c r="P592" s="71" t="str">
        <x:v>HTML table 1 row 31</x:v>
      </x:c>
      <x:c r="Q592" s="71" t="str">
        <x:v>| CU BUS BAR &amp;另料(KS一、二次側用) | 式 | 1 | 3,500 | 3,500 |</x:v>
      </x:c>
      <x:c r="R592" s="71" t="str">
        <x:v>各廠商合約&amp; 報價\MD檔案\20251016電箱報價單回傳.md</x:v>
      </x:c>
    </x:row>
    <x:row r="593">
      <x:c r="A593" s="69" t="str">
        <x:v>ITEM00589</x:v>
      </x:c>
      <x:c r="B593" s="69" t="str">
        <x:v>SRC042</x:v>
      </x:c>
      <x:c r="C593" s="69" t="str">
        <x:v>2025-2026</x:v>
      </x:c>
      <x:c r="D593" s="69" t="str">
        <x:v>detail</x:v>
      </x:c>
      <x:c r="E593" s="69" t="str">
        <x:v>文件未載明</x:v>
      </x:c>
      <x:c r="F593" s="71" t="str">
        <x:v>PVC電線、端子、色套等五金另料</x:v>
      </x:c>
      <x:c r="G593" s="71" t="str">
        <x:v>文件未載明</x:v>
      </x:c>
      <x:c r="H593" s="71" t="str">
        <x:v>式</x:v>
      </x:c>
      <x:c r="I593" s="72" t="n">
        <x:v>1</x:v>
      </x:c>
      <x:c r="J593" s="69" t="str">
        <x:v>1</x:v>
      </x:c>
      <x:c r="K593" s="70" t="n">
        <x:v>350</x:v>
      </x:c>
      <x:c r="L593" s="69" t="str">
        <x:v>350</x:v>
      </x:c>
      <x:c r="M593" s="70" t="n">
        <x:v>350</x:v>
      </x:c>
      <x:c r="N593" s="69" t="str">
        <x:v>350</x:v>
      </x:c>
      <x:c r="O593" s="71" t="str">
        <x:v>文件未載明</x:v>
      </x:c>
      <x:c r="P593" s="71" t="str">
        <x:v>HTML table 1 row 32</x:v>
      </x:c>
      <x:c r="Q593" s="71" t="str">
        <x:v>| PVC電線、端子、色套等五金另料 | 式 | 1 | 350 | 350 |</x:v>
      </x:c>
      <x:c r="R593" s="71" t="str">
        <x:v>各廠商合約&amp; 報價\MD檔案\20251016電箱報價單回傳.md</x:v>
      </x:c>
    </x:row>
    <x:row r="594">
      <x:c r="A594" s="69" t="str">
        <x:v>ITEM00590</x:v>
      </x:c>
      <x:c r="B594" s="69" t="str">
        <x:v>SRC042</x:v>
      </x:c>
      <x:c r="C594" s="69" t="str">
        <x:v>2025-2026</x:v>
      </x:c>
      <x:c r="D594" s="69" t="str">
        <x:v>detail</x:v>
      </x:c>
      <x:c r="E594" s="69" t="str">
        <x:v>文件未載明</x:v>
      </x:c>
      <x:c r="F594" s="71" t="str">
        <x:v>盤內器材組裝工資</x:v>
      </x:c>
      <x:c r="G594" s="71" t="str">
        <x:v>文件未載明</x:v>
      </x:c>
      <x:c r="H594" s="71" t="str">
        <x:v>式</x:v>
      </x:c>
      <x:c r="I594" s="72" t="n">
        <x:v>1</x:v>
      </x:c>
      <x:c r="J594" s="69" t="str">
        <x:v>1</x:v>
      </x:c>
      <x:c r="K594" s="70" t="n">
        <x:v>2500</x:v>
      </x:c>
      <x:c r="L594" s="69" t="str">
        <x:v>2,500</x:v>
      </x:c>
      <x:c r="M594" s="70" t="n">
        <x:v>2500</x:v>
      </x:c>
      <x:c r="N594" s="69" t="str">
        <x:v>2,500</x:v>
      </x:c>
      <x:c r="O594" s="71" t="str">
        <x:v>文件未載明</x:v>
      </x:c>
      <x:c r="P594" s="71" t="str">
        <x:v>HTML table 1 row 33</x:v>
      </x:c>
      <x:c r="Q594" s="71" t="str">
        <x:v>| 盤內器材組裝工資 | 式 | 1 | 2,500 | 2,500 |</x:v>
      </x:c>
      <x:c r="R594" s="71" t="str">
        <x:v>各廠商合約&amp; 報價\MD檔案\20251016電箱報價單回傳.md</x:v>
      </x:c>
    </x:row>
    <x:row r="595">
      <x:c r="A595" s="69" t="str">
        <x:v>ITEM00591</x:v>
      </x:c>
      <x:c r="B595" s="69" t="str">
        <x:v>SRC042</x:v>
      </x:c>
      <x:c r="C595" s="69" t="str">
        <x:v>2025-2026</x:v>
      </x:c>
      <x:c r="D595" s="69" t="str">
        <x:v>header</x:v>
      </x:c>
      <x:c r="E595" s="69" t="str">
        <x:v>項目</x:v>
      </x:c>
      <x:c r="F595" s="71" t="str">
        <x:v>項目</x:v>
      </x:c>
      <x:c r="G595" s="71" t="str">
        <x:v>文件未載明</x:v>
      </x:c>
      <x:c r="H595" s="71" t="str">
        <x:v>單位</x:v>
      </x:c>
      <x:c r="I595" s="72"/>
      <x:c r="J595" s="69" t="str">
        <x:v>數量</x:v>
      </x:c>
      <x:c r="K595" s="70"/>
      <x:c r="L595" s="69" t="str">
        <x:v>單價</x:v>
      </x:c>
      <x:c r="M595" s="70"/>
      <x:c r="N595" s="69" t="str">
        <x:v>金額</x:v>
      </x:c>
      <x:c r="O595" s="71" t="str">
        <x:v>備註</x:v>
      </x:c>
      <x:c r="P595" s="71" t="str">
        <x:v>HTML table 2 row 1</x:v>
      </x:c>
      <x:c r="Q595" s="71" t="str">
        <x:v>項目 | 品名規格 | 單位 | 數量 | 單價 | 金額 | 備註</x:v>
      </x:c>
      <x:c r="R595" s="71" t="str">
        <x:v>各廠商合約&amp; 報價\MD檔案\20251016電箱報價單回傳.md</x:v>
      </x:c>
    </x:row>
    <x:row r="596">
      <x:c r="A596" s="69" t="str">
        <x:v>ITEM00592</x:v>
      </x:c>
      <x:c r="B596" s="69" t="str">
        <x:v>SRC042</x:v>
      </x:c>
      <x:c r="C596" s="69" t="str">
        <x:v>2025-2026</x:v>
      </x:c>
      <x:c r="D596" s="69" t="str">
        <x:v>detail</x:v>
      </x:c>
      <x:c r="E596" s="69" t="str">
        <x:v>5</x:v>
      </x:c>
      <x:c r="F596" s="71" t="str">
        <x:v>5</x:v>
      </x:c>
      <x:c r="G596" s="71" t="str">
        <x:v>文件未載明</x:v>
      </x:c>
      <x:c r="H596" s="71" t="str">
        <x:v>文件未載明</x:v>
      </x:c>
      <x:c r="I596" s="72"/>
      <x:c r="J596" s="69" t="str">
        <x:v>文件未載明</x:v>
      </x:c>
      <x:c r="K596" s="70"/>
      <x:c r="L596" s="69" t="str">
        <x:v>文件未載明</x:v>
      </x:c>
      <x:c r="M596" s="70"/>
      <x:c r="N596" s="69" t="str">
        <x:v>文件未載明</x:v>
      </x:c>
      <x:c r="O596" s="71" t="str">
        <x:v>文件未載明</x:v>
      </x:c>
      <x:c r="P596" s="71" t="str">
        <x:v>HTML table 2 row 2</x:v>
      </x:c>
      <x:c r="Q596" s="71" t="str">
        <x:v>5 | KWHM PANEL 3 $\phi$ 3W 220V | | | | |</x:v>
      </x:c>
      <x:c r="R596" s="71" t="str">
        <x:v>各廠商合約&amp; 報價\MD檔案\20251016電箱報價單回傳.md</x:v>
      </x:c>
    </x:row>
    <x:row r="597">
      <x:c r="A597" s="69" t="str">
        <x:v>ITEM00593</x:v>
      </x:c>
      <x:c r="B597" s="69" t="str">
        <x:v>SRC042</x:v>
      </x:c>
      <x:c r="C597" s="69" t="str">
        <x:v>2025-2026</x:v>
      </x:c>
      <x:c r="D597" s="69" t="str">
        <x:v>detail</x:v>
      </x:c>
      <x:c r="E597" s="69" t="str">
        <x:v>文件未載明</x:v>
      </x:c>
      <x:c r="F597" s="71" t="str">
        <x:v>CASE:1600W×1200H×300D</x:v>
      </x:c>
      <x:c r="G597" s="71" t="str">
        <x:v>文件未載明</x:v>
      </x:c>
      <x:c r="H597" s="71" t="str">
        <x:v>只</x:v>
      </x:c>
      <x:c r="I597" s="72" t="n">
        <x:v>1</x:v>
      </x:c>
      <x:c r="J597" s="69" t="str">
        <x:v>1</x:v>
      </x:c>
      <x:c r="K597" s="70"/>
      <x:c r="L597" s="69" t="str">
        <x:v>文件未載明</x:v>
      </x:c>
      <x:c r="M597" s="70"/>
      <x:c r="N597" s="69" t="str">
        <x:v>既有盤</x:v>
      </x:c>
      <x:c r="O597" s="71" t="str">
        <x:v>文件未載明</x:v>
      </x:c>
      <x:c r="P597" s="71" t="str">
        <x:v>HTML table 2 row 3</x:v>
      </x:c>
      <x:c r="Q597" s="71" t="str">
        <x:v>| CASE:1600W×1200H×300D | 只 | 1 | | 既有盤 |</x:v>
      </x:c>
      <x:c r="R597" s="71" t="str">
        <x:v>各廠商合約&amp; 報價\MD檔案\20251016電箱報價單回傳.md</x:v>
      </x:c>
    </x:row>
    <x:row r="598">
      <x:c r="A598" s="69" t="str">
        <x:v>ITEM00594</x:v>
      </x:c>
      <x:c r="B598" s="69" t="str">
        <x:v>SRC042</x:v>
      </x:c>
      <x:c r="C598" s="69" t="str">
        <x:v>2025-2026</x:v>
      </x:c>
      <x:c r="D598" s="69" t="str">
        <x:v>detail</x:v>
      </x:c>
      <x:c r="E598" s="69" t="str">
        <x:v>文件未載明</x:v>
      </x:c>
      <x:c r="F598" s="71" t="str">
        <x:v>KS 2P 300A</x:v>
      </x:c>
      <x:c r="G598" s="71" t="str">
        <x:v>文件未載明</x:v>
      </x:c>
      <x:c r="H598" s="71" t="str">
        <x:v>只</x:v>
      </x:c>
      <x:c r="I598" s="72" t="n">
        <x:v>1</x:v>
      </x:c>
      <x:c r="J598" s="69" t="str">
        <x:v>1</x:v>
      </x:c>
      <x:c r="K598" s="70" t="n">
        <x:v>2000</x:v>
      </x:c>
      <x:c r="L598" s="69" t="str">
        <x:v>2,000</x:v>
      </x:c>
      <x:c r="M598" s="70" t="n">
        <x:v>2000</x:v>
      </x:c>
      <x:c r="N598" s="69" t="str">
        <x:v>2,000</x:v>
      </x:c>
      <x:c r="O598" s="71" t="str">
        <x:v>光威</x:v>
      </x:c>
      <x:c r="P598" s="71" t="str">
        <x:v>HTML table 2 row 4</x:v>
      </x:c>
      <x:c r="Q598" s="71" t="str">
        <x:v>| KS 2P 300A | 只 | 1 | 2,000 | 2,000 | 光威</x:v>
      </x:c>
      <x:c r="R598" s="71" t="str">
        <x:v>各廠商合約&amp; 報價\MD檔案\20251016電箱報價單回傳.md</x:v>
      </x:c>
    </x:row>
    <x:row r="599">
      <x:c r="A599" s="69" t="str">
        <x:v>ITEM00595</x:v>
      </x:c>
      <x:c r="B599" s="69" t="str">
        <x:v>SRC042</x:v>
      </x:c>
      <x:c r="C599" s="69" t="str">
        <x:v>2025-2026</x:v>
      </x:c>
      <x:c r="D599" s="69" t="str">
        <x:v>detail</x:v>
      </x:c>
      <x:c r="E599" s="69" t="str">
        <x:v>文件未載明</x:v>
      </x:c>
      <x:c r="F599" s="71" t="str">
        <x:v>NFB 2P 100/60A 220V/20KA 100-SN</x:v>
      </x:c>
      <x:c r="G599" s="71" t="str">
        <x:v>文件未載明</x:v>
      </x:c>
      <x:c r="H599" s="71" t="str">
        <x:v>只</x:v>
      </x:c>
      <x:c r="I599" s="72" t="n">
        <x:v>11</x:v>
      </x:c>
      <x:c r="J599" s="69" t="str">
        <x:v>11</x:v>
      </x:c>
      <x:c r="K599" s="70" t="n">
        <x:v>851</x:v>
      </x:c>
      <x:c r="L599" s="69" t="str">
        <x:v>851</x:v>
      </x:c>
      <x:c r="M599" s="70" t="n">
        <x:v>9361</x:v>
      </x:c>
      <x:c r="N599" s="69" t="str">
        <x:v>9,361</x:v>
      </x:c>
      <x:c r="O599" s="71" t="str">
        <x:v>士林</x:v>
      </x:c>
      <x:c r="P599" s="71" t="str">
        <x:v>HTML table 2 row 5</x:v>
      </x:c>
      <x:c r="Q599" s="71" t="str">
        <x:v>| NFB 2P 100/60A 220V/20KA 100-SN | 只 | 11 | 851 | 9,361 | 士林</x:v>
      </x:c>
      <x:c r="R599" s="71" t="str">
        <x:v>各廠商合約&amp; 報價\MD檔案\20251016電箱報價單回傳.md</x:v>
      </x:c>
    </x:row>
    <x:row r="600">
      <x:c r="A600" s="69" t="str">
        <x:v>ITEM00596</x:v>
      </x:c>
      <x:c r="B600" s="69" t="str">
        <x:v>SRC042</x:v>
      </x:c>
      <x:c r="C600" s="69" t="str">
        <x:v>2025-2026</x:v>
      </x:c>
      <x:c r="D600" s="69" t="str">
        <x:v>detail</x:v>
      </x:c>
      <x:c r="E600" s="69" t="str">
        <x:v>文件未載明</x:v>
      </x:c>
      <x:c r="F600" s="71" t="str">
        <x:v>CU BUS BAR &amp;另料(KS二次側用)</x:v>
      </x:c>
      <x:c r="G600" s="71" t="str">
        <x:v>文件未載明</x:v>
      </x:c>
      <x:c r="H600" s="71" t="str">
        <x:v>式</x:v>
      </x:c>
      <x:c r="I600" s="72" t="n">
        <x:v>1</x:v>
      </x:c>
      <x:c r="J600" s="69" t="str">
        <x:v>1</x:v>
      </x:c>
      <x:c r="K600" s="70" t="n">
        <x:v>4500</x:v>
      </x:c>
      <x:c r="L600" s="69" t="str">
        <x:v>4,500</x:v>
      </x:c>
      <x:c r="M600" s="70" t="n">
        <x:v>4500</x:v>
      </x:c>
      <x:c r="N600" s="69" t="str">
        <x:v>4,500</x:v>
      </x:c>
      <x:c r="O600" s="71" t="str">
        <x:v>文件未載明</x:v>
      </x:c>
      <x:c r="P600" s="71" t="str">
        <x:v>HTML table 2 row 6</x:v>
      </x:c>
      <x:c r="Q600" s="71" t="str">
        <x:v>| CU BUS BAR &amp;另料(KS二次側用) | 式 | 1 | 4,500 | 4,500 |</x:v>
      </x:c>
      <x:c r="R600" s="71" t="str">
        <x:v>各廠商合約&amp; 報價\MD檔案\20251016電箱報價單回傳.md</x:v>
      </x:c>
    </x:row>
    <x:row r="601">
      <x:c r="A601" s="69" t="str">
        <x:v>ITEM00597</x:v>
      </x:c>
      <x:c r="B601" s="69" t="str">
        <x:v>SRC042</x:v>
      </x:c>
      <x:c r="C601" s="69" t="str">
        <x:v>2025-2026</x:v>
      </x:c>
      <x:c r="D601" s="69" t="str">
        <x:v>detail</x:v>
      </x:c>
      <x:c r="E601" s="69" t="str">
        <x:v>6</x:v>
      </x:c>
      <x:c r="F601" s="71" t="str">
        <x:v>6</x:v>
      </x:c>
      <x:c r="G601" s="71" t="str">
        <x:v>文件未載明</x:v>
      </x:c>
      <x:c r="H601" s="71" t="str">
        <x:v>文件未載明</x:v>
      </x:c>
      <x:c r="I601" s="72"/>
      <x:c r="J601" s="69" t="str">
        <x:v>文件未載明</x:v>
      </x:c>
      <x:c r="K601" s="70"/>
      <x:c r="L601" s="69" t="str">
        <x:v>文件未載明</x:v>
      </x:c>
      <x:c r="M601" s="70"/>
      <x:c r="N601" s="69" t="str">
        <x:v>文件未載明</x:v>
      </x:c>
      <x:c r="O601" s="71" t="str">
        <x:v>文件未載明</x:v>
      </x:c>
      <x:c r="P601" s="71" t="str">
        <x:v>HTML table 2 row 7</x:v>
      </x:c>
      <x:c r="Q601" s="71" t="str">
        <x:v>6 | GP PANEL 屋內明暗配電箱(中門) | | | | |</x:v>
      </x:c>
      <x:c r="R601" s="71" t="str">
        <x:v>各廠商合約&amp; 報價\MD檔案\20251016電箱報價單回傳.md</x:v>
      </x:c>
    </x:row>
    <x:row r="602">
      <x:c r="A602" s="69" t="str">
        <x:v>ITEM00598</x:v>
      </x:c>
      <x:c r="B602" s="69" t="str">
        <x:v>SRC042</x:v>
      </x:c>
      <x:c r="C602" s="69" t="str">
        <x:v>2025-2026</x:v>
      </x:c>
      <x:c r="D602" s="69" t="str">
        <x:v>detail</x:v>
      </x:c>
      <x:c r="E602" s="69" t="str">
        <x:v>文件未載明</x:v>
      </x:c>
      <x:c r="F602" s="71" t="str">
        <x:v>3 $\phi$ 3W 220V 黑鐵烤漆 t=1.6mm</x:v>
      </x:c>
      <x:c r="G602" s="71" t="str">
        <x:v>文件未載明</x:v>
      </x:c>
      <x:c r="H602" s="71" t="str">
        <x:v>文件未載明</x:v>
      </x:c>
      <x:c r="I602" s="72"/>
      <x:c r="J602" s="69" t="str">
        <x:v>文件未載明</x:v>
      </x:c>
      <x:c r="K602" s="70"/>
      <x:c r="L602" s="69" t="str">
        <x:v>文件未載明</x:v>
      </x:c>
      <x:c r="M602" s="70"/>
      <x:c r="N602" s="69" t="str">
        <x:v>文件未載明</x:v>
      </x:c>
      <x:c r="O602" s="71" t="str">
        <x:v>文件未載明</x:v>
      </x:c>
      <x:c r="P602" s="71" t="str">
        <x:v>HTML table 2 row 8</x:v>
      </x:c>
      <x:c r="Q602" s="71" t="str">
        <x:v>| 3 $\phi$ 3W 220V 黑鐵烤漆 t=1.6mm | | | | |</x:v>
      </x:c>
      <x:c r="R602" s="71" t="str">
        <x:v>各廠商合約&amp; 報價\MD檔案\20251016電箱報價單回傳.md</x:v>
      </x:c>
    </x:row>
    <x:row r="603">
      <x:c r="A603" s="69" t="str">
        <x:v>ITEM00599</x:v>
      </x:c>
      <x:c r="B603" s="69" t="str">
        <x:v>SRC042</x:v>
      </x:c>
      <x:c r="C603" s="69" t="str">
        <x:v>2025-2026</x:v>
      </x:c>
      <x:c r="D603" s="69" t="str">
        <x:v>detail</x:v>
      </x:c>
      <x:c r="E603" s="69" t="str">
        <x:v>文件未載明</x:v>
      </x:c>
      <x:c r="F603" s="71" t="str">
        <x:v>CASE:650W×650H×150D</x:v>
      </x:c>
      <x:c r="G603" s="71" t="str">
        <x:v>文件未載明</x:v>
      </x:c>
      <x:c r="H603" s="71" t="str">
        <x:v>只</x:v>
      </x:c>
      <x:c r="I603" s="72" t="n">
        <x:v>1</x:v>
      </x:c>
      <x:c r="J603" s="69" t="str">
        <x:v>1</x:v>
      </x:c>
      <x:c r="K603" s="70" t="n">
        <x:v>6000</x:v>
      </x:c>
      <x:c r="L603" s="69" t="str">
        <x:v>6,000</x:v>
      </x:c>
      <x:c r="M603" s="70" t="n">
        <x:v>6000</x:v>
      </x:c>
      <x:c r="N603" s="69" t="str">
        <x:v>6,000</x:v>
      </x:c>
      <x:c r="O603" s="71" t="str">
        <x:v>文件未載明</x:v>
      </x:c>
      <x:c r="P603" s="71" t="str">
        <x:v>HTML table 2 row 9</x:v>
      </x:c>
      <x:c r="Q603" s="71" t="str">
        <x:v>| CASE:650W×650H×150D | 只 | 1 | 6,000 | 6,000 |</x:v>
      </x:c>
      <x:c r="R603" s="71" t="str">
        <x:v>各廠商合約&amp; 報價\MD檔案\20251016電箱報價單回傳.md</x:v>
      </x:c>
    </x:row>
    <x:row r="604">
      <x:c r="A604" s="69" t="str">
        <x:v>ITEM00600</x:v>
      </x:c>
      <x:c r="B604" s="69" t="str">
        <x:v>SRC042</x:v>
      </x:c>
      <x:c r="C604" s="69" t="str">
        <x:v>2025-2026</x:v>
      </x:c>
      <x:c r="D604" s="69" t="str">
        <x:v>detail</x:v>
      </x:c>
      <x:c r="E604" s="69" t="str">
        <x:v>文件未載明</x:v>
      </x:c>
      <x:c r="F604" s="71" t="str">
        <x:v>NFB 3P 250/150A 220V/15KA 250-CN</x:v>
      </x:c>
      <x:c r="G604" s="71" t="str">
        <x:v>文件未載明</x:v>
      </x:c>
      <x:c r="H604" s="71" t="str">
        <x:v>只</x:v>
      </x:c>
      <x:c r="I604" s="72" t="n">
        <x:v>1</x:v>
      </x:c>
      <x:c r="J604" s="69" t="str">
        <x:v>1</x:v>
      </x:c>
      <x:c r="K604" s="70" t="n">
        <x:v>2482</x:v>
      </x:c>
      <x:c r="L604" s="69" t="str">
        <x:v>2,482</x:v>
      </x:c>
      <x:c r="M604" s="70" t="n">
        <x:v>2482</x:v>
      </x:c>
      <x:c r="N604" s="69" t="str">
        <x:v>2,482</x:v>
      </x:c>
      <x:c r="O604" s="71" t="str">
        <x:v>士林</x:v>
      </x:c>
      <x:c r="P604" s="71" t="str">
        <x:v>HTML table 2 row 10</x:v>
      </x:c>
      <x:c r="Q604" s="71" t="str">
        <x:v>| NFB 3P 250/150A 220V/15KA 250-CN | 只 | 1 | 2,482 | 2,482 | 士林</x:v>
      </x:c>
      <x:c r="R604" s="71" t="str">
        <x:v>各廠商合約&amp; 報價\MD檔案\20251016電箱報價單回傳.md</x:v>
      </x:c>
    </x:row>
    <x:row r="605">
      <x:c r="A605" s="69" t="str">
        <x:v>ITEM00601</x:v>
      </x:c>
      <x:c r="B605" s="69" t="str">
        <x:v>SRC042</x:v>
      </x:c>
      <x:c r="C605" s="69" t="str">
        <x:v>2025-2026</x:v>
      </x:c>
      <x:c r="D605" s="69" t="str">
        <x:v>detail</x:v>
      </x:c>
      <x:c r="E605" s="69" t="str">
        <x:v>文件未載明</x:v>
      </x:c>
      <x:c r="F605" s="71" t="str">
        <x:v>NFB 3P 100/60A 220V/15KA 100-SN</x:v>
      </x:c>
      <x:c r="G605" s="71" t="str">
        <x:v>文件未載明</x:v>
      </x:c>
      <x:c r="H605" s="71" t="str">
        <x:v>只</x:v>
      </x:c>
      <x:c r="I605" s="72" t="n">
        <x:v>1</x:v>
      </x:c>
      <x:c r="J605" s="69" t="str">
        <x:v>1</x:v>
      </x:c>
      <x:c r="K605" s="70" t="n">
        <x:v>1082</x:v>
      </x:c>
      <x:c r="L605" s="69" t="str">
        <x:v>1,082</x:v>
      </x:c>
      <x:c r="M605" s="70" t="n">
        <x:v>1082</x:v>
      </x:c>
      <x:c r="N605" s="69" t="str">
        <x:v>1,082</x:v>
      </x:c>
      <x:c r="O605" s="71" t="str">
        <x:v>士林</x:v>
      </x:c>
      <x:c r="P605" s="71" t="str">
        <x:v>HTML table 2 row 11</x:v>
      </x:c>
      <x:c r="Q605" s="71" t="str">
        <x:v>| NFB 3P 100/60A 220V/15KA 100-SN | 只 | 1 | 1,082 | 1,082 | 士林</x:v>
      </x:c>
      <x:c r="R605" s="71" t="str">
        <x:v>各廠商合約&amp; 報價\MD檔案\20251016電箱報價單回傳.md</x:v>
      </x:c>
    </x:row>
    <x:row r="606">
      <x:c r="A606" s="69" t="str">
        <x:v>ITEM00602</x:v>
      </x:c>
      <x:c r="B606" s="69" t="str">
        <x:v>SRC042</x:v>
      </x:c>
      <x:c r="C606" s="69" t="str">
        <x:v>2025-2026</x:v>
      </x:c>
      <x:c r="D606" s="69" t="str">
        <x:v>detail</x:v>
      </x:c>
      <x:c r="E606" s="69" t="str">
        <x:v>文件未載明</x:v>
      </x:c>
      <x:c r="F606" s="71" t="str">
        <x:v>NFB 3P 100/50A 220V/15KA 100-SN</x:v>
      </x:c>
      <x:c r="G606" s="71" t="str">
        <x:v>文件未載明</x:v>
      </x:c>
      <x:c r="H606" s="71" t="str">
        <x:v>只</x:v>
      </x:c>
      <x:c r="I606" s="72" t="n">
        <x:v>1</x:v>
      </x:c>
      <x:c r="J606" s="69" t="str">
        <x:v>1</x:v>
      </x:c>
      <x:c r="K606" s="70" t="n">
        <x:v>858</x:v>
      </x:c>
      <x:c r="L606" s="69" t="str">
        <x:v>858</x:v>
      </x:c>
      <x:c r="M606" s="70" t="n">
        <x:v>858</x:v>
      </x:c>
      <x:c r="N606" s="69" t="str">
        <x:v>858</x:v>
      </x:c>
      <x:c r="O606" s="71" t="str">
        <x:v>士林</x:v>
      </x:c>
      <x:c r="P606" s="71" t="str">
        <x:v>HTML table 2 row 12</x:v>
      </x:c>
      <x:c r="Q606" s="71" t="str">
        <x:v>| NFB 3P 100/50A 220V/15KA 100-SN | 只 | 1 | 858 | 858 | 士林</x:v>
      </x:c>
      <x:c r="R606" s="71" t="str">
        <x:v>各廠商合約&amp; 報價\MD檔案\20251016電箱報價單回傳.md</x:v>
      </x:c>
    </x:row>
    <x:row r="607">
      <x:c r="A607" s="69" t="str">
        <x:v>ITEM00603</x:v>
      </x:c>
      <x:c r="B607" s="69" t="str">
        <x:v>SRC042</x:v>
      </x:c>
      <x:c r="C607" s="69" t="str">
        <x:v>2025-2026</x:v>
      </x:c>
      <x:c r="D607" s="69" t="str">
        <x:v>detail</x:v>
      </x:c>
      <x:c r="E607" s="69" t="str">
        <x:v>文件未載明</x:v>
      </x:c>
      <x:c r="F607" s="71" t="str">
        <x:v>NFB 3P 100/20A 220V/15KA 100-SN</x:v>
      </x:c>
      <x:c r="G607" s="71" t="str">
        <x:v>文件未載明</x:v>
      </x:c>
      <x:c r="H607" s="71" t="str">
        <x:v>只</x:v>
      </x:c>
      <x:c r="I607" s="72" t="n">
        <x:v>1</x:v>
      </x:c>
      <x:c r="J607" s="69" t="str">
        <x:v>1</x:v>
      </x:c>
      <x:c r="K607" s="70" t="n">
        <x:v>858</x:v>
      </x:c>
      <x:c r="L607" s="69" t="str">
        <x:v>858</x:v>
      </x:c>
      <x:c r="M607" s="70" t="n">
        <x:v>858</x:v>
      </x:c>
      <x:c r="N607" s="69" t="str">
        <x:v>858</x:v>
      </x:c>
      <x:c r="O607" s="71" t="str">
        <x:v>士林</x:v>
      </x:c>
      <x:c r="P607" s="71" t="str">
        <x:v>HTML table 2 row 13</x:v>
      </x:c>
      <x:c r="Q607" s="71" t="str">
        <x:v>| NFB 3P 100/20A 220V/15KA 100-SN | 只 | 1 | 858 | 858 | 士林</x:v>
      </x:c>
      <x:c r="R607" s="71" t="str">
        <x:v>各廠商合約&amp; 報價\MD檔案\20251016電箱報價單回傳.md</x:v>
      </x:c>
    </x:row>
    <x:row r="608">
      <x:c r="A608" s="69" t="str">
        <x:v>ITEM00604</x:v>
      </x:c>
      <x:c r="B608" s="69" t="str">
        <x:v>SRC042</x:v>
      </x:c>
      <x:c r="C608" s="69" t="str">
        <x:v>2025-2026</x:v>
      </x:c>
      <x:c r="D608" s="69" t="str">
        <x:v>detail</x:v>
      </x:c>
      <x:c r="E608" s="69" t="str">
        <x:v>文件未載明</x:v>
      </x:c>
      <x:c r="F608" s="71" t="str">
        <x:v>壓克力銘牌(含迴路銘牌)</x:v>
      </x:c>
      <x:c r="G608" s="71" t="str">
        <x:v>文件未載明</x:v>
      </x:c>
      <x:c r="H608" s="71" t="str">
        <x:v>式</x:v>
      </x:c>
      <x:c r="I608" s="72" t="n">
        <x:v>1</x:v>
      </x:c>
      <x:c r="J608" s="69" t="str">
        <x:v>1</x:v>
      </x:c>
      <x:c r="K608" s="70" t="n">
        <x:v>650</x:v>
      </x:c>
      <x:c r="L608" s="69" t="str">
        <x:v>650</x:v>
      </x:c>
      <x:c r="M608" s="70" t="n">
        <x:v>650</x:v>
      </x:c>
      <x:c r="N608" s="69" t="str">
        <x:v>650</x:v>
      </x:c>
      <x:c r="O608" s="71" t="str">
        <x:v>文件未載明</x:v>
      </x:c>
      <x:c r="P608" s="71" t="str">
        <x:v>HTML table 2 row 14</x:v>
      </x:c>
      <x:c r="Q608" s="71" t="str">
        <x:v>| 壓克力銘牌(含迴路銘牌) | 式 | 1 | 650 | 650 |</x:v>
      </x:c>
      <x:c r="R608" s="71" t="str">
        <x:v>各廠商合約&amp; 報價\MD檔案\20251016電箱報價單回傳.md</x:v>
      </x:c>
    </x:row>
    <x:row r="609">
      <x:c r="A609" s="69" t="str">
        <x:v>ITEM00605</x:v>
      </x:c>
      <x:c r="B609" s="69" t="str">
        <x:v>SRC042</x:v>
      </x:c>
      <x:c r="C609" s="69" t="str">
        <x:v>2025-2026</x:v>
      </x:c>
      <x:c r="D609" s="69" t="str">
        <x:v>detail</x:v>
      </x:c>
      <x:c r="E609" s="69" t="str">
        <x:v>文件未載明</x:v>
      </x:c>
      <x:c r="F609" s="71" t="str">
        <x:v>CU BUS BAR &amp;另料</x:v>
      </x:c>
      <x:c r="G609" s="71" t="str">
        <x:v>文件未載明</x:v>
      </x:c>
      <x:c r="H609" s="71" t="str">
        <x:v>式</x:v>
      </x:c>
      <x:c r="I609" s="72" t="n">
        <x:v>1</x:v>
      </x:c>
      <x:c r="J609" s="69" t="str">
        <x:v>1</x:v>
      </x:c>
      <x:c r="K609" s="70" t="n">
        <x:v>2000</x:v>
      </x:c>
      <x:c r="L609" s="69" t="str">
        <x:v>2,000</x:v>
      </x:c>
      <x:c r="M609" s="70" t="n">
        <x:v>2000</x:v>
      </x:c>
      <x:c r="N609" s="69" t="str">
        <x:v>2,000</x:v>
      </x:c>
      <x:c r="O609" s="71" t="str">
        <x:v>文件未載明</x:v>
      </x:c>
      <x:c r="P609" s="71" t="str">
        <x:v>HTML table 2 row 15</x:v>
      </x:c>
      <x:c r="Q609" s="71" t="str">
        <x:v>| CU BUS BAR &amp;另料 | 式 | 1 | 2,000 | 2,000 |</x:v>
      </x:c>
      <x:c r="R609" s="71" t="str">
        <x:v>各廠商合約&amp; 報價\MD檔案\20251016電箱報價單回傳.md</x:v>
      </x:c>
    </x:row>
    <x:row r="610">
      <x:c r="A610" s="69" t="str">
        <x:v>ITEM00606</x:v>
      </x:c>
      <x:c r="B610" s="69" t="str">
        <x:v>SRC042</x:v>
      </x:c>
      <x:c r="C610" s="69" t="str">
        <x:v>2025-2026</x:v>
      </x:c>
      <x:c r="D610" s="69" t="str">
        <x:v>detail</x:v>
      </x:c>
      <x:c r="E610" s="69" t="str">
        <x:v>文件未載明</x:v>
      </x:c>
      <x:c r="F610" s="71" t="str">
        <x:v>盤內器材組裝工資</x:v>
      </x:c>
      <x:c r="G610" s="71" t="str">
        <x:v>文件未載明</x:v>
      </x:c>
      <x:c r="H610" s="71" t="str">
        <x:v>式</x:v>
      </x:c>
      <x:c r="I610" s="72" t="n">
        <x:v>1</x:v>
      </x:c>
      <x:c r="J610" s="69" t="str">
        <x:v>1</x:v>
      </x:c>
      <x:c r="K610" s="70" t="n">
        <x:v>1500</x:v>
      </x:c>
      <x:c r="L610" s="69" t="str">
        <x:v>1,500</x:v>
      </x:c>
      <x:c r="M610" s="70" t="n">
        <x:v>1500</x:v>
      </x:c>
      <x:c r="N610" s="69" t="str">
        <x:v>1,500</x:v>
      </x:c>
      <x:c r="O610" s="71" t="str">
        <x:v>文件未載明</x:v>
      </x:c>
      <x:c r="P610" s="71" t="str">
        <x:v>HTML table 2 row 16</x:v>
      </x:c>
      <x:c r="Q610" s="71" t="str">
        <x:v>| 盤內器材組裝工資 | 式 | 1 | 1,500 | 1,500 |</x:v>
      </x:c>
      <x:c r="R610" s="71" t="str">
        <x:v>各廠商合約&amp; 報價\MD檔案\20251016電箱報價單回傳.md</x:v>
      </x:c>
    </x:row>
    <x:row r="611">
      <x:c r="A611" s="69" t="str">
        <x:v>ITEM00607</x:v>
      </x:c>
      <x:c r="B611" s="69" t="str">
        <x:v>SRC042</x:v>
      </x:c>
      <x:c r="C611" s="69" t="str">
        <x:v>2025-2026</x:v>
      </x:c>
      <x:c r="D611" s="69" t="str">
        <x:v>detail</x:v>
      </x:c>
      <x:c r="E611" s="69" t="str">
        <x:v>7</x:v>
      </x:c>
      <x:c r="F611" s="71" t="str">
        <x:v>7</x:v>
      </x:c>
      <x:c r="G611" s="71" t="str">
        <x:v>文件未載明</x:v>
      </x:c>
      <x:c r="H611" s="71" t="str">
        <x:v>文件未載明</x:v>
      </x:c>
      <x:c r="I611" s="72"/>
      <x:c r="J611" s="69" t="str">
        <x:v>文件未載明</x:v>
      </x:c>
      <x:c r="K611" s="70"/>
      <x:c r="L611" s="69" t="str">
        <x:v>文件未載明</x:v>
      </x:c>
      <x:c r="M611" s="70"/>
      <x:c r="N611" s="69" t="str">
        <x:v>文件未載明</x:v>
      </x:c>
      <x:c r="O611" s="71" t="str">
        <x:v>文件未載明</x:v>
      </x:c>
      <x:c r="P611" s="71" t="str">
        <x:v>HTML table 2 row 17</x:v>
      </x:c>
      <x:c r="Q611" s="71" t="str">
        <x:v>7 | EVMP&amp;EV1 PANEL 屋內落地式配電箱 | | | | |</x:v>
      </x:c>
      <x:c r="R611" s="71" t="str">
        <x:v>各廠商合約&amp; 報價\MD檔案\20251016電箱報價單回傳.md</x:v>
      </x:c>
    </x:row>
    <x:row r="612">
      <x:c r="A612" s="69" t="str">
        <x:v>ITEM00608</x:v>
      </x:c>
      <x:c r="B612" s="69" t="str">
        <x:v>SRC042</x:v>
      </x:c>
      <x:c r="C612" s="69" t="str">
        <x:v>2025-2026</x:v>
      </x:c>
      <x:c r="D612" s="69" t="str">
        <x:v>detail</x:v>
      </x:c>
      <x:c r="E612" s="69" t="str">
        <x:v>文件未載明</x:v>
      </x:c>
      <x:c r="F612" s="71" t="str">
        <x:v>(中門、上下盤)3 $\phi$ 3W 220V 黑鐵烤漆</x:v>
      </x:c>
      <x:c r="G612" s="71" t="str">
        <x:v>文件未載明</x:v>
      </x:c>
      <x:c r="H612" s="71" t="str">
        <x:v>文件未載明</x:v>
      </x:c>
      <x:c r="I612" s="72"/>
      <x:c r="J612" s="69" t="str">
        <x:v>文件未載明</x:v>
      </x:c>
      <x:c r="K612" s="70"/>
      <x:c r="L612" s="69" t="str">
        <x:v>文件未載明</x:v>
      </x:c>
      <x:c r="M612" s="70"/>
      <x:c r="N612" s="69" t="str">
        <x:v>文件未載明</x:v>
      </x:c>
      <x:c r="O612" s="71" t="str">
        <x:v>文件未載明</x:v>
      </x:c>
      <x:c r="P612" s="71" t="str">
        <x:v>HTML table 2 row 18</x:v>
      </x:c>
      <x:c r="Q612" s="71" t="str">
        <x:v>| (中門、上下盤)3 $\phi$ 3W 220V 黑鐵烤漆 | | | | |</x:v>
      </x:c>
      <x:c r="R612" s="71" t="str">
        <x:v>各廠商合約&amp; 報價\MD檔案\20251016電箱報價單回傳.md</x:v>
      </x:c>
    </x:row>
    <x:row r="613">
      <x:c r="A613" s="69" t="str">
        <x:v>ITEM00609</x:v>
      </x:c>
      <x:c r="B613" s="69" t="str">
        <x:v>SRC042</x:v>
      </x:c>
      <x:c r="C613" s="69" t="str">
        <x:v>2025-2026</x:v>
      </x:c>
      <x:c r="D613" s="69" t="str">
        <x:v>detail</x:v>
      </x:c>
      <x:c r="E613" s="69" t="str">
        <x:v>文件未載明</x:v>
      </x:c>
      <x:c r="F613" s="71" t="str">
        <x:v>t=2.0mm</x:v>
      </x:c>
      <x:c r="G613" s="71" t="str">
        <x:v>文件未載明</x:v>
      </x:c>
      <x:c r="H613" s="71" t="str">
        <x:v>文件未載明</x:v>
      </x:c>
      <x:c r="I613" s="72"/>
      <x:c r="J613" s="69" t="str">
        <x:v>文件未載明</x:v>
      </x:c>
      <x:c r="K613" s="70"/>
      <x:c r="L613" s="69" t="str">
        <x:v>文件未載明</x:v>
      </x:c>
      <x:c r="M613" s="70"/>
      <x:c r="N613" s="69" t="str">
        <x:v>文件未載明</x:v>
      </x:c>
      <x:c r="O613" s="71" t="str">
        <x:v>文件未載明</x:v>
      </x:c>
      <x:c r="P613" s="71" t="str">
        <x:v>HTML table 2 row 19</x:v>
      </x:c>
      <x:c r="Q613" s="71" t="str">
        <x:v>| t=2.0mm | | | | |</x:v>
      </x:c>
      <x:c r="R613" s="71" t="str">
        <x:v>各廠商合約&amp; 報價\MD檔案\20251016電箱報價單回傳.md</x:v>
      </x:c>
    </x:row>
    <x:row r="614">
      <x:c r="A614" s="69" t="str">
        <x:v>ITEM00610</x:v>
      </x:c>
      <x:c r="B614" s="69" t="str">
        <x:v>SRC042</x:v>
      </x:c>
      <x:c r="C614" s="69" t="str">
        <x:v>2025-2026</x:v>
      </x:c>
      <x:c r="D614" s="69" t="str">
        <x:v>detail</x:v>
      </x:c>
      <x:c r="E614" s="69" t="str">
        <x:v>文件未載明</x:v>
      </x:c>
      <x:c r="F614" s="71" t="str">
        <x:v>CASE:900W×(1200+900+100)H×400D</x:v>
      </x:c>
      <x:c r="G614" s="71" t="str">
        <x:v>文件未載明</x:v>
      </x:c>
      <x:c r="H614" s="71" t="str">
        <x:v>只</x:v>
      </x:c>
      <x:c r="I614" s="72" t="n">
        <x:v>1</x:v>
      </x:c>
      <x:c r="J614" s="69" t="str">
        <x:v>1</x:v>
      </x:c>
      <x:c r="K614" s="70" t="n">
        <x:v>35000</x:v>
      </x:c>
      <x:c r="L614" s="69" t="str">
        <x:v>35,000</x:v>
      </x:c>
      <x:c r="M614" s="70" t="n">
        <x:v>35000</x:v>
      </x:c>
      <x:c r="N614" s="69" t="str">
        <x:v>35,000</x:v>
      </x:c>
      <x:c r="O614" s="71" t="str">
        <x:v>文件未載明</x:v>
      </x:c>
      <x:c r="P614" s="71" t="str">
        <x:v>HTML table 2 row 20</x:v>
      </x:c>
      <x:c r="Q614" s="71" t="str">
        <x:v>| CASE:900W×(1200+900+100)H×400D | 只 | 1 | 35,000 | 35,000 |</x:v>
      </x:c>
      <x:c r="R614" s="71" t="str">
        <x:v>各廠商合約&amp; 報價\MD檔案\20251016電箱報價單回傳.md</x:v>
      </x:c>
    </x:row>
    <x:row r="615">
      <x:c r="A615" s="69" t="str">
        <x:v>ITEM00611</x:v>
      </x:c>
      <x:c r="B615" s="69" t="str">
        <x:v>SRC042</x:v>
      </x:c>
      <x:c r="C615" s="69" t="str">
        <x:v>2025-2026</x:v>
      </x:c>
      <x:c r="D615" s="69" t="str">
        <x:v>detail</x:v>
      </x:c>
      <x:c r="E615" s="69" t="str">
        <x:v>EVMP</x:v>
      </x:c>
      <x:c r="F615" s="71" t="str">
        <x:v>EVMP</x:v>
      </x:c>
      <x:c r="G615" s="71" t="str">
        <x:v>文件未載明</x:v>
      </x:c>
      <x:c r="H615" s="71" t="str">
        <x:v>只</x:v>
      </x:c>
      <x:c r="I615" s="72" t="n">
        <x:v>1</x:v>
      </x:c>
      <x:c r="J615" s="69" t="str">
        <x:v>1</x:v>
      </x:c>
      <x:c r="K615" s="70" t="n">
        <x:v>4877</x:v>
      </x:c>
      <x:c r="L615" s="69" t="str">
        <x:v>4,877</x:v>
      </x:c>
      <x:c r="M615" s="70" t="n">
        <x:v>4877</x:v>
      </x:c>
      <x:c r="N615" s="69" t="str">
        <x:v>4,877</x:v>
      </x:c>
      <x:c r="O615" s="71" t="str">
        <x:v>士林</x:v>
      </x:c>
      <x:c r="P615" s="71" t="str">
        <x:v>HTML table 2 row 21</x:v>
      </x:c>
      <x:c r="Q615" s="71" t="str">
        <x:v>EVMP | NFB 3P 400/300A 220V/20KA 400-CN | 只 | 1 | 4,877 | 4,877 | 士林</x:v>
      </x:c>
      <x:c r="R615" s="71" t="str">
        <x:v>各廠商合約&amp; 報價\MD檔案\20251016電箱報價單回傳.md</x:v>
      </x:c>
    </x:row>
    <x:row r="616">
      <x:c r="A616" s="69" t="str">
        <x:v>ITEM00612</x:v>
      </x:c>
      <x:c r="B616" s="69" t="str">
        <x:v>SRC042</x:v>
      </x:c>
      <x:c r="C616" s="69" t="str">
        <x:v>2025-2026</x:v>
      </x:c>
      <x:c r="D616" s="69" t="str">
        <x:v>detail</x:v>
      </x:c>
      <x:c r="E616" s="69" t="str">
        <x:v>文件未載明</x:v>
      </x:c>
      <x:c r="F616" s="71" t="str">
        <x:v>NFB 3P 250/200A 220V/20KA 250-CN</x:v>
      </x:c>
      <x:c r="G616" s="71" t="str">
        <x:v>文件未載明</x:v>
      </x:c>
      <x:c r="H616" s="71" t="str">
        <x:v>只</x:v>
      </x:c>
      <x:c r="I616" s="72" t="n">
        <x:v>1</x:v>
      </x:c>
      <x:c r="J616" s="69" t="str">
        <x:v>1</x:v>
      </x:c>
      <x:c r="K616" s="70" t="n">
        <x:v>2482</x:v>
      </x:c>
      <x:c r="L616" s="69" t="str">
        <x:v>2,482</x:v>
      </x:c>
      <x:c r="M616" s="70" t="n">
        <x:v>2482</x:v>
      </x:c>
      <x:c r="N616" s="69" t="str">
        <x:v>2,482</x:v>
      </x:c>
      <x:c r="O616" s="71" t="str">
        <x:v>士林</x:v>
      </x:c>
      <x:c r="P616" s="71" t="str">
        <x:v>HTML table 2 row 22</x:v>
      </x:c>
      <x:c r="Q616" s="71" t="str">
        <x:v>| NFB 3P 250/200A 220V/20KA 250-CN | 只 | 1 | 2,482 | 2,482 | 士林</x:v>
      </x:c>
      <x:c r="R616" s="71" t="str">
        <x:v>各廠商合約&amp; 報價\MD檔案\20251016電箱報價單回傳.md</x:v>
      </x:c>
    </x:row>
    <x:row r="617">
      <x:c r="A617" s="69" t="str">
        <x:v>ITEM00613</x:v>
      </x:c>
      <x:c r="B617" s="69" t="str">
        <x:v>SRC042</x:v>
      </x:c>
      <x:c r="C617" s="69" t="str">
        <x:v>2025-2026</x:v>
      </x:c>
      <x:c r="D617" s="69" t="str">
        <x:v>detail</x:v>
      </x:c>
      <x:c r="E617" s="69" t="str">
        <x:v>文件未載明</x:v>
      </x:c>
      <x:c r="F617" s="71" t="str">
        <x:v>NFB 2P 100/60A 220V/20KA BHS</x:v>
      </x:c>
      <x:c r="G617" s="71" t="str">
        <x:v>文件未載明</x:v>
      </x:c>
      <x:c r="H617" s="71" t="str">
        <x:v>只</x:v>
      </x:c>
      <x:c r="I617" s="72" t="n">
        <x:v>1</x:v>
      </x:c>
      <x:c r="J617" s="69" t="str">
        <x:v>1</x:v>
      </x:c>
      <x:c r="K617" s="70" t="n">
        <x:v>782</x:v>
      </x:c>
      <x:c r="L617" s="69" t="str">
        <x:v>782</x:v>
      </x:c>
      <x:c r="M617" s="70" t="n">
        <x:v>782</x:v>
      </x:c>
      <x:c r="N617" s="69" t="str">
        <x:v>782</x:v>
      </x:c>
      <x:c r="O617" s="71" t="str">
        <x:v>士林</x:v>
      </x:c>
      <x:c r="P617" s="71" t="str">
        <x:v>HTML table 2 row 23</x:v>
      </x:c>
      <x:c r="Q617" s="71" t="str">
        <x:v>| NFB 2P 100/60A 220V/20KA BHS | 只 | 1 | 782 | 782 | 士林</x:v>
      </x:c>
      <x:c r="R617" s="71" t="str">
        <x:v>各廠商合約&amp; 報價\MD檔案\20251016電箱報價單回傳.md</x:v>
      </x:c>
    </x:row>
    <x:row r="618">
      <x:c r="A618" s="69" t="str">
        <x:v>ITEM00614</x:v>
      </x:c>
      <x:c r="B618" s="69" t="str">
        <x:v>SRC042</x:v>
      </x:c>
      <x:c r="C618" s="69" t="str">
        <x:v>2025-2026</x:v>
      </x:c>
      <x:c r="D618" s="69" t="str">
        <x:v>detail</x:v>
      </x:c>
      <x:c r="E618" s="69" t="str">
        <x:v>文件未載明</x:v>
      </x:c>
      <x:c r="F618" s="71" t="str">
        <x:v>ELCB 2P 50/40A 220V/15KA NVB-50HS</x:v>
      </x:c>
      <x:c r="G618" s="71" t="str">
        <x:v>文件未載明</x:v>
      </x:c>
      <x:c r="H618" s="71" t="str">
        <x:v>只</x:v>
      </x:c>
      <x:c r="I618" s="72" t="n">
        <x:v>3</x:v>
      </x:c>
      <x:c r="J618" s="69" t="str">
        <x:v>3</x:v>
      </x:c>
      <x:c r="K618" s="70" t="n">
        <x:v>1010</x:v>
      </x:c>
      <x:c r="L618" s="69" t="str">
        <x:v>1,010</x:v>
      </x:c>
      <x:c r="M618" s="70" t="n">
        <x:v>3030</x:v>
      </x:c>
      <x:c r="N618" s="69" t="str">
        <x:v>3,030</x:v>
      </x:c>
      <x:c r="O618" s="71" t="str">
        <x:v>士林</x:v>
      </x:c>
      <x:c r="P618" s="71" t="str">
        <x:v>HTML table 2 row 24</x:v>
      </x:c>
      <x:c r="Q618" s="71" t="str">
        <x:v>| ELCB 2P 50/40A 220V/15KA NVB-50HS | 只 | 3 | 1,010 | 3,030 | 士林</x:v>
      </x:c>
      <x:c r="R618" s="71" t="str">
        <x:v>各廠商合約&amp; 報價\MD檔案\20251016電箱報價單回傳.md</x:v>
      </x:c>
    </x:row>
    <x:row r="619">
      <x:c r="A619" s="69" t="str">
        <x:v>ITEM00615</x:v>
      </x:c>
      <x:c r="B619" s="69" t="str">
        <x:v>SRC042</x:v>
      </x:c>
      <x:c r="C619" s="69" t="str">
        <x:v>2025-2026</x:v>
      </x:c>
      <x:c r="D619" s="69" t="str">
        <x:v>detail</x:v>
      </x:c>
      <x:c r="E619" s="69" t="str">
        <x:v>文件未載明</x:v>
      </x:c>
      <x:c r="F619" s="71" t="str">
        <x:v>CT 300/5A CL-32CT</x:v>
      </x:c>
      <x:c r="G619" s="71" t="str">
        <x:v>文件未載明</x:v>
      </x:c>
      <x:c r="H619" s="71" t="str">
        <x:v>只</x:v>
      </x:c>
      <x:c r="I619" s="72" t="n">
        <x:v>3</x:v>
      </x:c>
      <x:c r="J619" s="69" t="str">
        <x:v>3</x:v>
      </x:c>
      <x:c r="K619" s="70" t="n">
        <x:v>500</x:v>
      </x:c>
      <x:c r="L619" s="69" t="str">
        <x:v>500</x:v>
      </x:c>
      <x:c r="M619" s="70" t="n">
        <x:v>1500</x:v>
      </x:c>
      <x:c r="N619" s="69" t="str">
        <x:v>1,500</x:v>
      </x:c>
      <x:c r="O619" s="71" t="str">
        <x:v>雅利</x:v>
      </x:c>
      <x:c r="P619" s="71" t="str">
        <x:v>HTML table 2 row 25</x:v>
      </x:c>
      <x:c r="Q619" s="71" t="str">
        <x:v>| CT 300/5A CL-32CT | 只 | 3 | 500 | 1,500 | 雅利</x:v>
      </x:c>
      <x:c r="R619" s="71" t="str">
        <x:v>各廠商合約&amp; 報價\MD檔案\20251016電箱報價單回傳.md</x:v>
      </x:c>
    </x:row>
    <x:row r="620">
      <x:c r="A620" s="69" t="str">
        <x:v>ITEM00616</x:v>
      </x:c>
      <x:c r="B620" s="69" t="str">
        <x:v>SRC042</x:v>
      </x:c>
      <x:c r="C620" s="69" t="str">
        <x:v>2025-2026</x:v>
      </x:c>
      <x:c r="D620" s="69" t="str">
        <x:v>detail</x:v>
      </x:c>
      <x:c r="E620" s="69" t="str">
        <x:v>文件未載明</x:v>
      </x:c>
      <x:c r="F620" s="71" t="str">
        <x:v>集合式電表 SPM-300</x:v>
      </x:c>
      <x:c r="G620" s="71" t="str">
        <x:v>文件未載明</x:v>
      </x:c>
      <x:c r="H620" s="71" t="str">
        <x:v>只</x:v>
      </x:c>
      <x:c r="I620" s="72" t="n">
        <x:v>1</x:v>
      </x:c>
      <x:c r="J620" s="69" t="str">
        <x:v>1</x:v>
      </x:c>
      <x:c r="K620" s="70" t="n">
        <x:v>7000</x:v>
      </x:c>
      <x:c r="L620" s="69" t="str">
        <x:v>7,000</x:v>
      </x:c>
      <x:c r="M620" s="70" t="n">
        <x:v>7000</x:v>
      </x:c>
      <x:c r="N620" s="69" t="str">
        <x:v>7,000</x:v>
      </x:c>
      <x:c r="O620" s="71" t="str">
        <x:v>士林</x:v>
      </x:c>
      <x:c r="P620" s="71" t="str">
        <x:v>HTML table 2 row 26</x:v>
      </x:c>
      <x:c r="Q620" s="71" t="str">
        <x:v>| 集合式電表 SPM-300 | 只 | 1 | 7,000 | 7,000 | 士林</x:v>
      </x:c>
      <x:c r="R620" s="71" t="str">
        <x:v>各廠商合約&amp; 報價\MD檔案\20251016電箱報價單回傳.md</x:v>
      </x:c>
    </x:row>
    <x:row r="621">
      <x:c r="A621" s="69" t="str">
        <x:v>ITEM00617</x:v>
      </x:c>
      <x:c r="B621" s="69" t="str">
        <x:v>SRC042</x:v>
      </x:c>
      <x:c r="C621" s="69" t="str">
        <x:v>2025-2026</x:v>
      </x:c>
      <x:c r="D621" s="69" t="str">
        <x:v>detail</x:v>
      </x:c>
      <x:c r="E621" s="69" t="str">
        <x:v>文件未載明</x:v>
      </x:c>
      <x:c r="F621" s="71" t="str">
        <x:v>突波保護器 SPD TSPD-B 3P-80KA(275V)</x:v>
      </x:c>
      <x:c r="G621" s="71" t="str">
        <x:v>文件未載明</x:v>
      </x:c>
      <x:c r="H621" s="71" t="str">
        <x:v>只</x:v>
      </x:c>
      <x:c r="I621" s="72" t="n">
        <x:v>1</x:v>
      </x:c>
      <x:c r="J621" s="69" t="str">
        <x:v>1</x:v>
      </x:c>
      <x:c r="K621" s="70" t="n">
        <x:v>7000</x:v>
      </x:c>
      <x:c r="L621" s="69" t="str">
        <x:v>7,000</x:v>
      </x:c>
      <x:c r="M621" s="70" t="n">
        <x:v>7000</x:v>
      </x:c>
      <x:c r="N621" s="69" t="str">
        <x:v>7,000</x:v>
      </x:c>
      <x:c r="O621" s="71" t="str">
        <x:v>TOYO</x:v>
      </x:c>
      <x:c r="P621" s="71" t="str">
        <x:v>HTML table 2 row 27</x:v>
      </x:c>
      <x:c r="Q621" s="71" t="str">
        <x:v>| 突波保護器 SPD TSPD-B 3P-80KA(275V) | 只 | 1 | 7,000 | 7,000 | TOYO</x:v>
      </x:c>
      <x:c r="R621" s="71" t="str">
        <x:v>各廠商合約&amp; 報價\MD檔案\20251016電箱報價單回傳.md</x:v>
      </x:c>
    </x:row>
    <x:row r="622">
      <x:c r="A622" s="69" t="str">
        <x:v>ITEM00618</x:v>
      </x:c>
      <x:c r="B622" s="69" t="str">
        <x:v>SRC042</x:v>
      </x:c>
      <x:c r="C622" s="69" t="str">
        <x:v>2025-2026</x:v>
      </x:c>
      <x:c r="D622" s="69" t="str">
        <x:v>detail</x:v>
      </x:c>
      <x:c r="E622" s="69" t="str">
        <x:v>文件未載明</x:v>
      </x:c>
      <x:c r="F622" s="71" t="str">
        <x:v>HRC 3P 160A 附座</x:v>
      </x:c>
      <x:c r="G622" s="71" t="str">
        <x:v>文件未載明</x:v>
      </x:c>
      <x:c r="H622" s="71" t="str">
        <x:v>組</x:v>
      </x:c>
      <x:c r="I622" s="72" t="n">
        <x:v>1</x:v>
      </x:c>
      <x:c r="J622" s="69" t="str">
        <x:v>1</x:v>
      </x:c>
      <x:c r="K622" s="70" t="n">
        <x:v>1500</x:v>
      </x:c>
      <x:c r="L622" s="69" t="str">
        <x:v>1,500</x:v>
      </x:c>
      <x:c r="M622" s="70" t="n">
        <x:v>1500</x:v>
      </x:c>
      <x:c r="N622" s="69" t="str">
        <x:v>1,500</x:v>
      </x:c>
      <x:c r="O622" s="71" t="str">
        <x:v>TOKO</x:v>
      </x:c>
      <x:c r="P622" s="71" t="str">
        <x:v>HTML table 2 row 28</x:v>
      </x:c>
      <x:c r="Q622" s="71" t="str">
        <x:v>| HRC 3P 160A 附座 | 組 | 1 | 1,500 | 1,500 | TOKO</x:v>
      </x:c>
      <x:c r="R622" s="71" t="str">
        <x:v>各廠商合約&amp; 報價\MD檔案\20251016電箱報價單回傳.md</x:v>
      </x:c>
    </x:row>
    <x:row r="623">
      <x:c r="A623" s="69" t="str">
        <x:v>ITEM00619</x:v>
      </x:c>
      <x:c r="B623" s="69" t="str">
        <x:v>SRC042</x:v>
      </x:c>
      <x:c r="C623" s="69" t="str">
        <x:v>2025-2026</x:v>
      </x:c>
      <x:c r="D623" s="69" t="str">
        <x:v>detail</x:v>
      </x:c>
      <x:c r="E623" s="69" t="str">
        <x:v>文件未載明</x:v>
      </x:c>
      <x:c r="F623" s="71" t="str">
        <x:v>D-FUSE 附座(附斷電指示)10*38</x:v>
      </x:c>
      <x:c r="G623" s="71" t="str">
        <x:v>文件未載明</x:v>
      </x:c>
      <x:c r="H623" s="71" t="str">
        <x:v>組</x:v>
      </x:c>
      <x:c r="I623" s="72" t="n">
        <x:v>3</x:v>
      </x:c>
      <x:c r="J623" s="69" t="str">
        <x:v>3</x:v>
      </x:c>
      <x:c r="K623" s="70" t="n">
        <x:v>150</x:v>
      </x:c>
      <x:c r="L623" s="69" t="str">
        <x:v>150</x:v>
      </x:c>
      <x:c r="M623" s="70" t="n">
        <x:v>450</x:v>
      </x:c>
      <x:c r="N623" s="69" t="str">
        <x:v>450</x:v>
      </x:c>
      <x:c r="O623" s="71" t="str">
        <x:v>文件未載明</x:v>
      </x:c>
      <x:c r="P623" s="71" t="str">
        <x:v>HTML table 2 row 29</x:v>
      </x:c>
      <x:c r="Q623" s="71" t="str">
        <x:v>| D-FUSE 附座(附斷電指示)10*38 | 組 | 3 | 150 | 450 |</x:v>
      </x:c>
      <x:c r="R623" s="71" t="str">
        <x:v>各廠商合約&amp; 報價\MD檔案\20251016電箱報價單回傳.md</x:v>
      </x:c>
    </x:row>
    <x:row r="624">
      <x:c r="A624" s="69" t="str">
        <x:v>ITEM00620</x:v>
      </x:c>
      <x:c r="B624" s="69" t="str">
        <x:v>SRC042</x:v>
      </x:c>
      <x:c r="C624" s="69" t="str">
        <x:v>2025-2026</x:v>
      </x:c>
      <x:c r="D624" s="69" t="str">
        <x:v>detail</x:v>
      </x:c>
      <x:c r="E624" s="69" t="str">
        <x:v>文件未載明</x:v>
      </x:c>
      <x:c r="F624" s="71" t="str">
        <x:v>壓克力銘牌(含迴路銘牌)</x:v>
      </x:c>
      <x:c r="G624" s="71" t="str">
        <x:v>文件未載明</x:v>
      </x:c>
      <x:c r="H624" s="71" t="str">
        <x:v>式</x:v>
      </x:c>
      <x:c r="I624" s="72" t="n">
        <x:v>1</x:v>
      </x:c>
      <x:c r="J624" s="69" t="str">
        <x:v>1</x:v>
      </x:c>
      <x:c r="K624" s="70" t="n">
        <x:v>650</x:v>
      </x:c>
      <x:c r="L624" s="69" t="str">
        <x:v>650</x:v>
      </x:c>
      <x:c r="M624" s="70" t="n">
        <x:v>650</x:v>
      </x:c>
      <x:c r="N624" s="69" t="str">
        <x:v>650</x:v>
      </x:c>
      <x:c r="O624" s="71" t="str">
        <x:v>文件未載明</x:v>
      </x:c>
      <x:c r="P624" s="71" t="str">
        <x:v>HTML table 2 row 30</x:v>
      </x:c>
      <x:c r="Q624" s="71" t="str">
        <x:v>| 壓克力銘牌(含迴路銘牌) | 式 | 1 | 650 | 650 |</x:v>
      </x:c>
      <x:c r="R624" s="71" t="str">
        <x:v>各廠商合約&amp; 報價\MD檔案\20251016電箱報價單回傳.md</x:v>
      </x:c>
    </x:row>
    <x:row r="625">
      <x:c r="A625" s="69" t="str">
        <x:v>ITEM00621</x:v>
      </x:c>
      <x:c r="B625" s="69" t="str">
        <x:v>SRC042</x:v>
      </x:c>
      <x:c r="C625" s="69" t="str">
        <x:v>2025-2026</x:v>
      </x:c>
      <x:c r="D625" s="69" t="str">
        <x:v>detail</x:v>
      </x:c>
      <x:c r="E625" s="69" t="str">
        <x:v>文件未載明</x:v>
      </x:c>
      <x:c r="F625" s="71" t="str">
        <x:v>CU BUS BAR &amp;另料</x:v>
      </x:c>
      <x:c r="G625" s="71" t="str">
        <x:v>文件未載明</x:v>
      </x:c>
      <x:c r="H625" s="71" t="str">
        <x:v>式</x:v>
      </x:c>
      <x:c r="I625" s="72" t="n">
        <x:v>1</x:v>
      </x:c>
      <x:c r="J625" s="69" t="str">
        <x:v>1</x:v>
      </x:c>
      <x:c r="K625" s="70" t="n">
        <x:v>2500</x:v>
      </x:c>
      <x:c r="L625" s="69" t="str">
        <x:v>2,500</x:v>
      </x:c>
      <x:c r="M625" s="70" t="n">
        <x:v>2500</x:v>
      </x:c>
      <x:c r="N625" s="69" t="str">
        <x:v>2,500</x:v>
      </x:c>
      <x:c r="O625" s="71" t="str">
        <x:v>文件未載明</x:v>
      </x:c>
      <x:c r="P625" s="71" t="str">
        <x:v>HTML table 2 row 31</x:v>
      </x:c>
      <x:c r="Q625" s="71" t="str">
        <x:v>| CU BUS BAR &amp;另料 | 式 | 1 | 2,500 | 2,500 |</x:v>
      </x:c>
      <x:c r="R625" s="71" t="str">
        <x:v>各廠商合約&amp; 報價\MD檔案\20251016電箱報價單回傳.md</x:v>
      </x:c>
    </x:row>
    <x:row r="626">
      <x:c r="A626" s="69" t="str">
        <x:v>ITEM00622</x:v>
      </x:c>
      <x:c r="B626" s="69" t="str">
        <x:v>SRC042</x:v>
      </x:c>
      <x:c r="C626" s="69" t="str">
        <x:v>2025-2026</x:v>
      </x:c>
      <x:c r="D626" s="69" t="str">
        <x:v>detail</x:v>
      </x:c>
      <x:c r="E626" s="69" t="str">
        <x:v>文件未載明</x:v>
      </x:c>
      <x:c r="F626" s="71" t="str">
        <x:v>PVC電線、端子、色套等五金另料</x:v>
      </x:c>
      <x:c r="G626" s="71" t="str">
        <x:v>文件未載明</x:v>
      </x:c>
      <x:c r="H626" s="71" t="str">
        <x:v>式</x:v>
      </x:c>
      <x:c r="I626" s="72" t="n">
        <x:v>1</x:v>
      </x:c>
      <x:c r="J626" s="69" t="str">
        <x:v>1</x:v>
      </x:c>
      <x:c r="K626" s="70" t="n">
        <x:v>1500</x:v>
      </x:c>
      <x:c r="L626" s="69" t="str">
        <x:v>1,500</x:v>
      </x:c>
      <x:c r="M626" s="70" t="n">
        <x:v>1500</x:v>
      </x:c>
      <x:c r="N626" s="69" t="str">
        <x:v>1,500</x:v>
      </x:c>
      <x:c r="O626" s="71" t="str">
        <x:v>文件未載明</x:v>
      </x:c>
      <x:c r="P626" s="71" t="str">
        <x:v>HTML table 2 row 32</x:v>
      </x:c>
      <x:c r="Q626" s="71" t="str">
        <x:v>| PVC電線、端子、色套等五金另料 | 式 | 1 | 1,500 | 1,500 |</x:v>
      </x:c>
      <x:c r="R626" s="71" t="str">
        <x:v>各廠商合約&amp; 報價\MD檔案\20251016電箱報價單回傳.md</x:v>
      </x:c>
    </x:row>
    <x:row r="627">
      <x:c r="A627" s="69" t="str">
        <x:v>ITEM00623</x:v>
      </x:c>
      <x:c r="B627" s="69" t="str">
        <x:v>SRC042</x:v>
      </x:c>
      <x:c r="C627" s="69" t="str">
        <x:v>2025-2026</x:v>
      </x:c>
      <x:c r="D627" s="69" t="str">
        <x:v>detail</x:v>
      </x:c>
      <x:c r="E627" s="69" t="str">
        <x:v>文件未載明</x:v>
      </x:c>
      <x:c r="F627" s="71" t="str">
        <x:v>盤內器材組裝工資</x:v>
      </x:c>
      <x:c r="G627" s="71" t="str">
        <x:v>文件未載明</x:v>
      </x:c>
      <x:c r="H627" s="71" t="str">
        <x:v>式</x:v>
      </x:c>
      <x:c r="I627" s="72" t="n">
        <x:v>1</x:v>
      </x:c>
      <x:c r="J627" s="69" t="str">
        <x:v>1</x:v>
      </x:c>
      <x:c r="K627" s="70" t="n">
        <x:v>4000</x:v>
      </x:c>
      <x:c r="L627" s="69" t="str">
        <x:v>4,000</x:v>
      </x:c>
      <x:c r="M627" s="70" t="n">
        <x:v>4000</x:v>
      </x:c>
      <x:c r="N627" s="69" t="str">
        <x:v>4,000</x:v>
      </x:c>
      <x:c r="O627" s="71" t="str">
        <x:v>文件未載明</x:v>
      </x:c>
      <x:c r="P627" s="71" t="str">
        <x:v>HTML table 2 row 33</x:v>
      </x:c>
      <x:c r="Q627" s="71" t="str">
        <x:v>| 盤內器材組裝工資 | 式 | 1 | 4,000 | 4,000 |</x:v>
      </x:c>
      <x:c r="R627" s="71" t="str">
        <x:v>各廠商合約&amp; 報價\MD檔案\20251016電箱報價單回傳.md</x:v>
      </x:c>
    </x:row>
    <x:row r="628">
      <x:c r="A628" s="69" t="str">
        <x:v>ITEM00624</x:v>
      </x:c>
      <x:c r="B628" s="69" t="str">
        <x:v>SRC042</x:v>
      </x:c>
      <x:c r="C628" s="69" t="str">
        <x:v>2025-2026</x:v>
      </x:c>
      <x:c r="D628" s="69" t="str">
        <x:v>header</x:v>
      </x:c>
      <x:c r="E628" s="69" t="str">
        <x:v>項目</x:v>
      </x:c>
      <x:c r="F628" s="71" t="str">
        <x:v>項目</x:v>
      </x:c>
      <x:c r="G628" s="71" t="str">
        <x:v>文件未載明</x:v>
      </x:c>
      <x:c r="H628" s="71" t="str">
        <x:v>單位</x:v>
      </x:c>
      <x:c r="I628" s="72"/>
      <x:c r="J628" s="69" t="str">
        <x:v>數量</x:v>
      </x:c>
      <x:c r="K628" s="70"/>
      <x:c r="L628" s="69" t="str">
        <x:v>單價</x:v>
      </x:c>
      <x:c r="M628" s="70"/>
      <x:c r="N628" s="69" t="str">
        <x:v>金額</x:v>
      </x:c>
      <x:c r="O628" s="71" t="str">
        <x:v>備註</x:v>
      </x:c>
      <x:c r="P628" s="71" t="str">
        <x:v>HTML table 3 row 1</x:v>
      </x:c>
      <x:c r="Q628" s="71" t="str">
        <x:v>項目 | 品名規格 | 單位 | 數量 | 單價 | 金額 | 備註</x:v>
      </x:c>
      <x:c r="R628" s="71" t="str">
        <x:v>各廠商合約&amp; 報價\MD檔案\20251016電箱報價單回傳.md</x:v>
      </x:c>
    </x:row>
    <x:row r="629">
      <x:c r="A629" s="69" t="str">
        <x:v>ITEM00625</x:v>
      </x:c>
      <x:c r="B629" s="69" t="str">
        <x:v>SRC042</x:v>
      </x:c>
      <x:c r="C629" s="69" t="str">
        <x:v>2025-2026</x:v>
      </x:c>
      <x:c r="D629" s="69" t="str">
        <x:v>detail</x:v>
      </x:c>
      <x:c r="E629" s="69" t="str">
        <x:v>EV1</x:v>
      </x:c>
      <x:c r="F629" s="71" t="str">
        <x:v>EV1</x:v>
      </x:c>
      <x:c r="G629" s="71" t="str">
        <x:v>文件未載明</x:v>
      </x:c>
      <x:c r="H629" s="71" t="str">
        <x:v>只</x:v>
      </x:c>
      <x:c r="I629" s="72" t="n">
        <x:v>1</x:v>
      </x:c>
      <x:c r="J629" s="69" t="str">
        <x:v>1</x:v>
      </x:c>
      <x:c r="K629" s="70" t="n">
        <x:v>2482</x:v>
      </x:c>
      <x:c r="L629" s="69" t="str">
        <x:v>2,482</x:v>
      </x:c>
      <x:c r="M629" s="70" t="n">
        <x:v>2482</x:v>
      </x:c>
      <x:c r="N629" s="69" t="str">
        <x:v>2,482</x:v>
      </x:c>
      <x:c r="O629" s="71" t="str">
        <x:v>士林</x:v>
      </x:c>
      <x:c r="P629" s="71" t="str">
        <x:v>HTML table 3 row 2</x:v>
      </x:c>
      <x:c r="Q629" s="71" t="str">
        <x:v>EV1 | NFB 3P 250/200A 220V/20KA 250-CN | 只 | 1 | 2,482 | 2,482 | 士林</x:v>
      </x:c>
      <x:c r="R629" s="71" t="str">
        <x:v>各廠商合約&amp; 報價\MD檔案\20251016電箱報價單回傳.md</x:v>
      </x:c>
    </x:row>
    <x:row r="630">
      <x:c r="A630" s="69" t="str">
        <x:v>ITEM00626</x:v>
      </x:c>
      <x:c r="B630" s="69" t="str">
        <x:v>SRC042</x:v>
      </x:c>
      <x:c r="C630" s="69" t="str">
        <x:v>2025-2026</x:v>
      </x:c>
      <x:c r="D630" s="69" t="str">
        <x:v>detail</x:v>
      </x:c>
      <x:c r="E630" s="69" t="str">
        <x:v>文件未載明</x:v>
      </x:c>
      <x:c r="F630" s="71" t="str">
        <x:v>ELCB 2P 50/40A 220V/15KA NVB-50HS</x:v>
      </x:c>
      <x:c r="G630" s="71" t="str">
        <x:v>文件未載明</x:v>
      </x:c>
      <x:c r="H630" s="71" t="str">
        <x:v>只</x:v>
      </x:c>
      <x:c r="I630" s="72" t="n">
        <x:v>8</x:v>
      </x:c>
      <x:c r="J630" s="69" t="str">
        <x:v>8</x:v>
      </x:c>
      <x:c r="K630" s="70" t="n">
        <x:v>1010</x:v>
      </x:c>
      <x:c r="L630" s="69" t="str">
        <x:v>1,010</x:v>
      </x:c>
      <x:c r="M630" s="70" t="n">
        <x:v>8080</x:v>
      </x:c>
      <x:c r="N630" s="69" t="str">
        <x:v>8,080</x:v>
      </x:c>
      <x:c r="O630" s="71" t="str">
        <x:v>士林</x:v>
      </x:c>
      <x:c r="P630" s="71" t="str">
        <x:v>HTML table 3 row 3</x:v>
      </x:c>
      <x:c r="Q630" s="71" t="str">
        <x:v>| ELCB 2P 50/40A 220V/15KA NVB-50HS | 只 | 8 | 1,010 | 8,080 | 士林</x:v>
      </x:c>
      <x:c r="R630" s="71" t="str">
        <x:v>各廠商合約&amp; 報價\MD檔案\20251016電箱報價單回傳.md</x:v>
      </x:c>
    </x:row>
    <x:row r="631">
      <x:c r="A631" s="69" t="str">
        <x:v>ITEM00627</x:v>
      </x:c>
      <x:c r="B631" s="69" t="str">
        <x:v>SRC042</x:v>
      </x:c>
      <x:c r="C631" s="69" t="str">
        <x:v>2025-2026</x:v>
      </x:c>
      <x:c r="D631" s="69" t="str">
        <x:v>detail</x:v>
      </x:c>
      <x:c r="E631" s="69" t="str">
        <x:v>文件未載明</x:v>
      </x:c>
      <x:c r="F631" s="71" t="str">
        <x:v>壓克力銘牌(含迴路銘牌)</x:v>
      </x:c>
      <x:c r="G631" s="71" t="str">
        <x:v>文件未載明</x:v>
      </x:c>
      <x:c r="H631" s="71" t="str">
        <x:v>式</x:v>
      </x:c>
      <x:c r="I631" s="72" t="n">
        <x:v>1</x:v>
      </x:c>
      <x:c r="J631" s="69" t="str">
        <x:v>1</x:v>
      </x:c>
      <x:c r="K631" s="70" t="n">
        <x:v>650</x:v>
      </x:c>
      <x:c r="L631" s="69" t="str">
        <x:v>650</x:v>
      </x:c>
      <x:c r="M631" s="70" t="n">
        <x:v>650</x:v>
      </x:c>
      <x:c r="N631" s="69" t="str">
        <x:v>650</x:v>
      </x:c>
      <x:c r="O631" s="71" t="str">
        <x:v>文件未載明</x:v>
      </x:c>
      <x:c r="P631" s="71" t="str">
        <x:v>HTML table 3 row 4</x:v>
      </x:c>
      <x:c r="Q631" s="71" t="str">
        <x:v>| 壓克力銘牌(含迴路銘牌) | 式 | 1 | 650 | 650 |</x:v>
      </x:c>
      <x:c r="R631" s="71" t="str">
        <x:v>各廠商合約&amp; 報價\MD檔案\20251016電箱報價單回傳.md</x:v>
      </x:c>
    </x:row>
    <x:row r="632">
      <x:c r="A632" s="69" t="str">
        <x:v>ITEM00628</x:v>
      </x:c>
      <x:c r="B632" s="69" t="str">
        <x:v>SRC042</x:v>
      </x:c>
      <x:c r="C632" s="69" t="str">
        <x:v>2025-2026</x:v>
      </x:c>
      <x:c r="D632" s="69" t="str">
        <x:v>detail</x:v>
      </x:c>
      <x:c r="E632" s="69" t="str">
        <x:v>文件未載明</x:v>
      </x:c>
      <x:c r="F632" s="71" t="str">
        <x:v>CU BUS BAR &amp;另料</x:v>
      </x:c>
      <x:c r="G632" s="71" t="str">
        <x:v>文件未載明</x:v>
      </x:c>
      <x:c r="H632" s="71" t="str">
        <x:v>式</x:v>
      </x:c>
      <x:c r="I632" s="72" t="n">
        <x:v>1</x:v>
      </x:c>
      <x:c r="J632" s="69" t="str">
        <x:v>1</x:v>
      </x:c>
      <x:c r="K632" s="70" t="n">
        <x:v>2500</x:v>
      </x:c>
      <x:c r="L632" s="69" t="str">
        <x:v>2,500</x:v>
      </x:c>
      <x:c r="M632" s="70" t="n">
        <x:v>2500</x:v>
      </x:c>
      <x:c r="N632" s="69" t="str">
        <x:v>2,500</x:v>
      </x:c>
      <x:c r="O632" s="71" t="str">
        <x:v>文件未載明</x:v>
      </x:c>
      <x:c r="P632" s="71" t="str">
        <x:v>HTML table 3 row 5</x:v>
      </x:c>
      <x:c r="Q632" s="71" t="str">
        <x:v>| CU BUS BAR &amp;另料 | 式 | 1 | 2,500 | 2,500 |</x:v>
      </x:c>
      <x:c r="R632" s="71" t="str">
        <x:v>各廠商合約&amp; 報價\MD檔案\20251016電箱報價單回傳.md</x:v>
      </x:c>
    </x:row>
    <x:row r="633">
      <x:c r="A633" s="69" t="str">
        <x:v>ITEM00629</x:v>
      </x:c>
      <x:c r="B633" s="69" t="str">
        <x:v>SRC042</x:v>
      </x:c>
      <x:c r="C633" s="69" t="str">
        <x:v>2025-2026</x:v>
      </x:c>
      <x:c r="D633" s="69" t="str">
        <x:v>detail</x:v>
      </x:c>
      <x:c r="E633" s="69" t="str">
        <x:v>文件未載明</x:v>
      </x:c>
      <x:c r="F633" s="71" t="str">
        <x:v>盤內器材組裝工資</x:v>
      </x:c>
      <x:c r="G633" s="71" t="str">
        <x:v>文件未載明</x:v>
      </x:c>
      <x:c r="H633" s="71" t="str">
        <x:v>式</x:v>
      </x:c>
      <x:c r="I633" s="72" t="n">
        <x:v>1</x:v>
      </x:c>
      <x:c r="J633" s="69" t="str">
        <x:v>1</x:v>
      </x:c>
      <x:c r="K633" s="70" t="n">
        <x:v>1500</x:v>
      </x:c>
      <x:c r="L633" s="69" t="str">
        <x:v>1,500</x:v>
      </x:c>
      <x:c r="M633" s="70" t="n">
        <x:v>1500</x:v>
      </x:c>
      <x:c r="N633" s="69" t="str">
        <x:v>1,500</x:v>
      </x:c>
      <x:c r="O633" s="71" t="str">
        <x:v>文件未載明</x:v>
      </x:c>
      <x:c r="P633" s="71" t="str">
        <x:v>HTML table 3 row 6</x:v>
      </x:c>
      <x:c r="Q633" s="71" t="str">
        <x:v>| 盤內器材組裝工資 | 式 | 1 | 1,500 | 1,500 |</x:v>
      </x:c>
      <x:c r="R633" s="71" t="str">
        <x:v>各廠商合約&amp; 報價\MD檔案\20251016電箱報價單回傳.md</x:v>
      </x:c>
    </x:row>
    <x:row r="634">
      <x:c r="A634" s="69" t="str">
        <x:v>ITEM00630</x:v>
      </x:c>
      <x:c r="B634" s="69" t="str">
        <x:v>SRC042</x:v>
      </x:c>
      <x:c r="C634" s="69" t="str">
        <x:v>2025-2026</x:v>
      </x:c>
      <x:c r="D634" s="69" t="str">
        <x:v>detail</x:v>
      </x:c>
      <x:c r="E634" s="69" t="str">
        <x:v>8</x:v>
      </x:c>
      <x:c r="F634" s="71" t="str">
        <x:v>8</x:v>
      </x:c>
      <x:c r="G634" s="71" t="str">
        <x:v>文件未載明</x:v>
      </x:c>
      <x:c r="H634" s="71" t="str">
        <x:v>文件未載明</x:v>
      </x:c>
      <x:c r="I634" s="72"/>
      <x:c r="J634" s="69" t="str">
        <x:v>文件未載明</x:v>
      </x:c>
      <x:c r="K634" s="70"/>
      <x:c r="L634" s="69" t="str">
        <x:v>文件未載明</x:v>
      </x:c>
      <x:c r="M634" s="70"/>
      <x:c r="N634" s="69" t="str">
        <x:v>文件未載明</x:v>
      </x:c>
      <x:c r="O634" s="71" t="str">
        <x:v>文件未載明</x:v>
      </x:c>
      <x:c r="P634" s="71" t="str">
        <x:v>HTML table 3 row 7</x:v>
      </x:c>
      <x:c r="Q634" s="71" t="str">
        <x:v>8 | 1P&amp;1R PANEL 屋內明暗配電箱(中門、上下盤)3φ3W 220V、3φ4W 190/110V | | | | |</x:v>
      </x:c>
      <x:c r="R634" s="71" t="str">
        <x:v>各廠商合約&amp; 報價\MD檔案\20251016電箱報價單回傳.md</x:v>
      </x:c>
    </x:row>
    <x:row r="635">
      <x:c r="A635" s="69" t="str">
        <x:v>ITEM00631</x:v>
      </x:c>
      <x:c r="B635" s="69" t="str">
        <x:v>SRC042</x:v>
      </x:c>
      <x:c r="C635" s="69" t="str">
        <x:v>2025-2026</x:v>
      </x:c>
      <x:c r="D635" s="69" t="str">
        <x:v>detail</x:v>
      </x:c>
      <x:c r="E635" s="69" t="str">
        <x:v>文件未載明</x:v>
      </x:c>
      <x:c r="F635" s="71" t="str">
        <x:v>黑鐵烤漆 t=1.6mm</x:v>
      </x:c>
      <x:c r="G635" s="71" t="str">
        <x:v>文件未載明</x:v>
      </x:c>
      <x:c r="H635" s="71" t="str">
        <x:v>文件未載明</x:v>
      </x:c>
      <x:c r="I635" s="72"/>
      <x:c r="J635" s="69" t="str">
        <x:v>文件未載明</x:v>
      </x:c>
      <x:c r="K635" s="70"/>
      <x:c r="L635" s="69" t="str">
        <x:v>文件未載明</x:v>
      </x:c>
      <x:c r="M635" s="70"/>
      <x:c r="N635" s="69" t="str">
        <x:v>文件未載明</x:v>
      </x:c>
      <x:c r="O635" s="71" t="str">
        <x:v>文件未載明</x:v>
      </x:c>
      <x:c r="P635" s="71" t="str">
        <x:v>HTML table 3 row 8</x:v>
      </x:c>
      <x:c r="Q635" s="71" t="str">
        <x:v>| 黑鐵烤漆 t=1.6mm | | | | |</x:v>
      </x:c>
      <x:c r="R635" s="71" t="str">
        <x:v>各廠商合約&amp; 報價\MD檔案\20251016電箱報價單回傳.md</x:v>
      </x:c>
    </x:row>
    <x:row r="636">
      <x:c r="A636" s="69" t="str">
        <x:v>ITEM00632</x:v>
      </x:c>
      <x:c r="B636" s="69" t="str">
        <x:v>SRC042</x:v>
      </x:c>
      <x:c r="C636" s="69" t="str">
        <x:v>2025-2026</x:v>
      </x:c>
      <x:c r="D636" s="69" t="str">
        <x:v>detail</x:v>
      </x:c>
      <x:c r="E636" s="69" t="str">
        <x:v>文件未載明</x:v>
      </x:c>
      <x:c r="F636" s="71" t="str">
        <x:v>CASE:580W × (900+500)H × 200D</x:v>
      </x:c>
      <x:c r="G636" s="71" t="str">
        <x:v>文件未載明</x:v>
      </x:c>
      <x:c r="H636" s="71" t="str">
        <x:v>只</x:v>
      </x:c>
      <x:c r="I636" s="72" t="n">
        <x:v>1</x:v>
      </x:c>
      <x:c r="J636" s="69" t="str">
        <x:v>1</x:v>
      </x:c>
      <x:c r="K636" s="70" t="n">
        <x:v>12000</x:v>
      </x:c>
      <x:c r="L636" s="69" t="str">
        <x:v>12,000</x:v>
      </x:c>
      <x:c r="M636" s="70" t="n">
        <x:v>12000</x:v>
      </x:c>
      <x:c r="N636" s="69" t="str">
        <x:v>12,000</x:v>
      </x:c>
      <x:c r="O636" s="71" t="str">
        <x:v>文件未載明</x:v>
      </x:c>
      <x:c r="P636" s="71" t="str">
        <x:v>HTML table 3 row 9</x:v>
      </x:c>
      <x:c r="Q636" s="71" t="str">
        <x:v>| CASE:580W × (900+500)H × 200D | 只 | 1 | 12,000 | 12,000 |</x:v>
      </x:c>
      <x:c r="R636" s="71" t="str">
        <x:v>各廠商合約&amp; 報價\MD檔案\20251016電箱報價單回傳.md</x:v>
      </x:c>
    </x:row>
    <x:row r="637">
      <x:c r="A637" s="69" t="str">
        <x:v>ITEM00633</x:v>
      </x:c>
      <x:c r="B637" s="69" t="str">
        <x:v>SRC042</x:v>
      </x:c>
      <x:c r="C637" s="69" t="str">
        <x:v>2025-2026</x:v>
      </x:c>
      <x:c r="D637" s="69" t="str">
        <x:v>detail</x:v>
      </x:c>
      <x:c r="E637" s="69" t="str">
        <x:v>1P</x:v>
      </x:c>
      <x:c r="F637" s="71" t="str">
        <x:v>1P</x:v>
      </x:c>
      <x:c r="G637" s="71" t="str">
        <x:v>文件未載明</x:v>
      </x:c>
      <x:c r="H637" s="71" t="str">
        <x:v>只</x:v>
      </x:c>
      <x:c r="I637" s="72" t="n">
        <x:v>1</x:v>
      </x:c>
      <x:c r="J637" s="69" t="str">
        <x:v>1</x:v>
      </x:c>
      <x:c r="K637" s="70" t="n">
        <x:v>858</x:v>
      </x:c>
      <x:c r="L637" s="69" t="str">
        <x:v>858</x:v>
      </x:c>
      <x:c r="M637" s="70" t="n">
        <x:v>858</x:v>
      </x:c>
      <x:c r="N637" s="69" t="str">
        <x:v>858</x:v>
      </x:c>
      <x:c r="O637" s="71" t="str">
        <x:v>士林</x:v>
      </x:c>
      <x:c r="P637" s="71" t="str">
        <x:v>HTML table 3 row 10</x:v>
      </x:c>
      <x:c r="Q637" s="71" t="str">
        <x:v>1P | NFB 3P 100/40A 220V/15KA 100-SN | 只 | 1 | 858 | 858 | 士林</x:v>
      </x:c>
      <x:c r="R637" s="71" t="str">
        <x:v>各廠商合約&amp; 報價\MD檔案\20251016電箱報價單回傳.md</x:v>
      </x:c>
    </x:row>
    <x:row r="638">
      <x:c r="A638" s="69" t="str">
        <x:v>ITEM00634</x:v>
      </x:c>
      <x:c r="B638" s="69" t="str">
        <x:v>SRC042</x:v>
      </x:c>
      <x:c r="C638" s="69" t="str">
        <x:v>2025-2026</x:v>
      </x:c>
      <x:c r="D638" s="69" t="str">
        <x:v>detail</x:v>
      </x:c>
      <x:c r="E638" s="69" t="str">
        <x:v>文件未載明</x:v>
      </x:c>
      <x:c r="F638" s="71" t="str">
        <x:v>NFB 3P 100/30A 220V/15KA 100-SN</x:v>
      </x:c>
      <x:c r="G638" s="71" t="str">
        <x:v>文件未載明</x:v>
      </x:c>
      <x:c r="H638" s="71" t="str">
        <x:v>只</x:v>
      </x:c>
      <x:c r="I638" s="72" t="n">
        <x:v>1</x:v>
      </x:c>
      <x:c r="J638" s="69" t="str">
        <x:v>1</x:v>
      </x:c>
      <x:c r="K638" s="70" t="n">
        <x:v>858</x:v>
      </x:c>
      <x:c r="L638" s="69" t="str">
        <x:v>858</x:v>
      </x:c>
      <x:c r="M638" s="70" t="n">
        <x:v>858</x:v>
      </x:c>
      <x:c r="N638" s="69" t="str">
        <x:v>858</x:v>
      </x:c>
      <x:c r="O638" s="71" t="str">
        <x:v>士林</x:v>
      </x:c>
      <x:c r="P638" s="71" t="str">
        <x:v>HTML table 3 row 11</x:v>
      </x:c>
      <x:c r="Q638" s="71" t="str">
        <x:v>| NFB 3P 100/30A 220V/15KA 100-SN | 只 | 1 | 858 | 858 | 士林</x:v>
      </x:c>
      <x:c r="R638" s="71" t="str">
        <x:v>各廠商合約&amp; 報價\MD檔案\20251016電箱報價單回傳.md</x:v>
      </x:c>
    </x:row>
    <x:row r="639">
      <x:c r="A639" s="69" t="str">
        <x:v>ITEM00635</x:v>
      </x:c>
      <x:c r="B639" s="69" t="str">
        <x:v>SRC042</x:v>
      </x:c>
      <x:c r="C639" s="69" t="str">
        <x:v>2025-2026</x:v>
      </x:c>
      <x:c r="D639" s="69" t="str">
        <x:v>detail</x:v>
      </x:c>
      <x:c r="E639" s="69" t="str">
        <x:v>文件未載明</x:v>
      </x:c>
      <x:c r="F639" s="71" t="str">
        <x:v>NFB 3P 100/20A 220V/15KA 100-SN</x:v>
      </x:c>
      <x:c r="G639" s="71" t="str">
        <x:v>文件未載明</x:v>
      </x:c>
      <x:c r="H639" s="71" t="str">
        <x:v>只</x:v>
      </x:c>
      <x:c r="I639" s="72" t="n">
        <x:v>1</x:v>
      </x:c>
      <x:c r="J639" s="69" t="str">
        <x:v>1</x:v>
      </x:c>
      <x:c r="K639" s="70" t="n">
        <x:v>858</x:v>
      </x:c>
      <x:c r="L639" s="69" t="str">
        <x:v>858</x:v>
      </x:c>
      <x:c r="M639" s="70" t="n">
        <x:v>858</x:v>
      </x:c>
      <x:c r="N639" s="69" t="str">
        <x:v>858</x:v>
      </x:c>
      <x:c r="O639" s="71" t="str">
        <x:v>士林</x:v>
      </x:c>
      <x:c r="P639" s="71" t="str">
        <x:v>HTML table 3 row 12</x:v>
      </x:c>
      <x:c r="Q639" s="71" t="str">
        <x:v>| NFB 3P 100/20A 220V/15KA 100-SN | 只 | 1 | 858 | 858 | 士林</x:v>
      </x:c>
      <x:c r="R639" s="71" t="str">
        <x:v>各廠商合約&amp; 報價\MD檔案\20251016電箱報價單回傳.md</x:v>
      </x:c>
    </x:row>
    <x:row r="640">
      <x:c r="A640" s="69" t="str">
        <x:v>ITEM00636</x:v>
      </x:c>
      <x:c r="B640" s="69" t="str">
        <x:v>SRC042</x:v>
      </x:c>
      <x:c r="C640" s="69" t="str">
        <x:v>2025-2026</x:v>
      </x:c>
      <x:c r="D640" s="69" t="str">
        <x:v>detail</x:v>
      </x:c>
      <x:c r="E640" s="69" t="str">
        <x:v>文件未載明</x:v>
      </x:c>
      <x:c r="F640" s="71" t="str">
        <x:v>NFB 2P 50/15A 220V/15KA BHH</x:v>
      </x:c>
      <x:c r="G640" s="71" t="str">
        <x:v>文件未載明</x:v>
      </x:c>
      <x:c r="H640" s="71" t="str">
        <x:v>只</x:v>
      </x:c>
      <x:c r="I640" s="72" t="n">
        <x:v>2</x:v>
      </x:c>
      <x:c r="J640" s="69" t="str">
        <x:v>2</x:v>
      </x:c>
      <x:c r="K640" s="70" t="n">
        <x:v>340</x:v>
      </x:c>
      <x:c r="L640" s="69" t="str">
        <x:v>340</x:v>
      </x:c>
      <x:c r="M640" s="70" t="n">
        <x:v>680</x:v>
      </x:c>
      <x:c r="N640" s="69" t="str">
        <x:v>680</x:v>
      </x:c>
      <x:c r="O640" s="71" t="str">
        <x:v>士林</x:v>
      </x:c>
      <x:c r="P640" s="71" t="str">
        <x:v>HTML table 3 row 13</x:v>
      </x:c>
      <x:c r="Q640" s="71" t="str">
        <x:v>| NFB 2P 50/15A 220V/15KA BHH | 只 | 2 | 340 | 680 | 士林</x:v>
      </x:c>
      <x:c r="R640" s="71" t="str">
        <x:v>各廠商合約&amp; 報價\MD檔案\20251016電箱報價單回傳.md</x:v>
      </x:c>
    </x:row>
    <x:row r="641">
      <x:c r="A641" s="69" t="str">
        <x:v>ITEM00637</x:v>
      </x:c>
      <x:c r="B641" s="69" t="str">
        <x:v>SRC042</x:v>
      </x:c>
      <x:c r="C641" s="69" t="str">
        <x:v>2025-2026</x:v>
      </x:c>
      <x:c r="D641" s="69" t="str">
        <x:v>detail</x:v>
      </x:c>
      <x:c r="E641" s="69" t="str">
        <x:v>文件未載明</x:v>
      </x:c>
      <x:c r="F641" s="71" t="str">
        <x:v>ELCB 2P 50/20A 220V/15KA NVB-50HS</x:v>
      </x:c>
      <x:c r="G641" s="71" t="str">
        <x:v>文件未載明</x:v>
      </x:c>
      <x:c r="H641" s="71" t="str">
        <x:v>只</x:v>
      </x:c>
      <x:c r="I641" s="72" t="n">
        <x:v>1</x:v>
      </x:c>
      <x:c r="J641" s="69" t="str">
        <x:v>1</x:v>
      </x:c>
      <x:c r="K641" s="70" t="n">
        <x:v>1010</x:v>
      </x:c>
      <x:c r="L641" s="69" t="str">
        <x:v>1,010</x:v>
      </x:c>
      <x:c r="M641" s="70" t="n">
        <x:v>1010</x:v>
      </x:c>
      <x:c r="N641" s="69" t="str">
        <x:v>1,010</x:v>
      </x:c>
      <x:c r="O641" s="71" t="str">
        <x:v>士林</x:v>
      </x:c>
      <x:c r="P641" s="71" t="str">
        <x:v>HTML table 3 row 14</x:v>
      </x:c>
      <x:c r="Q641" s="71" t="str">
        <x:v>| ELCB 2P 50/20A 220V/15KA NVB-50HS | 只 | 1 | 1,010 | 1,010 | 士林</x:v>
      </x:c>
      <x:c r="R641" s="71" t="str">
        <x:v>各廠商合約&amp; 報價\MD檔案\20251016電箱報價單回傳.md</x:v>
      </x:c>
    </x:row>
    <x:row r="642">
      <x:c r="A642" s="69" t="str">
        <x:v>ITEM00638</x:v>
      </x:c>
      <x:c r="B642" s="69" t="str">
        <x:v>SRC042</x:v>
      </x:c>
      <x:c r="C642" s="69" t="str">
        <x:v>2025-2026</x:v>
      </x:c>
      <x:c r="D642" s="69" t="str">
        <x:v>detail</x:v>
      </x:c>
      <x:c r="E642" s="69" t="str">
        <x:v>文件未載明</x:v>
      </x:c>
      <x:c r="F642" s="71" t="str">
        <x:v>ELCB 2P 50/15A 220V/15KA NVB-50HS</x:v>
      </x:c>
      <x:c r="G642" s="71" t="str">
        <x:v>文件未載明</x:v>
      </x:c>
      <x:c r="H642" s="71" t="str">
        <x:v>只</x:v>
      </x:c>
      <x:c r="I642" s="72" t="n">
        <x:v>1</x:v>
      </x:c>
      <x:c r="J642" s="69" t="str">
        <x:v>1</x:v>
      </x:c>
      <x:c r="K642" s="70" t="n">
        <x:v>1010</x:v>
      </x:c>
      <x:c r="L642" s="69" t="str">
        <x:v>1,010</x:v>
      </x:c>
      <x:c r="M642" s="70" t="n">
        <x:v>1010</x:v>
      </x:c>
      <x:c r="N642" s="69" t="str">
        <x:v>1,010</x:v>
      </x:c>
      <x:c r="O642" s="71" t="str">
        <x:v>士林</x:v>
      </x:c>
      <x:c r="P642" s="71" t="str">
        <x:v>HTML table 3 row 15</x:v>
      </x:c>
      <x:c r="Q642" s="71" t="str">
        <x:v>| ELCB 2P 50/15A 220V/15KA NVB-50HS | 只 | 1 | 1,010 | 1,010 | 士林</x:v>
      </x:c>
      <x:c r="R642" s="71" t="str">
        <x:v>各廠商合約&amp; 報價\MD檔案\20251016電箱報價單回傳.md</x:v>
      </x:c>
    </x:row>
    <x:row r="643">
      <x:c r="A643" s="69" t="str">
        <x:v>ITEM00639</x:v>
      </x:c>
      <x:c r="B643" s="69" t="str">
        <x:v>SRC042</x:v>
      </x:c>
      <x:c r="C643" s="69" t="str">
        <x:v>2025-2026</x:v>
      </x:c>
      <x:c r="D643" s="69" t="str">
        <x:v>detail</x:v>
      </x:c>
      <x:c r="E643" s="69" t="str">
        <x:v>文件未載明</x:v>
      </x:c>
      <x:c r="F643" s="71" t="str">
        <x:v>MC S-P16</x:v>
      </x:c>
      <x:c r="G643" s="71" t="str">
        <x:v>文件未載明</x:v>
      </x:c>
      <x:c r="H643" s="71" t="str">
        <x:v>只</x:v>
      </x:c>
      <x:c r="I643" s="72" t="n">
        <x:v>2</x:v>
      </x:c>
      <x:c r="J643" s="69" t="str">
        <x:v>2</x:v>
      </x:c>
      <x:c r="K643" s="70" t="n">
        <x:v>330</x:v>
      </x:c>
      <x:c r="L643" s="69" t="str">
        <x:v>330</x:v>
      </x:c>
      <x:c r="M643" s="70" t="n">
        <x:v>660</x:v>
      </x:c>
      <x:c r="N643" s="69" t="str">
        <x:v>660</x:v>
      </x:c>
      <x:c r="O643" s="71" t="str">
        <x:v>士林</x:v>
      </x:c>
      <x:c r="P643" s="71" t="str">
        <x:v>HTML table 3 row 16</x:v>
      </x:c>
      <x:c r="Q643" s="71" t="str">
        <x:v>| MC S-P16 | 只 | 2 | 330 | 660 | 士林</x:v>
      </x:c>
      <x:c r="R643" s="71" t="str">
        <x:v>各廠商合約&amp; 報價\MD檔案\20251016電箱報價單回傳.md</x:v>
      </x:c>
    </x:row>
    <x:row r="644">
      <x:c r="A644" s="69" t="str">
        <x:v>ITEM00640</x:v>
      </x:c>
      <x:c r="B644" s="69" t="str">
        <x:v>SRC042</x:v>
      </x:c>
      <x:c r="C644" s="69" t="str">
        <x:v>2025-2026</x:v>
      </x:c>
      <x:c r="D644" s="69" t="str">
        <x:v>detail</x:v>
      </x:c>
      <x:c r="E644" s="69" t="str">
        <x:v>文件未載明</x:v>
      </x:c>
      <x:c r="F644" s="71" t="str">
        <x:v>TIMER(24H) TB35809NT6</x:v>
      </x:c>
      <x:c r="G644" s="71" t="str">
        <x:v>文件未載明</x:v>
      </x:c>
      <x:c r="H644" s="71" t="str">
        <x:v>只</x:v>
      </x:c>
      <x:c r="I644" s="72" t="n">
        <x:v>1</x:v>
      </x:c>
      <x:c r="J644" s="69" t="str">
        <x:v>1</x:v>
      </x:c>
      <x:c r="K644" s="70" t="n">
        <x:v>1200</x:v>
      </x:c>
      <x:c r="L644" s="69" t="str">
        <x:v>1,200</x:v>
      </x:c>
      <x:c r="M644" s="70" t="n">
        <x:v>1200</x:v>
      </x:c>
      <x:c r="N644" s="69" t="str">
        <x:v>1,200</x:v>
      </x:c>
      <x:c r="O644" s="71" t="str">
        <x:v>Panasonic</x:v>
      </x:c>
      <x:c r="P644" s="71" t="str">
        <x:v>HTML table 3 row 17</x:v>
      </x:c>
      <x:c r="Q644" s="71" t="str">
        <x:v>| TIMER(24H) TB35809NT6 | 只 | 1 | 1,200 | 1,200 | Panasonic</x:v>
      </x:c>
      <x:c r="R644" s="71" t="str">
        <x:v>各廠商合約&amp; 報價\MD檔案\20251016電箱報價單回傳.md</x:v>
      </x:c>
    </x:row>
    <x:row r="645">
      <x:c r="A645" s="69" t="str">
        <x:v>ITEM00641</x:v>
      </x:c>
      <x:c r="B645" s="69" t="str">
        <x:v>SRC042</x:v>
      </x:c>
      <x:c r="C645" s="69" t="str">
        <x:v>2025-2026</x:v>
      </x:c>
      <x:c r="D645" s="69" t="str">
        <x:v>detail</x:v>
      </x:c>
      <x:c r="E645" s="69" t="str">
        <x:v>文件未載明</x:v>
      </x:c>
      <x:c r="F645" s="71" t="str">
        <x:v>壓克力銘牌(含迴路銘牌)</x:v>
      </x:c>
      <x:c r="G645" s="71" t="str">
        <x:v>文件未載明</x:v>
      </x:c>
      <x:c r="H645" s="71" t="str">
        <x:v>式</x:v>
      </x:c>
      <x:c r="I645" s="72" t="n">
        <x:v>1</x:v>
      </x:c>
      <x:c r="J645" s="69" t="str">
        <x:v>1</x:v>
      </x:c>
      <x:c r="K645" s="70" t="n">
        <x:v>650</x:v>
      </x:c>
      <x:c r="L645" s="69" t="str">
        <x:v>650</x:v>
      </x:c>
      <x:c r="M645" s="70" t="n">
        <x:v>650</x:v>
      </x:c>
      <x:c r="N645" s="69" t="str">
        <x:v>650</x:v>
      </x:c>
      <x:c r="O645" s="71" t="str">
        <x:v>文件未載明</x:v>
      </x:c>
      <x:c r="P645" s="71" t="str">
        <x:v>HTML table 3 row 18</x:v>
      </x:c>
      <x:c r="Q645" s="71" t="str">
        <x:v>| 壓克力銘牌(含迴路銘牌) | 式 | 1 | 650 | 650 |</x:v>
      </x:c>
      <x:c r="R645" s="71" t="str">
        <x:v>各廠商合約&amp; 報價\MD檔案\20251016電箱報價單回傳.md</x:v>
      </x:c>
    </x:row>
    <x:row r="646">
      <x:c r="A646" s="69" t="str">
        <x:v>ITEM00642</x:v>
      </x:c>
      <x:c r="B646" s="69" t="str">
        <x:v>SRC042</x:v>
      </x:c>
      <x:c r="C646" s="69" t="str">
        <x:v>2025-2026</x:v>
      </x:c>
      <x:c r="D646" s="69" t="str">
        <x:v>detail</x:v>
      </x:c>
      <x:c r="E646" s="69" t="str">
        <x:v>文件未載明</x:v>
      </x:c>
      <x:c r="F646" s="71" t="str">
        <x:v>CU BUS BAR &amp;另料</x:v>
      </x:c>
      <x:c r="G646" s="71" t="str">
        <x:v>文件未載明</x:v>
      </x:c>
      <x:c r="H646" s="71" t="str">
        <x:v>式</x:v>
      </x:c>
      <x:c r="I646" s="72" t="n">
        <x:v>1</x:v>
      </x:c>
      <x:c r="J646" s="69" t="str">
        <x:v>1</x:v>
      </x:c>
      <x:c r="K646" s="70" t="n">
        <x:v>2000</x:v>
      </x:c>
      <x:c r="L646" s="69" t="str">
        <x:v>2,000</x:v>
      </x:c>
      <x:c r="M646" s="70" t="n">
        <x:v>2000</x:v>
      </x:c>
      <x:c r="N646" s="69" t="str">
        <x:v>2,000</x:v>
      </x:c>
      <x:c r="O646" s="71" t="str">
        <x:v>文件未載明</x:v>
      </x:c>
      <x:c r="P646" s="71" t="str">
        <x:v>HTML table 3 row 19</x:v>
      </x:c>
      <x:c r="Q646" s="71" t="str">
        <x:v>| CU BUS BAR &amp;另料 | 式 | 1 | 2,000 | 2,000 |</x:v>
      </x:c>
      <x:c r="R646" s="71" t="str">
        <x:v>各廠商合約&amp; 報價\MD檔案\20251016電箱報價單回傳.md</x:v>
      </x:c>
    </x:row>
    <x:row r="647">
      <x:c r="A647" s="69" t="str">
        <x:v>ITEM00643</x:v>
      </x:c>
      <x:c r="B647" s="69" t="str">
        <x:v>SRC042</x:v>
      </x:c>
      <x:c r="C647" s="69" t="str">
        <x:v>2025-2026</x:v>
      </x:c>
      <x:c r="D647" s="69" t="str">
        <x:v>detail</x:v>
      </x:c>
      <x:c r="E647" s="69" t="str">
        <x:v>文件未載明</x:v>
      </x:c>
      <x:c r="F647" s="71" t="str">
        <x:v>PVC電線、端子、色套等五金另料</x:v>
      </x:c>
      <x:c r="G647" s="71" t="str">
        <x:v>文件未載明</x:v>
      </x:c>
      <x:c r="H647" s="71" t="str">
        <x:v>式</x:v>
      </x:c>
      <x:c r="I647" s="72" t="n">
        <x:v>1</x:v>
      </x:c>
      <x:c r="J647" s="69" t="str">
        <x:v>1</x:v>
      </x:c>
      <x:c r="K647" s="70" t="n">
        <x:v>1050</x:v>
      </x:c>
      <x:c r="L647" s="69" t="str">
        <x:v>1,050</x:v>
      </x:c>
      <x:c r="M647" s="70" t="n">
        <x:v>1050</x:v>
      </x:c>
      <x:c r="N647" s="69" t="str">
        <x:v>1,050</x:v>
      </x:c>
      <x:c r="O647" s="71" t="str">
        <x:v>文件未載明</x:v>
      </x:c>
      <x:c r="P647" s="71" t="str">
        <x:v>HTML table 3 row 20</x:v>
      </x:c>
      <x:c r="Q647" s="71" t="str">
        <x:v>| PVC電線、端子、色套等五金另料 | 式 | 1 | 1,050 | 1,050 |</x:v>
      </x:c>
      <x:c r="R647" s="71" t="str">
        <x:v>各廠商合約&amp; 報價\MD檔案\20251016電箱報價單回傳.md</x:v>
      </x:c>
    </x:row>
    <x:row r="648">
      <x:c r="A648" s="69" t="str">
        <x:v>ITEM00644</x:v>
      </x:c>
      <x:c r="B648" s="69" t="str">
        <x:v>SRC042</x:v>
      </x:c>
      <x:c r="C648" s="69" t="str">
        <x:v>2025-2026</x:v>
      </x:c>
      <x:c r="D648" s="69" t="str">
        <x:v>detail</x:v>
      </x:c>
      <x:c r="E648" s="69" t="str">
        <x:v>文件未載明</x:v>
      </x:c>
      <x:c r="F648" s="71" t="str">
        <x:v>盤內器材組裝工資</x:v>
      </x:c>
      <x:c r="G648" s="71" t="str">
        <x:v>文件未載明</x:v>
      </x:c>
      <x:c r="H648" s="71" t="str">
        <x:v>式</x:v>
      </x:c>
      <x:c r="I648" s="72" t="n">
        <x:v>1</x:v>
      </x:c>
      <x:c r="J648" s="69" t="str">
        <x:v>1</x:v>
      </x:c>
      <x:c r="K648" s="70" t="n">
        <x:v>3500</x:v>
      </x:c>
      <x:c r="L648" s="69" t="str">
        <x:v>3,500</x:v>
      </x:c>
      <x:c r="M648" s="70" t="n">
        <x:v>3500</x:v>
      </x:c>
      <x:c r="N648" s="69" t="str">
        <x:v>3,500</x:v>
      </x:c>
      <x:c r="O648" s="71" t="str">
        <x:v>文件未載明</x:v>
      </x:c>
      <x:c r="P648" s="71" t="str">
        <x:v>HTML table 3 row 21</x:v>
      </x:c>
      <x:c r="Q648" s="71" t="str">
        <x:v>| 盤內器材組裝工資 | 式 | 1 | 3,500 | 3,500 |</x:v>
      </x:c>
      <x:c r="R648" s="71" t="str">
        <x:v>各廠商合約&amp; 報價\MD檔案\20251016電箱報價單回傳.md</x:v>
      </x:c>
    </x:row>
    <x:row r="649">
      <x:c r="A649" s="69" t="str">
        <x:v>ITEM00645</x:v>
      </x:c>
      <x:c r="B649" s="69" t="str">
        <x:v>SRC042</x:v>
      </x:c>
      <x:c r="C649" s="69" t="str">
        <x:v>2025-2026</x:v>
      </x:c>
      <x:c r="D649" s="69" t="str">
        <x:v>detail</x:v>
      </x:c>
      <x:c r="E649" s="69" t="str">
        <x:v>1R</x:v>
      </x:c>
      <x:c r="F649" s="71" t="str">
        <x:v>1R</x:v>
      </x:c>
      <x:c r="G649" s="71" t="str">
        <x:v>文件未載明</x:v>
      </x:c>
      <x:c r="H649" s="71" t="str">
        <x:v>只</x:v>
      </x:c>
      <x:c r="I649" s="72" t="n">
        <x:v>1</x:v>
      </x:c>
      <x:c r="J649" s="69" t="str">
        <x:v>1</x:v>
      </x:c>
      <x:c r="K649" s="70" t="n">
        <x:v>485</x:v>
      </x:c>
      <x:c r="L649" s="69" t="str">
        <x:v>485</x:v>
      </x:c>
      <x:c r="M649" s="70" t="n">
        <x:v>485</x:v>
      </x:c>
      <x:c r="N649" s="69" t="str">
        <x:v>485</x:v>
      </x:c>
      <x:c r="O649" s="71" t="str">
        <x:v>士林</x:v>
      </x:c>
      <x:c r="P649" s="71" t="str">
        <x:v>HTML table 3 row 22</x:v>
      </x:c>
      <x:c r="Q649" s="71" t="str">
        <x:v>1R | NFB 3P 50/20A 220V/10KA BHU | 只 | 1 | 485 | 485 | 士林</x:v>
      </x:c>
      <x:c r="R649" s="71" t="str">
        <x:v>各廠商合約&amp; 報價\MD檔案\20251016電箱報價單回傳.md</x:v>
      </x:c>
    </x:row>
    <x:row r="650">
      <x:c r="A650" s="69" t="str">
        <x:v>ITEM00646</x:v>
      </x:c>
      <x:c r="B650" s="69" t="str">
        <x:v>SRC042</x:v>
      </x:c>
      <x:c r="C650" s="69" t="str">
        <x:v>2025-2026</x:v>
      </x:c>
      <x:c r="D650" s="69" t="str">
        <x:v>detail</x:v>
      </x:c>
      <x:c r="E650" s="69" t="str">
        <x:v>文件未載明</x:v>
      </x:c>
      <x:c r="F650" s="71" t="str">
        <x:v>NFB 1P 50/15A 110V/10KA BHU</x:v>
      </x:c>
      <x:c r="G650" s="71" t="str">
        <x:v>文件未載明</x:v>
      </x:c>
      <x:c r="H650" s="71" t="str">
        <x:v>只</x:v>
      </x:c>
      <x:c r="I650" s="72" t="n">
        <x:v>2</x:v>
      </x:c>
      <x:c r="J650" s="69" t="str">
        <x:v>2</x:v>
      </x:c>
      <x:c r="K650" s="70" t="n">
        <x:v>102</x:v>
      </x:c>
      <x:c r="L650" s="69" t="str">
        <x:v>102</x:v>
      </x:c>
      <x:c r="M650" s="70" t="n">
        <x:v>204</x:v>
      </x:c>
      <x:c r="N650" s="69" t="str">
        <x:v>204</x:v>
      </x:c>
      <x:c r="O650" s="71" t="str">
        <x:v>士林</x:v>
      </x:c>
      <x:c r="P650" s="71" t="str">
        <x:v>HTML table 3 row 23</x:v>
      </x:c>
      <x:c r="Q650" s="71" t="str">
        <x:v>| NFB 1P 50/15A 110V/10KA BHU | 只 | 2 | 102 | 204 | 士林</x:v>
      </x:c>
      <x:c r="R650" s="71" t="str">
        <x:v>各廠商合約&amp; 報價\MD檔案\20251016電箱報價單回傳.md</x:v>
      </x:c>
    </x:row>
    <x:row r="651">
      <x:c r="A651" s="69" t="str">
        <x:v>ITEM00647</x:v>
      </x:c>
      <x:c r="B651" s="69" t="str">
        <x:v>SRC042</x:v>
      </x:c>
      <x:c r="C651" s="69" t="str">
        <x:v>2025-2026</x:v>
      </x:c>
      <x:c r="D651" s="69" t="str">
        <x:v>detail</x:v>
      </x:c>
      <x:c r="E651" s="69" t="str">
        <x:v>文件未載明</x:v>
      </x:c>
      <x:c r="F651" s="71" t="str">
        <x:v>ELCB 1P 50/15A 110V/10KA NVB-50UL</x:v>
      </x:c>
      <x:c r="G651" s="71" t="str">
        <x:v>文件未載明</x:v>
      </x:c>
      <x:c r="H651" s="71" t="str">
        <x:v>只</x:v>
      </x:c>
      <x:c r="I651" s="72" t="n">
        <x:v>4</x:v>
      </x:c>
      <x:c r="J651" s="69" t="str">
        <x:v>4</x:v>
      </x:c>
      <x:c r="K651" s="70" t="n">
        <x:v>403</x:v>
      </x:c>
      <x:c r="L651" s="69" t="str">
        <x:v>403</x:v>
      </x:c>
      <x:c r="M651" s="70" t="n">
        <x:v>1612</x:v>
      </x:c>
      <x:c r="N651" s="69" t="str">
        <x:v>1,612</x:v>
      </x:c>
      <x:c r="O651" s="71" t="str">
        <x:v>士林</x:v>
      </x:c>
      <x:c r="P651" s="71" t="str">
        <x:v>HTML table 3 row 24</x:v>
      </x:c>
      <x:c r="Q651" s="71" t="str">
        <x:v>| ELCB 1P 50/15A 110V/10KA NVB-50UL | 只 | 4 | 403 | 1,612 | 士林</x:v>
      </x:c>
      <x:c r="R651" s="71" t="str">
        <x:v>各廠商合約&amp; 報價\MD檔案\20251016電箱報價單回傳.md</x:v>
      </x:c>
    </x:row>
    <x:row r="652">
      <x:c r="A652" s="69" t="str">
        <x:v>ITEM00648</x:v>
      </x:c>
      <x:c r="B652" s="69" t="str">
        <x:v>SRC042</x:v>
      </x:c>
      <x:c r="C652" s="69" t="str">
        <x:v>2025-2026</x:v>
      </x:c>
      <x:c r="D652" s="69" t="str">
        <x:v>detail</x:v>
      </x:c>
      <x:c r="E652" s="69" t="str">
        <x:v>文件未載明</x:v>
      </x:c>
      <x:c r="F652" s="71" t="str">
        <x:v>壓克力銘牌(含迴路銘牌)</x:v>
      </x:c>
      <x:c r="G652" s="71" t="str">
        <x:v>文件未載明</x:v>
      </x:c>
      <x:c r="H652" s="71" t="str">
        <x:v>式</x:v>
      </x:c>
      <x:c r="I652" s="72" t="n">
        <x:v>1</x:v>
      </x:c>
      <x:c r="J652" s="69" t="str">
        <x:v>1</x:v>
      </x:c>
      <x:c r="K652" s="70" t="n">
        <x:v>650</x:v>
      </x:c>
      <x:c r="L652" s="69" t="str">
        <x:v>650</x:v>
      </x:c>
      <x:c r="M652" s="70" t="n">
        <x:v>650</x:v>
      </x:c>
      <x:c r="N652" s="69" t="str">
        <x:v>650</x:v>
      </x:c>
      <x:c r="O652" s="71" t="str">
        <x:v>文件未載明</x:v>
      </x:c>
      <x:c r="P652" s="71" t="str">
        <x:v>HTML table 3 row 25</x:v>
      </x:c>
      <x:c r="Q652" s="71" t="str">
        <x:v>| 壓克力銘牌(含迴路銘牌) | 式 | 1 | 650 | 650 |</x:v>
      </x:c>
      <x:c r="R652" s="71" t="str">
        <x:v>各廠商合約&amp; 報價\MD檔案\20251016電箱報價單回傳.md</x:v>
      </x:c>
    </x:row>
    <x:row r="653">
      <x:c r="A653" s="69" t="str">
        <x:v>ITEM00649</x:v>
      </x:c>
      <x:c r="B653" s="69" t="str">
        <x:v>SRC042</x:v>
      </x:c>
      <x:c r="C653" s="69" t="str">
        <x:v>2025-2026</x:v>
      </x:c>
      <x:c r="D653" s="69" t="str">
        <x:v>detail</x:v>
      </x:c>
      <x:c r="E653" s="69" t="str">
        <x:v>文件未載明</x:v>
      </x:c>
      <x:c r="F653" s="71" t="str">
        <x:v>CU BUS BAR &amp;另料</x:v>
      </x:c>
      <x:c r="G653" s="71" t="str">
        <x:v>文件未載明</x:v>
      </x:c>
      <x:c r="H653" s="71" t="str">
        <x:v>式</x:v>
      </x:c>
      <x:c r="I653" s="72" t="n">
        <x:v>1</x:v>
      </x:c>
      <x:c r="J653" s="69" t="str">
        <x:v>1</x:v>
      </x:c>
      <x:c r="K653" s="70" t="n">
        <x:v>1500</x:v>
      </x:c>
      <x:c r="L653" s="69" t="str">
        <x:v>1,500</x:v>
      </x:c>
      <x:c r="M653" s="70" t="n">
        <x:v>1500</x:v>
      </x:c>
      <x:c r="N653" s="69" t="str">
        <x:v>1,500</x:v>
      </x:c>
      <x:c r="O653" s="71" t="str">
        <x:v>文件未載明</x:v>
      </x:c>
      <x:c r="P653" s="71" t="str">
        <x:v>HTML table 3 row 26</x:v>
      </x:c>
      <x:c r="Q653" s="71" t="str">
        <x:v>| CU BUS BAR &amp;另料 | 式 | 1 | 1,500 | 1,500 |</x:v>
      </x:c>
      <x:c r="R653" s="71" t="str">
        <x:v>各廠商合約&amp; 報價\MD檔案\20251016電箱報價單回傳.md</x:v>
      </x:c>
    </x:row>
    <x:row r="654">
      <x:c r="A654" s="69" t="str">
        <x:v>ITEM00650</x:v>
      </x:c>
      <x:c r="B654" s="69" t="str">
        <x:v>SRC042</x:v>
      </x:c>
      <x:c r="C654" s="69" t="str">
        <x:v>2025-2026</x:v>
      </x:c>
      <x:c r="D654" s="69" t="str">
        <x:v>detail</x:v>
      </x:c>
      <x:c r="E654" s="69" t="str">
        <x:v>文件未載明</x:v>
      </x:c>
      <x:c r="F654" s="71" t="str">
        <x:v>盤內器材組裝工資</x:v>
      </x:c>
      <x:c r="G654" s="71" t="str">
        <x:v>文件未載明</x:v>
      </x:c>
      <x:c r="H654" s="71" t="str">
        <x:v>式</x:v>
      </x:c>
      <x:c r="I654" s="72" t="n">
        <x:v>1</x:v>
      </x:c>
      <x:c r="J654" s="69" t="str">
        <x:v>1</x:v>
      </x:c>
      <x:c r="K654" s="70" t="n">
        <x:v>1000</x:v>
      </x:c>
      <x:c r="L654" s="69" t="str">
        <x:v>1,000</x:v>
      </x:c>
      <x:c r="M654" s="70" t="n">
        <x:v>1000</x:v>
      </x:c>
      <x:c r="N654" s="69" t="str">
        <x:v>1,000</x:v>
      </x:c>
      <x:c r="O654" s="71" t="str">
        <x:v>文件未載明</x:v>
      </x:c>
      <x:c r="P654" s="71" t="str">
        <x:v>HTML table 3 row 27</x:v>
      </x:c>
      <x:c r="Q654" s="71" t="str">
        <x:v>| 盤內器材組裝工資 | 式 | 1 | 1,000 | 1,000 |</x:v>
      </x:c>
      <x:c r="R654" s="71" t="str">
        <x:v>各廠商合約&amp; 報價\MD檔案\20251016電箱報價單回傳.md</x:v>
      </x:c>
    </x:row>
    <x:row r="655">
      <x:c r="A655" s="69" t="str">
        <x:v>ITEM00651</x:v>
      </x:c>
      <x:c r="B655" s="69" t="str">
        <x:v>SRC042</x:v>
      </x:c>
      <x:c r="C655" s="69" t="str">
        <x:v>2025-2026</x:v>
      </x:c>
      <x:c r="D655" s="69" t="str">
        <x:v>detail</x:v>
      </x:c>
      <x:c r="E655" s="69" t="str">
        <x:v>9</x:v>
      </x:c>
      <x:c r="F655" s="71" t="str">
        <x:v>9</x:v>
      </x:c>
      <x:c r="G655" s="71" t="str">
        <x:v>文件未載明</x:v>
      </x:c>
      <x:c r="H655" s="71" t="str">
        <x:v>文件未載明</x:v>
      </x:c>
      <x:c r="I655" s="72"/>
      <x:c r="J655" s="69" t="str">
        <x:v>文件未載明</x:v>
      </x:c>
      <x:c r="K655" s="70"/>
      <x:c r="L655" s="69" t="str">
        <x:v>文件未載明</x:v>
      </x:c>
      <x:c r="M655" s="70"/>
      <x:c r="N655" s="69" t="str">
        <x:v>文件未載明</x:v>
      </x:c>
      <x:c r="O655" s="71" t="str">
        <x:v>文件未載明</x:v>
      </x:c>
      <x:c r="P655" s="71" t="str">
        <x:v>HTML table 3 row 28</x:v>
      </x:c>
      <x:c r="Q655" s="71" t="str">
        <x:v>9 | 屋內明暗接地測試箱(含接地測試板) | | | | |</x:v>
      </x:c>
      <x:c r="R655" s="71" t="str">
        <x:v>各廠商合約&amp; 報價\MD檔案\20251016電箱報價單回傳.md</x:v>
      </x:c>
    </x:row>
    <x:row r="656">
      <x:c r="A656" s="69" t="str">
        <x:v>ITEM00652</x:v>
      </x:c>
      <x:c r="B656" s="69" t="str">
        <x:v>SRC042</x:v>
      </x:c>
      <x:c r="C656" s="69" t="str">
        <x:v>2025-2026</x:v>
      </x:c>
      <x:c r="D656" s="69" t="str">
        <x:v>detail</x:v>
      </x:c>
      <x:c r="E656" s="69" t="str">
        <x:v>文件未載明</x:v>
      </x:c>
      <x:c r="F656" s="71" t="str">
        <x:v>黑鐵烤漆 t=1.6mm</x:v>
      </x:c>
      <x:c r="G656" s="71" t="str">
        <x:v>文件未載明</x:v>
      </x:c>
      <x:c r="H656" s="71" t="str">
        <x:v>文件未載明</x:v>
      </x:c>
      <x:c r="I656" s="72"/>
      <x:c r="J656" s="69" t="str">
        <x:v>文件未載明</x:v>
      </x:c>
      <x:c r="K656" s="70"/>
      <x:c r="L656" s="69" t="str">
        <x:v>文件未載明</x:v>
      </x:c>
      <x:c r="M656" s="70"/>
      <x:c r="N656" s="69" t="str">
        <x:v>文件未載明</x:v>
      </x:c>
      <x:c r="O656" s="71" t="str">
        <x:v>文件未載明</x:v>
      </x:c>
      <x:c r="P656" s="71" t="str">
        <x:v>HTML table 3 row 29</x:v>
      </x:c>
      <x:c r="Q656" s="71" t="str">
        <x:v>| 黑鐵烤漆 t=1.6mm | | | | |</x:v>
      </x:c>
      <x:c r="R656" s="71" t="str">
        <x:v>各廠商合約&amp; 報價\MD檔案\20251016電箱報價單回傳.md</x:v>
      </x:c>
    </x:row>
    <x:row r="657">
      <x:c r="A657" s="69" t="str">
        <x:v>ITEM00653</x:v>
      </x:c>
      <x:c r="B657" s="69" t="str">
        <x:v>SRC042</x:v>
      </x:c>
      <x:c r="C657" s="69" t="str">
        <x:v>2025-2026</x:v>
      </x:c>
      <x:c r="D657" s="69" t="str">
        <x:v>detail</x:v>
      </x:c>
      <x:c r="E657" s="69" t="str">
        <x:v>文件未載明</x:v>
      </x:c>
      <x:c r="F657" s="71" t="str">
        <x:v>CASE:400W × 350H × 150D</x:v>
      </x:c>
      <x:c r="G657" s="71" t="str">
        <x:v>文件未載明</x:v>
      </x:c>
      <x:c r="H657" s="71" t="str">
        <x:v>只</x:v>
      </x:c>
      <x:c r="I657" s="72" t="n">
        <x:v>2</x:v>
      </x:c>
      <x:c r="J657" s="69" t="str">
        <x:v>2</x:v>
      </x:c>
      <x:c r="K657" s="70" t="n">
        <x:v>4000</x:v>
      </x:c>
      <x:c r="L657" s="69" t="str">
        <x:v>4,000</x:v>
      </x:c>
      <x:c r="M657" s="70" t="n">
        <x:v>8000</x:v>
      </x:c>
      <x:c r="N657" s="69" t="str">
        <x:v>8,000</x:v>
      </x:c>
      <x:c r="O657" s="71" t="str">
        <x:v>文件未載明</x:v>
      </x:c>
      <x:c r="P657" s="71" t="str">
        <x:v>HTML table 3 row 30</x:v>
      </x:c>
      <x:c r="Q657" s="71" t="str">
        <x:v>| CASE:400W × 350H × 150D | 只 | 2 | 4,000 | 8,000 |</x:v>
      </x:c>
      <x:c r="R657" s="71" t="str">
        <x:v>各廠商合約&amp; 報價\MD檔案\20251016電箱報價單回傳.md</x:v>
      </x:c>
    </x:row>
    <x:row r="658">
      <x:c r="A658" s="69" t="str">
        <x:v>ITEM00654</x:v>
      </x:c>
      <x:c r="B658" s="69" t="str">
        <x:v>SRC042</x:v>
      </x:c>
      <x:c r="C658" s="69" t="str">
        <x:v>2025-2026</x:v>
      </x:c>
      <x:c r="D658" s="69" t="str">
        <x:v>detail</x:v>
      </x:c>
      <x:c r="E658" s="69" t="str">
        <x:v>文件未載明</x:v>
      </x:c>
      <x:c r="F658" s="71" t="str">
        <x:v>壓克力銘牌</x:v>
      </x:c>
      <x:c r="G658" s="71" t="str">
        <x:v>文件未載明</x:v>
      </x:c>
      <x:c r="H658" s="71" t="str">
        <x:v>式</x:v>
      </x:c>
      <x:c r="I658" s="72" t="n">
        <x:v>2</x:v>
      </x:c>
      <x:c r="J658" s="69" t="str">
        <x:v>2</x:v>
      </x:c>
      <x:c r="K658" s="70" t="n">
        <x:v>300</x:v>
      </x:c>
      <x:c r="L658" s="69" t="str">
        <x:v>300</x:v>
      </x:c>
      <x:c r="M658" s="70" t="n">
        <x:v>600</x:v>
      </x:c>
      <x:c r="N658" s="69" t="str">
        <x:v>600</x:v>
      </x:c>
      <x:c r="O658" s="71" t="str">
        <x:v>文件未載明</x:v>
      </x:c>
      <x:c r="P658" s="71" t="str">
        <x:v>HTML table 3 row 31</x:v>
      </x:c>
      <x:c r="Q658" s="71" t="str">
        <x:v>| 壓克力銘牌 | 式 | 2 | 300 | 600 |</x:v>
      </x:c>
      <x:c r="R658" s="71" t="str">
        <x:v>各廠商合約&amp; 報價\MD檔案\20251016電箱報價單回傳.md</x:v>
      </x:c>
    </x:row>
    <x:row r="659">
      <x:c r="A659" s="69" t="str">
        <x:v>ITEM00655</x:v>
      </x:c>
      <x:c r="B659" s="69" t="str">
        <x:v>SRC042</x:v>
      </x:c>
      <x:c r="C659" s="69" t="str">
        <x:v>2025-2026</x:v>
      </x:c>
      <x:c r="D659" s="69" t="str">
        <x:v>header</x:v>
      </x:c>
      <x:c r="E659" s="69" t="str">
        <x:v>項目</x:v>
      </x:c>
      <x:c r="F659" s="71" t="str">
        <x:v>項目</x:v>
      </x:c>
      <x:c r="G659" s="71" t="str">
        <x:v>文件未載明</x:v>
      </x:c>
      <x:c r="H659" s="71" t="str">
        <x:v>單位</x:v>
      </x:c>
      <x:c r="I659" s="72"/>
      <x:c r="J659" s="69" t="str">
        <x:v>數量</x:v>
      </x:c>
      <x:c r="K659" s="70"/>
      <x:c r="L659" s="69" t="str">
        <x:v>單價</x:v>
      </x:c>
      <x:c r="M659" s="70"/>
      <x:c r="N659" s="69" t="str">
        <x:v>金額</x:v>
      </x:c>
      <x:c r="O659" s="71" t="str">
        <x:v>備註</x:v>
      </x:c>
      <x:c r="P659" s="71" t="str">
        <x:v>HTML table 4 row 1</x:v>
      </x:c>
      <x:c r="Q659" s="71" t="str">
        <x:v>項目 | 品名規格 | 單位 | 數量 | 單價 | 金額 | 備註</x:v>
      </x:c>
      <x:c r="R659" s="71" t="str">
        <x:v>各廠商合約&amp; 報價\MD檔案\20251016電箱報價單回傳.md</x:v>
      </x:c>
    </x:row>
    <x:row r="660">
      <x:c r="A660" s="69" t="str">
        <x:v>ITEM00656</x:v>
      </x:c>
      <x:c r="B660" s="69" t="str">
        <x:v>SRC042</x:v>
      </x:c>
      <x:c r="C660" s="69" t="str">
        <x:v>2025-2026</x:v>
      </x:c>
      <x:c r="D660" s="69" t="str">
        <x:v>detail</x:v>
      </x:c>
      <x:c r="E660" s="69" t="str">
        <x:v>10</x:v>
      </x:c>
      <x:c r="F660" s="71" t="str">
        <x:v>10</x:v>
      </x:c>
      <x:c r="G660" s="71" t="str">
        <x:v>文件未載明</x:v>
      </x:c>
      <x:c r="H660" s="71" t="str">
        <x:v>式</x:v>
      </x:c>
      <x:c r="I660" s="72" t="n">
        <x:v>1</x:v>
      </x:c>
      <x:c r="J660" s="69" t="str">
        <x:v>1</x:v>
      </x:c>
      <x:c r="K660" s="70" t="n">
        <x:v>3500</x:v>
      </x:c>
      <x:c r="L660" s="69" t="str">
        <x:v>3,500</x:v>
      </x:c>
      <x:c r="M660" s="70" t="n">
        <x:v>3500</x:v>
      </x:c>
      <x:c r="N660" s="69" t="str">
        <x:v>3,500</x:v>
      </x:c>
      <x:c r="O660" s="71" t="str">
        <x:v>文件未載明</x:v>
      </x:c>
      <x:c r="P660" s="71" t="str">
        <x:v>HTML table 4 row 2</x:v>
      </x:c>
      <x:c r="Q660" s="71" t="str">
        <x:v>10 | 運費(貨車可到達地)至後龍 | 式 | 1 | 3,500 | 3,500 |</x:v>
      </x:c>
      <x:c r="R660" s="71" t="str">
        <x:v>各廠商合約&amp; 報價\MD檔案\20251016電箱報價單回傳.md</x:v>
      </x:c>
    </x:row>
    <x:row r="661">
      <x:c r="A661" s="69" t="str">
        <x:v>ITEM00657</x:v>
      </x:c>
      <x:c r="B661" s="69" t="str">
        <x:v>SRC042</x:v>
      </x:c>
      <x:c r="C661" s="69" t="str">
        <x:v>2025-2026</x:v>
      </x:c>
      <x:c r="D661" s="69" t="str">
        <x:v>summary</x:v>
      </x:c>
      <x:c r="E661" s="69" t="str">
        <x:v>新台幣:貳拾捌萬捌仟陸佰零肆元整(未稅)</x:v>
      </x:c>
      <x:c r="F661" s="71" t="str">
        <x:v>新台幣:貳拾捌萬捌仟陸佰零肆元整(未稅)</x:v>
      </x:c>
      <x:c r="G661" s="71" t="str">
        <x:v>文件未載明</x:v>
      </x:c>
      <x:c r="H661" s="71" t="str">
        <x:v>文件未載明</x:v>
      </x:c>
      <x:c r="I661" s="72"/>
      <x:c r="J661" s="69" t="str">
        <x:v>文件未載明</x:v>
      </x:c>
      <x:c r="K661" s="70"/>
      <x:c r="L661" s="69" t="str">
        <x:v>文件未載明</x:v>
      </x:c>
      <x:c r="M661" s="70"/>
      <x:c r="N661" s="69" t="str">
        <x:v>文件未載明</x:v>
      </x:c>
      <x:c r="O661" s="71" t="str">
        <x:v>文件未載明</x:v>
      </x:c>
      <x:c r="P661" s="71" t="str">
        <x:v>HTML table 4 row 26</x:v>
      </x:c>
      <x:c r="Q661" s="71" t="str">
        <x:v>新台幣:貳拾捌萬捌仟陸佰零肆元整(未稅) | 總計 |</x:v>
      </x:c>
      <x:c r="R661" s="71" t="str">
        <x:v>各廠商合約&amp; 報價\MD檔案\20251016電箱報價單回傳.md</x:v>
      </x:c>
    </x:row>
    <x:row r="662">
      <x:c r="A662" s="69" t="str">
        <x:v>ITEM00658</x:v>
      </x:c>
      <x:c r="B662" s="69" t="str">
        <x:v>SRC042</x:v>
      </x:c>
      <x:c r="C662" s="69" t="str">
        <x:v>2025-2026</x:v>
      </x:c>
      <x:c r="D662" s="69" t="str">
        <x:v>note</x:v>
      </x:c>
      <x:c r="E662" s="69" t="str">
        <x:v>備註:1、交貨期限:報價單回簽後,10個工作日。2、交貨地點:貨車可達之地面。3、付款條件:貨到60天期票。(首次交易,請付現金)4、有效期限:報價日起7天以內。</x:v>
      </x:c>
      <x:c r="F662" s="71" t="str">
        <x:v>備註:1、交貨期限:報價單回簽後,10個工作日。2、交貨地點:貨車可達之地面。3、付款條件:貨到60天期票。(首次交易,請付現金)4、有效期限:報價日起7天以內。</x:v>
      </x:c>
      <x:c r="G662" s="71" t="str">
        <x:v>文件未載明</x:v>
      </x:c>
      <x:c r="H662" s="71" t="str">
        <x:v>文件未載明</x:v>
      </x:c>
      <x:c r="I662" s="72"/>
      <x:c r="J662" s="69" t="str">
        <x:v>文件未載明</x:v>
      </x:c>
      <x:c r="K662" s="70"/>
      <x:c r="L662" s="69" t="str">
        <x:v>文件未載明</x:v>
      </x:c>
      <x:c r="M662" s="70"/>
      <x:c r="N662" s="69" t="str">
        <x:v>文件未載明</x:v>
      </x:c>
      <x:c r="O662" s="71" t="str">
        <x:v>文件未載明</x:v>
      </x:c>
      <x:c r="P662" s="71" t="str">
        <x:v>HTML table 4 row 27</x:v>
      </x:c>
      <x:c r="Q662" s="71" t="str">
        <x:v>備註:1、交貨期限:報價單回簽後,10個工作日。2、交貨地點:貨車可達之地面。3、付款條件:貨到60天期票。(首次交易,請付現金)4、有效期限:報價日起7天以內。 | 客戶簽章</x:v>
      </x:c>
      <x:c r="R662" s="71" t="str">
        <x:v>各廠商合約&amp; 報價\MD檔案\20251016電箱報價單回傳.md</x:v>
      </x:c>
    </x:row>
    <x:row r="663">
      <x:c r="A663" s="69" t="str">
        <x:v>ITEM00659</x:v>
      </x:c>
      <x:c r="B663" s="69" t="str">
        <x:v>SRC042</x:v>
      </x:c>
      <x:c r="C663" s="69" t="str">
        <x:v>2025-2026</x:v>
      </x:c>
      <x:c r="D663" s="69" t="str">
        <x:v>summary</x:v>
      </x:c>
      <x:c r="E663" s="69" t="str">
        <x:v>議價後$295,000未稅</x:v>
      </x:c>
      <x:c r="F663" s="71" t="str">
        <x:v>議價後$295,000未稅</x:v>
      </x:c>
      <x:c r="G663" s="71" t="str">
        <x:v>文件未載明</x:v>
      </x:c>
      <x:c r="H663" s="71" t="str">
        <x:v>文件未載明</x:v>
      </x:c>
      <x:c r="I663" s="72"/>
      <x:c r="J663" s="69" t="str">
        <x:v>文件未載明</x:v>
      </x:c>
      <x:c r="K663" s="70"/>
      <x:c r="L663" s="69" t="str">
        <x:v>文件未載明</x:v>
      </x:c>
      <x:c r="M663" s="70"/>
      <x:c r="N663" s="69" t="str">
        <x:v>文件未載明</x:v>
      </x:c>
      <x:c r="O663" s="71" t="str">
        <x:v>文件未載明</x:v>
      </x:c>
      <x:c r="P663" s="71" t="str">
        <x:v>HTML table 4 row 28</x:v>
      </x:c>
      <x:c r="Q663" s="71" t="str">
        <x:v>議價後$295,000未稅 | 壹公股向用司份上章約限設</x:v>
      </x:c>
      <x:c r="R663" s="71" t="str">
        <x:v>各廠商合約&amp; 報價\MD檔案\20251016電箱報價單回傳.md</x:v>
      </x:c>
    </x:row>
    <x:row r="664">
      <x:c r="A664" s="69" t="str">
        <x:v>ITEM00660</x:v>
      </x:c>
      <x:c r="B664" s="69" t="str">
        <x:v>SRC043</x:v>
      </x:c>
      <x:c r="C664" s="69" t="str">
        <x:v>2025-2026</x:v>
      </x:c>
      <x:c r="D664" s="69" t="str">
        <x:v>header</x:v>
      </x:c>
      <x:c r="E664" s="69" t="str">
        <x:v>文件未載明</x:v>
      </x:c>
      <x:c r="F664" s="71" t="str">
        <x:v>貨品名稱</x:v>
      </x:c>
      <x:c r="G664" s="71" t="str">
        <x:v>規格</x:v>
      </x:c>
      <x:c r="H664" s="71" t="str">
        <x:v>文件未載明</x:v>
      </x:c>
      <x:c r="I664" s="72"/>
      <x:c r="J664" s="69" t="str">
        <x:v>數量/噸</x:v>
      </x:c>
      <x:c r="K664" s="70"/>
      <x:c r="L664" s="69" t="str">
        <x:v>單價/噸(未稅)</x:v>
      </x:c>
      <x:c r="M664" s="70"/>
      <x:c r="N664" s="69" t="str">
        <x:v>文件未載明</x:v>
      </x:c>
      <x:c r="O664" s="71" t="str">
        <x:v>文件未載明</x:v>
      </x:c>
      <x:c r="P664" s="71" t="str">
        <x:v>HTML table 1 row 1</x:v>
      </x:c>
      <x:c r="Q664" s="71" t="str">
        <x:v>貨品名稱 | 規格 | 數量/噸 | 單價/噸(未稅)</x:v>
      </x:c>
      <x:c r="R664" s="71" t="str">
        <x:v>各廠商合約&amp; 報價\MD檔案\20251022達成鑫-竹節鋼筋報價單回傳.md</x:v>
      </x:c>
    </x:row>
    <x:row r="665">
      <x:c r="A665" s="69" t="str">
        <x:v>ITEM00661</x:v>
      </x:c>
      <x:c r="B665" s="69" t="str">
        <x:v>SRC043</x:v>
      </x:c>
      <x:c r="C665" s="69" t="str">
        <x:v>2025-2026</x:v>
      </x:c>
      <x:c r="D665" s="69" t="str">
        <x:v>detail</x:v>
      </x:c>
      <x:c r="E665" s="69" t="str">
        <x:v>文件未載明</x:v>
      </x:c>
      <x:c r="F665" s="71" t="str">
        <x:v>竹節鋼筋</x:v>
      </x:c>
      <x:c r="G665" s="71" t="str">
        <x:v>3# 280熱軋鋼筋材料成型含運費</x:v>
      </x:c>
      <x:c r="H665" s="71" t="str">
        <x:v>文件未載明</x:v>
      </x:c>
      <x:c r="I665" s="72"/>
      <x:c r="J665" s="69" t="str">
        <x:v>每</x:v>
      </x:c>
      <x:c r="K665" s="70" t="n">
        <x:v>18700</x:v>
      </x:c>
      <x:c r="L665" s="69" t="str">
        <x:v>18,700元</x:v>
      </x:c>
      <x:c r="M665" s="70"/>
      <x:c r="N665" s="69" t="str">
        <x:v>文件未載明</x:v>
      </x:c>
      <x:c r="O665" s="71" t="str">
        <x:v>文件未載明</x:v>
      </x:c>
      <x:c r="P665" s="71" t="str">
        <x:v>HTML table 1 row 2</x:v>
      </x:c>
      <x:c r="Q665" s="71" t="str">
        <x:v>竹節鋼筋 | 3# 280熱軋鋼筋材料成型含運費 | 每 | 18,700元</x:v>
      </x:c>
      <x:c r="R665" s="71" t="str">
        <x:v>各廠商合約&amp; 報價\MD檔案\20251022達成鑫-竹節鋼筋報價單回傳.md</x:v>
      </x:c>
    </x:row>
    <x:row r="666">
      <x:c r="A666" s="69" t="str">
        <x:v>ITEM00662</x:v>
      </x:c>
      <x:c r="B666" s="69" t="str">
        <x:v>SRC043</x:v>
      </x:c>
      <x:c r="C666" s="69" t="str">
        <x:v>2025-2026</x:v>
      </x:c>
      <x:c r="D666" s="69" t="str">
        <x:v>detail</x:v>
      </x:c>
      <x:c r="E666" s="69" t="str">
        <x:v>文件未載明</x:v>
      </x:c>
      <x:c r="F666" s="71" t="str">
        <x:v>4#、5# 280熱軋鋼筋材料成型含運費</x:v>
      </x:c>
      <x:c r="G666" s="71" t="str">
        <x:v>18,300元</x:v>
      </x:c>
      <x:c r="H666" s="71" t="str">
        <x:v>文件未載明</x:v>
      </x:c>
      <x:c r="I666" s="72"/>
      <x:c r="J666" s="69" t="str">
        <x:v>文件未載明</x:v>
      </x:c>
      <x:c r="K666" s="70"/>
      <x:c r="L666" s="69" t="str">
        <x:v>文件未載明</x:v>
      </x:c>
      <x:c r="M666" s="70"/>
      <x:c r="N666" s="69" t="str">
        <x:v>文件未載明</x:v>
      </x:c>
      <x:c r="O666" s="71" t="str">
        <x:v>文件未載明</x:v>
      </x:c>
      <x:c r="P666" s="71" t="str">
        <x:v>HTML table 1 row 3</x:v>
      </x:c>
      <x:c r="Q666" s="71" t="str">
        <x:v>4#、5# 280熱軋鋼筋材料成型含運費 | 18,300元</x:v>
      </x:c>
      <x:c r="R666" s="71" t="str">
        <x:v>各廠商合約&amp; 報價\MD檔案\20251022達成鑫-竹節鋼筋報價單回傳.md</x:v>
      </x:c>
    </x:row>
    <x:row r="667">
      <x:c r="A667" s="69" t="str">
        <x:v>ITEM00663</x:v>
      </x:c>
      <x:c r="B667" s="69" t="str">
        <x:v>SRC043</x:v>
      </x:c>
      <x:c r="C667" s="69" t="str">
        <x:v>2025-2026</x:v>
      </x:c>
      <x:c r="D667" s="69" t="str">
        <x:v>detail</x:v>
      </x:c>
      <x:c r="E667" s="69" t="str">
        <x:v>文件未載明</x:v>
      </x:c>
      <x:c r="F667" s="71" t="str">
        <x:v>3# SD-420W熱軋鋼筋材料成型含運費</x:v>
      </x:c>
      <x:c r="G667" s="71" t="str">
        <x:v>19,900元</x:v>
      </x:c>
      <x:c r="H667" s="71" t="str">
        <x:v>文件未載明</x:v>
      </x:c>
      <x:c r="I667" s="72"/>
      <x:c r="J667" s="69" t="str">
        <x:v>文件未載明</x:v>
      </x:c>
      <x:c r="K667" s="70"/>
      <x:c r="L667" s="69" t="str">
        <x:v>文件未載明</x:v>
      </x:c>
      <x:c r="M667" s="70"/>
      <x:c r="N667" s="69" t="str">
        <x:v>文件未載明</x:v>
      </x:c>
      <x:c r="O667" s="71" t="str">
        <x:v>文件未載明</x:v>
      </x:c>
      <x:c r="P667" s="71" t="str">
        <x:v>HTML table 1 row 4</x:v>
      </x:c>
      <x:c r="Q667" s="71" t="str">
        <x:v>3# SD-420W熱軋鋼筋材料成型含運費 | 19,900元</x:v>
      </x:c>
      <x:c r="R667" s="71" t="str">
        <x:v>各廠商合約&amp; 報價\MD檔案\20251022達成鑫-竹節鋼筋報價單回傳.md</x:v>
      </x:c>
    </x:row>
    <x:row r="668">
      <x:c r="A668" s="69" t="str">
        <x:v>ITEM00664</x:v>
      </x:c>
      <x:c r="B668" s="69" t="str">
        <x:v>SRC043</x:v>
      </x:c>
      <x:c r="C668" s="69" t="str">
        <x:v>2025-2026</x:v>
      </x:c>
      <x:c r="D668" s="69" t="str">
        <x:v>detail</x:v>
      </x:c>
      <x:c r="E668" s="69" t="str">
        <x:v>文件未載明</x:v>
      </x:c>
      <x:c r="F668" s="71" t="str">
        <x:v>4#~10# SD-420W熱軋鋼筋材料成型含運費</x:v>
      </x:c>
      <x:c r="G668" s="71" t="str">
        <x:v>19,500元</x:v>
      </x:c>
      <x:c r="H668" s="71" t="str">
        <x:v>文件未載明</x:v>
      </x:c>
      <x:c r="I668" s="72"/>
      <x:c r="J668" s="69" t="str">
        <x:v>文件未載明</x:v>
      </x:c>
      <x:c r="K668" s="70"/>
      <x:c r="L668" s="69" t="str">
        <x:v>文件未載明</x:v>
      </x:c>
      <x:c r="M668" s="70"/>
      <x:c r="N668" s="69" t="str">
        <x:v>文件未載明</x:v>
      </x:c>
      <x:c r="O668" s="71" t="str">
        <x:v>文件未載明</x:v>
      </x:c>
      <x:c r="P668" s="71" t="str">
        <x:v>HTML table 1 row 5</x:v>
      </x:c>
      <x:c r="Q668" s="71" t="str">
        <x:v>4#~10# SD-420W熱軋鋼筋材料成型含運費 | 19,500元</x:v>
      </x:c>
      <x:c r="R668" s="71" t="str">
        <x:v>各廠商合約&amp; 報價\MD檔案\20251022達成鑫-竹節鋼筋報價單回傳.md</x:v>
      </x:c>
    </x:row>
    <x:row r="669">
      <x:c r="A669" s="69" t="str">
        <x:v>ITEM00665</x:v>
      </x:c>
      <x:c r="B669" s="69" t="str">
        <x:v>SRC043</x:v>
      </x:c>
      <x:c r="C669" s="69" t="str">
        <x:v>2025-2026</x:v>
      </x:c>
      <x:c r="D669" s="69" t="str">
        <x:v>detail</x:v>
      </x:c>
      <x:c r="E669" s="69" t="str">
        <x:v>文件未載明</x:v>
      </x:c>
      <x:c r="F669" s="71" t="str">
        <x:v>運費</x:v>
      </x:c>
      <x:c r="G669" s="71" t="str">
        <x:v>不足8噸</x:v>
      </x:c>
      <x:c r="H669" s="71" t="str">
        <x:v>文件未載明</x:v>
      </x:c>
      <x:c r="I669" s="72"/>
      <x:c r="J669" s="69" t="str">
        <x:v>趟</x:v>
      </x:c>
      <x:c r="K669" s="70" t="n">
        <x:v>3000</x:v>
      </x:c>
      <x:c r="L669" s="69" t="str">
        <x:v>3,000元</x:v>
      </x:c>
      <x:c r="M669" s="70"/>
      <x:c r="N669" s="69" t="str">
        <x:v>文件未載明</x:v>
      </x:c>
      <x:c r="O669" s="71" t="str">
        <x:v>文件未載明</x:v>
      </x:c>
      <x:c r="P669" s="71" t="str">
        <x:v>HTML table 1 row 6</x:v>
      </x:c>
      <x:c r="Q669" s="71" t="str">
        <x:v>運費 | 不足8噸 | 趟 | 3,000元</x:v>
      </x:c>
      <x:c r="R669" s="71" t="str">
        <x:v>各廠商合約&amp; 報價\MD檔案\20251022達成鑫-竹節鋼筋報價單回傳.md</x:v>
      </x:c>
    </x:row>
    <x:row r="670">
      <x:c r="A670" s="69" t="str">
        <x:v>ITEM00666</x:v>
      </x:c>
      <x:c r="B670" s="69" t="str">
        <x:v>SRC043</x:v>
      </x:c>
      <x:c r="C670" s="69" t="str">
        <x:v>2025-2026</x:v>
      </x:c>
      <x:c r="D670" s="69" t="str">
        <x:v>detail</x:v>
      </x:c>
      <x:c r="E670" s="69" t="str">
        <x:v>文件未載明</x:v>
      </x:c>
      <x:c r="F670" s="71" t="str">
        <x:v>限吊卡出車</x:v>
      </x:c>
      <x:c r="G670" s="71" t="str">
        <x:v>噸</x:v>
      </x:c>
      <x:c r="H670" s="71" t="str">
        <x:v>文件未載明</x:v>
      </x:c>
      <x:c r="I670" s="72" t="n">
        <x:v>100</x:v>
      </x:c>
      <x:c r="J670" s="69" t="str">
        <x:v>100元</x:v>
      </x:c>
      <x:c r="K670" s="70"/>
      <x:c r="L670" s="69" t="str">
        <x:v>文件未載明</x:v>
      </x:c>
      <x:c r="M670" s="70"/>
      <x:c r="N670" s="69" t="str">
        <x:v>文件未載明</x:v>
      </x:c>
      <x:c r="O670" s="71" t="str">
        <x:v>文件未載明</x:v>
      </x:c>
      <x:c r="P670" s="71" t="str">
        <x:v>HTML table 1 row 7</x:v>
      </x:c>
      <x:c r="Q670" s="71" t="str">
        <x:v>限吊卡出車 | 噸 | 100元</x:v>
      </x:c>
      <x:c r="R670" s="71" t="str">
        <x:v>各廠商合約&amp; 報價\MD檔案\20251022達成鑫-竹節鋼筋報價單回傳.md</x:v>
      </x:c>
    </x:row>
    <x:row r="671">
      <x:c r="A671" s="69" t="str">
        <x:v>ITEM00667</x:v>
      </x:c>
      <x:c r="B671" s="69" t="str">
        <x:v>SRC044</x:v>
      </x:c>
      <x:c r="C671" s="69" t="str">
        <x:v>2025-2026</x:v>
      </x:c>
      <x:c r="D671" s="69" t="str">
        <x:v>detail</x:v>
      </x:c>
      <x:c r="E671" s="69" t="str">
        <x:v>文件未載明</x:v>
      </x:c>
      <x:c r="F671" s="71" t="str">
        <x:v>客戶編號</x:v>
      </x:c>
      <x:c r="G671" s="71" t="str">
        <x:v>文件未載明</x:v>
      </x:c>
      <x:c r="H671" s="71" t="str">
        <x:v>文件未載明</x:v>
      </x:c>
      <x:c r="I671" s="72"/>
      <x:c r="J671" s="69" t="str">
        <x:v>文件未載明</x:v>
      </x:c>
      <x:c r="K671" s="70"/>
      <x:c r="L671" s="69" t="str">
        <x:v>文件未載明</x:v>
      </x:c>
      <x:c r="M671" s="70"/>
      <x:c r="N671" s="69" t="str">
        <x:v>文件未載明</x:v>
      </x:c>
      <x:c r="O671" s="71" t="str">
        <x:v>文件未載明</x:v>
      </x:c>
      <x:c r="P671" s="71" t="str">
        <x:v>HTML table 1 row 1</x:v>
      </x:c>
      <x:c r="Q671" s="71" t="str">
        <x:v>客戶編號 | B994建設公司向上建設股份有限公司 | | 報價日期 | 2025/08/27</x:v>
      </x:c>
      <x:c r="R671" s="71" t="str">
        <x:v>各廠商合約&amp; 報價\MD檔案\20251030台灣吉田智能科技衛浴報價單回傳.md</x:v>
      </x:c>
    </x:row>
    <x:row r="672">
      <x:c r="A672" s="69" t="str">
        <x:v>ITEM00668</x:v>
      </x:c>
      <x:c r="B672" s="69" t="str">
        <x:v>SRC044</x:v>
      </x:c>
      <x:c r="C672" s="69" t="str">
        <x:v>2025-2026</x:v>
      </x:c>
      <x:c r="D672" s="69" t="str">
        <x:v>detail</x:v>
      </x:c>
      <x:c r="E672" s="69" t="str">
        <x:v>文件未載明</x:v>
      </x:c>
      <x:c r="F672" s="71" t="str">
        <x:v>連絡人</x:v>
      </x:c>
      <x:c r="G672" s="71" t="str">
        <x:v>文件未載明</x:v>
      </x:c>
      <x:c r="H672" s="71" t="str">
        <x:v>文件未載明</x:v>
      </x:c>
      <x:c r="I672" s="72"/>
      <x:c r="J672" s="69" t="str">
        <x:v>文件未載明</x:v>
      </x:c>
      <x:c r="K672" s="70"/>
      <x:c r="L672" s="69" t="str">
        <x:v>文件未載明</x:v>
      </x:c>
      <x:c r="M672" s="70"/>
      <x:c r="N672" s="69" t="str">
        <x:v>文件未載明</x:v>
      </x:c>
      <x:c r="O672" s="71" t="str">
        <x:v>文件未載明</x:v>
      </x:c>
      <x:c r="P672" s="71" t="str">
        <x:v>HTML table 1 row 2</x:v>
      </x:c>
      <x:c r="Q672" s="71" t="str">
        <x:v>連絡人 | 採購-謝婉琳 | 報價單號 | 202508.022</x:v>
      </x:c>
      <x:c r="R672" s="71" t="str">
        <x:v>各廠商合約&amp; 報價\MD檔案\20251030台灣吉田智能科技衛浴報價單回傳.md</x:v>
      </x:c>
    </x:row>
    <x:row r="673">
      <x:c r="A673" s="69" t="str">
        <x:v>ITEM00669</x:v>
      </x:c>
      <x:c r="B673" s="69" t="str">
        <x:v>SRC044</x:v>
      </x:c>
      <x:c r="C673" s="69" t="str">
        <x:v>2025-2026</x:v>
      </x:c>
      <x:c r="D673" s="69" t="str">
        <x:v>detail</x:v>
      </x:c>
      <x:c r="E673" s="69" t="str">
        <x:v>文件未載明</x:v>
      </x:c>
      <x:c r="F673" s="71" t="str">
        <x:v>連絡電話</x:v>
      </x:c>
      <x:c r="G673" s="71" t="str">
        <x:v>文件未載明</x:v>
      </x:c>
      <x:c r="H673" s="71" t="str">
        <x:v>文件未載明</x:v>
      </x:c>
      <x:c r="I673" s="72"/>
      <x:c r="J673" s="69" t="str">
        <x:v>文件未載明</x:v>
      </x:c>
      <x:c r="K673" s="70"/>
      <x:c r="L673" s="69" t="str">
        <x:v>文件未載明</x:v>
      </x:c>
      <x:c r="M673" s="70"/>
      <x:c r="N673" s="69" t="str">
        <x:v>文件未載明</x:v>
      </x:c>
      <x:c r="O673" s="71" t="str">
        <x:v>文件未載明</x:v>
      </x:c>
      <x:c r="P673" s="71" t="str">
        <x:v>HTML table 1 row 3</x:v>
      </x:c>
      <x:c r="Q673" s="71" t="str">
        <x:v>連絡電話 | | 專案名稱 |</x:v>
      </x:c>
      <x:c r="R673" s="71" t="str">
        <x:v>各廠商合約&amp; 報價\MD檔案\20251030台灣吉田智能科技衛浴報價單回傳.md</x:v>
      </x:c>
    </x:row>
    <x:row r="674">
      <x:c r="A674" s="69" t="str">
        <x:v>ITEM00670</x:v>
      </x:c>
      <x:c r="B674" s="69" t="str">
        <x:v>SRC044</x:v>
      </x:c>
      <x:c r="C674" s="69" t="str">
        <x:v>2025-2026</x:v>
      </x:c>
      <x:c r="D674" s="69" t="str">
        <x:v>detail</x:v>
      </x:c>
      <x:c r="E674" s="69" t="str">
        <x:v>文件未載明</x:v>
      </x:c>
      <x:c r="F674" s="71" t="str">
        <x:v>送貨地址</x:v>
      </x:c>
      <x:c r="G674" s="71" t="str">
        <x:v>文件未載明</x:v>
      </x:c>
      <x:c r="H674" s="71" t="str">
        <x:v>文件未載明</x:v>
      </x:c>
      <x:c r="I674" s="72"/>
      <x:c r="J674" s="69" t="str">
        <x:v>文件未載明</x:v>
      </x:c>
      <x:c r="K674" s="70"/>
      <x:c r="L674" s="69" t="str">
        <x:v>文件未載明</x:v>
      </x:c>
      <x:c r="M674" s="70"/>
      <x:c r="N674" s="69" t="str">
        <x:v>文件未載明</x:v>
      </x:c>
      <x:c r="O674" s="71" t="str">
        <x:v>文件未載明</x:v>
      </x:c>
      <x:c r="P674" s="71" t="str">
        <x:v>HTML table 1 row 4</x:v>
      </x:c>
      <x:c r="Q674" s="71" t="str">
        <x:v>送貨地址 | 苗栗 | 報價有效期 | 2025.10.31</x:v>
      </x:c>
      <x:c r="R674" s="71" t="str">
        <x:v>各廠商合約&amp; 報價\MD檔案\20251030台灣吉田智能科技衛浴報價單回傳.md</x:v>
      </x:c>
    </x:row>
    <x:row r="675">
      <x:c r="A675" s="69" t="str">
        <x:v>ITEM00671</x:v>
      </x:c>
      <x:c r="B675" s="69" t="str">
        <x:v>SRC044</x:v>
      </x:c>
      <x:c r="C675" s="69" t="str">
        <x:v>2025-2026</x:v>
      </x:c>
      <x:c r="D675" s="69" t="str">
        <x:v>note</x:v>
      </x:c>
      <x:c r="E675" s="69" t="str">
        <x:v>文件未載明</x:v>
      </x:c>
      <x:c r="F675" s="71" t="str">
        <x:v>付款條件: 現金匯款預計交貨日期: 生產天約15工作天左右 提早好會再通知備註內容: 90057101向上建設股份有限公司</x:v>
      </x:c>
      <x:c r="G675" s="71" t="str">
        <x:v>文件未載明</x:v>
      </x:c>
      <x:c r="H675" s="71" t="str">
        <x:v>文件未載明</x:v>
      </x:c>
      <x:c r="I675" s="72"/>
      <x:c r="J675" s="69" t="str">
        <x:v>文件未載明</x:v>
      </x:c>
      <x:c r="K675" s="70"/>
      <x:c r="L675" s="69" t="str">
        <x:v>文件未載明</x:v>
      </x:c>
      <x:c r="M675" s="70"/>
      <x:c r="N675" s="69" t="str">
        <x:v>文件未載明</x:v>
      </x:c>
      <x:c r="O675" s="71" t="str">
        <x:v>文件未載明</x:v>
      </x:c>
      <x:c r="P675" s="71" t="str">
        <x:v>HTML table 1 row 5</x:v>
      </x:c>
      <x:c r="Q675" s="71" t="str">
        <x:v>付款條件: 現金匯款預計交貨日期: 生產天約15工作天左右 提早好會再通知備註內容: 90057101向上建設股份有限公司</x:v>
      </x:c>
      <x:c r="R675" s="71" t="str">
        <x:v>各廠商合約&amp; 報價\MD檔案\20251030台灣吉田智能科技衛浴報價單回傳.md</x:v>
      </x:c>
    </x:row>
    <x:row r="676">
      <x:c r="A676" s="69" t="str">
        <x:v>ITEM00672</x:v>
      </x:c>
      <x:c r="B676" s="69" t="str">
        <x:v>SRC044</x:v>
      </x:c>
      <x:c r="C676" s="69" t="str">
        <x:v>2025-2026</x:v>
      </x:c>
      <x:c r="D676" s="69" t="str">
        <x:v>header</x:v>
      </x:c>
      <x:c r="E676" s="69" t="str">
        <x:v>產品編號</x:v>
      </x:c>
      <x:c r="F676" s="71" t="str">
        <x:v>產品名稱</x:v>
      </x:c>
      <x:c r="G676" s="71" t="str">
        <x:v>文件未載明</x:v>
      </x:c>
      <x:c r="H676" s="71" t="str">
        <x:v>文件未載明</x:v>
      </x:c>
      <x:c r="I676" s="72"/>
      <x:c r="J676" s="69" t="str">
        <x:v>數量</x:v>
      </x:c>
      <x:c r="K676" s="70"/>
      <x:c r="L676" s="69" t="str">
        <x:v>單價</x:v>
      </x:c>
      <x:c r="M676" s="70"/>
      <x:c r="N676" s="69" t="str">
        <x:v>金額小計</x:v>
      </x:c>
      <x:c r="O676" s="71" t="str">
        <x:v>文件未載明</x:v>
      </x:c>
      <x:c r="P676" s="71" t="str">
        <x:v>HTML table 1 row 6</x:v>
      </x:c>
      <x:c r="Q676" s="71" t="str">
        <x:v>產品編號 | 產品名稱 | 數量 | 單價 | 金額小計 | 圖片 | 商品附註</x:v>
      </x:c>
      <x:c r="R676" s="71" t="str">
        <x:v>各廠商合約&amp; 報價\MD檔案\20251030台灣吉田智能科技衛浴報價單回傳.md</x:v>
      </x:c>
    </x:row>
    <x:row r="677">
      <x:c r="A677" s="69" t="str">
        <x:v>ITEM00673</x:v>
      </x:c>
      <x:c r="B677" s="69" t="str">
        <x:v>SRC044</x:v>
      </x:c>
      <x:c r="C677" s="69" t="str">
        <x:v>2025-2026</x:v>
      </x:c>
      <x:c r="D677" s="69" t="str">
        <x:v>detail</x:v>
      </x:c>
      <x:c r="E677" s="69" t="str">
        <x:v>M-999</x:v>
      </x:c>
      <x:c r="F677" s="71" t="str">
        <x:v>四方圓清鏡50*70三色燈觸控切換+觸控除霧</x:v>
      </x:c>
      <x:c r="G677" s="71" t="str">
        <x:v>文件未載明</x:v>
      </x:c>
      <x:c r="H677" s="71" t="str">
        <x:v>文件未載明</x:v>
      </x:c>
      <x:c r="I677" s="72" t="n">
        <x:v>22</x:v>
      </x:c>
      <x:c r="J677" s="69" t="str">
        <x:v>22</x:v>
      </x:c>
      <x:c r="K677" s="70" t="n">
        <x:v>6000</x:v>
      </x:c>
      <x:c r="L677" s="69" t="str">
        <x:v>6,000</x:v>
      </x:c>
      <x:c r="M677" s="70" t="n">
        <x:v>132000</x:v>
      </x:c>
      <x:c r="N677" s="69" t="str">
        <x:v>132,000</x:v>
      </x:c>
      <x:c r="O677" s="71" t="str">
        <x:v>文件未載明</x:v>
      </x:c>
      <x:c r="P677" s="71" t="str">
        <x:v>HTML table 1 row 7</x:v>
      </x:c>
      <x:c r="Q677" s="71" t="str">
        <x:v>M-999 | 四方圓清鏡50*70三色燈觸控切換+觸控除霧 | 22 | 6,000 | 132,000 | |</x:v>
      </x:c>
      <x:c r="R677" s="71" t="str">
        <x:v>各廠商合約&amp; 報價\MD檔案\20251030台灣吉田智能科技衛浴報價單回傳.md</x:v>
      </x:c>
    </x:row>
    <x:row r="678">
      <x:c r="A678" s="69" t="str">
        <x:v>ITEM00674</x:v>
      </x:c>
      <x:c r="B678" s="69" t="str">
        <x:v>SRC044</x:v>
      </x:c>
      <x:c r="C678" s="69" t="str">
        <x:v>2025-2026</x:v>
      </x:c>
      <x:c r="D678" s="69" t="str">
        <x:v>summary</x:v>
      </x:c>
      <x:c r="E678" s="69" t="str">
        <x:v>頁面合計</x:v>
      </x:c>
      <x:c r="F678" s="71" t="str">
        <x:v>22</x:v>
      </x:c>
      <x:c r="G678" s="71" t="str">
        <x:v>文件未載明</x:v>
      </x:c>
      <x:c r="H678" s="71" t="str">
        <x:v>文件未載明</x:v>
      </x:c>
      <x:c r="I678" s="72"/>
      <x:c r="J678" s="69" t="str">
        <x:v>文件未載明</x:v>
      </x:c>
      <x:c r="K678" s="70" t="n">
        <x:v>132000</x:v>
      </x:c>
      <x:c r="L678" s="69" t="str">
        <x:v>132,000</x:v>
      </x:c>
      <x:c r="M678" s="70"/>
      <x:c r="N678" s="69" t="str">
        <x:v>文件未載明</x:v>
      </x:c>
      <x:c r="O678" s="71" t="str">
        <x:v>文件未載明</x:v>
      </x:c>
      <x:c r="P678" s="71" t="str">
        <x:v>HTML table 1 row 8</x:v>
      </x:c>
      <x:c r="Q678" s="71" t="str">
        <x:v>頁面合計 | 22 | | 132,000 | |</x:v>
      </x:c>
      <x:c r="R678" s="71" t="str">
        <x:v>各廠商合約&amp; 報價\MD檔案\20251030台灣吉田智能科技衛浴報價單回傳.md</x:v>
      </x:c>
    </x:row>
    <x:row r="679">
      <x:c r="A679" s="69" t="str">
        <x:v>ITEM00675</x:v>
      </x:c>
      <x:c r="B679" s="69" t="str">
        <x:v>SRC044</x:v>
      </x:c>
      <x:c r="C679" s="69" t="str">
        <x:v>2025-2026</x:v>
      </x:c>
      <x:c r="D679" s="69" t="str">
        <x:v>summary</x:v>
      </x:c>
      <x:c r="E679" s="69" t="str">
        <x:v>合計金額: 132,000營業稅: 6,600總金額: 138,600</x:v>
      </x:c>
      <x:c r="F679" s="71" t="str">
        <x:v>文件未載明</x:v>
      </x:c>
      <x:c r="G679" s="71" t="str">
        <x:v>文件未載明</x:v>
      </x:c>
      <x:c r="H679" s="71" t="str">
        <x:v>文件未載明</x:v>
      </x:c>
      <x:c r="I679" s="72"/>
      <x:c r="J679" s="69" t="str">
        <x:v>文件未載明</x:v>
      </x:c>
      <x:c r="K679" s="70"/>
      <x:c r="L679" s="69" t="str">
        <x:v>文件未載明</x:v>
      </x:c>
      <x:c r="M679" s="70"/>
      <x:c r="N679" s="69" t="str">
        <x:v>文件未載明</x:v>
      </x:c>
      <x:c r="O679" s="71" t="str">
        <x:v>文件未載明</x:v>
      </x:c>
      <x:c r="P679" s="71" t="str">
        <x:v>HTML table 1 row 9</x:v>
      </x:c>
      <x:c r="Q679" s="71" t="str">
        <x:v>合計金額: 132,000營業稅: 6,600總金額: 138,600</x:v>
      </x:c>
      <x:c r="R679" s="71" t="str">
        <x:v>各廠商合約&amp; 報價\MD檔案\20251030台灣吉田智能科技衛浴報價單回傳.md</x:v>
      </x:c>
    </x:row>
    <x:row r="680">
      <x:c r="A680" s="69" t="str">
        <x:v>ITEM00676</x:v>
      </x:c>
      <x:c r="B680" s="69" t="str">
        <x:v>SRC044</x:v>
      </x:c>
      <x:c r="C680" s="69" t="str">
        <x:v>2025-2026</x:v>
      </x:c>
      <x:c r="D680" s="69" t="str">
        <x:v>note</x:v>
      </x:c>
      <x:c r="E680" s="69" t="str">
        <x:v>1. 專案報價因近期全球成本浮動過大, 若超過報價有效期則此單作廢, 將另重新報價! 謝謝!2. 交貨時若因市場原物料漲幅過大, 將配合市場調漲價格, 調漲幅度將以10%~15%為上限3. 報價若為含基本運費者, 交貨送達以現場一樓或地下室車輛可達為準, 不另行現場分貨。4. 其它未盡事宜將以正式協議(合約)為主, 願您我有個美好的交易過程~謝謝您!</x:v>
      </x:c>
      <x:c r="F680" s="71" t="str">
        <x:v>文件未載明</x:v>
      </x:c>
      <x:c r="G680" s="71" t="str">
        <x:v>文件未載明</x:v>
      </x:c>
      <x:c r="H680" s="71" t="str">
        <x:v>文件未載明</x:v>
      </x:c>
      <x:c r="I680" s="72"/>
      <x:c r="J680" s="69" t="str">
        <x:v>文件未載明</x:v>
      </x:c>
      <x:c r="K680" s="70"/>
      <x:c r="L680" s="69" t="str">
        <x:v>文件未載明</x:v>
      </x:c>
      <x:c r="M680" s="70"/>
      <x:c r="N680" s="69" t="str">
        <x:v>文件未載明</x:v>
      </x:c>
      <x:c r="O680" s="71" t="str">
        <x:v>文件未載明</x:v>
      </x:c>
      <x:c r="P680" s="71" t="str">
        <x:v>HTML table 1 row 10</x:v>
      </x:c>
      <x:c r="Q680" s="71" t="str">
        <x:v>1. 專案報價因近期全球成本浮動過大, 若超過報價有效期則此單作廢, 將另重新報價! 謝謝!2. 交貨時若因市場原物料漲幅過大, 將配合市場調漲價格, 調漲幅度將以10%~15%為上限3. 報價若為含基本運費者, 交貨送達以現場一樓或地下室車輛可達為準, 不另行現場分貨。4. 其它未盡事宜將以正式協議(合約)為主, 願您我有個美好的交易過程~謝謝您!</x:v>
      </x:c>
      <x:c r="R680" s="71" t="str">
        <x:v>各廠商合約&amp; 報價\MD檔案\20251030台灣吉田智能科技衛浴報價單回傳.md</x:v>
      </x:c>
    </x:row>
    <x:row r="681">
      <x:c r="A681" s="69" t="str">
        <x:v>ITEM00677</x:v>
      </x:c>
      <x:c r="B681" s="69" t="str">
        <x:v>SRC046</x:v>
      </x:c>
      <x:c r="C681" s="69" t="str">
        <x:v>2025-2026</x:v>
      </x:c>
      <x:c r="D681" s="69" t="str">
        <x:v>header</x:v>
      </x:c>
      <x:c r="E681" s="69" t="str">
        <x:v>項次</x:v>
      </x:c>
      <x:c r="F681" s="71" t="str">
        <x:v>品名</x:v>
      </x:c>
      <x:c r="G681" s="71" t="str">
        <x:v>文件未載明</x:v>
      </x:c>
      <x:c r="H681" s="71" t="str">
        <x:v>單位</x:v>
      </x:c>
      <x:c r="I681" s="72"/>
      <x:c r="J681" s="69" t="str">
        <x:v>數量</x:v>
      </x:c>
      <x:c r="K681" s="70"/>
      <x:c r="L681" s="69" t="str">
        <x:v>文件未載明</x:v>
      </x:c>
      <x:c r="M681" s="70"/>
      <x:c r="N681" s="69" t="str">
        <x:v>文件未載明</x:v>
      </x:c>
      <x:c r="O681" s="71" t="str">
        <x:v>備註</x:v>
      </x:c>
      <x:c r="P681" s="71" t="str">
        <x:v>HTML table 1 row 1</x:v>
      </x:c>
      <x:c r="Q681" s="71" t="str">
        <x:v>項次 | 品名 | 數量 | 單位 | 单価 | 单価 | 備註</x:v>
      </x:c>
      <x:c r="R681" s="71" t="str">
        <x:v>各廠商合約&amp; 報價\MD檔案\20251030向上拾壹間新建工程菊水利諾合約回傳.md</x:v>
      </x:c>
    </x:row>
    <x:row r="682">
      <x:c r="A682" s="69" t="str">
        <x:v>ITEM00678</x:v>
      </x:c>
      <x:c r="B682" s="69" t="str">
        <x:v>SRC046</x:v>
      </x:c>
      <x:c r="C682" s="69" t="str">
        <x:v>2025-2026</x:v>
      </x:c>
      <x:c r="D682" s="69" t="str">
        <x:v>detail</x:v>
      </x:c>
      <x:c r="E682" s="69" t="str">
        <x:v>一</x:v>
      </x:c>
      <x:c r="F682" s="71" t="str">
        <x:v>菊水SA後製清水模工程</x:v>
      </x:c>
      <x:c r="G682" s="71" t="str">
        <x:v>文件未載明</x:v>
      </x:c>
      <x:c r="H682" s="71" t="str">
        <x:v>文件未載明</x:v>
      </x:c>
      <x:c r="I682" s="72"/>
      <x:c r="J682" s="69" t="str">
        <x:v>文件未載明</x:v>
      </x:c>
      <x:c r="K682" s="70"/>
      <x:c r="L682" s="69" t="str">
        <x:v>文件未載明</x:v>
      </x:c>
      <x:c r="M682" s="70"/>
      <x:c r="N682" s="69" t="str">
        <x:v>文件未載明</x:v>
      </x:c>
      <x:c r="O682" s="71" t="str">
        <x:v>文件未載明</x:v>
      </x:c>
      <x:c r="P682" s="71" t="str">
        <x:v>HTML table 1 row 2</x:v>
      </x:c>
      <x:c r="Q682" s="71" t="str">
        <x:v>一 | 菊水SA後製清水模工程 |</x:v>
      </x:c>
      <x:c r="R682" s="71" t="str">
        <x:v>各廠商合約&amp; 報價\MD檔案\20251030向上拾壹間新建工程菊水利諾合約回傳.md</x:v>
      </x:c>
    </x:row>
    <x:row r="683">
      <x:c r="A683" s="69" t="str">
        <x:v>ITEM00679</x:v>
      </x:c>
      <x:c r="B683" s="69" t="str">
        <x:v>SRC046</x:v>
      </x:c>
      <x:c r="C683" s="69" t="str">
        <x:v>2025-2026</x:v>
      </x:c>
      <x:c r="D683" s="69" t="str">
        <x:v>detail</x:v>
      </x:c>
      <x:c r="E683" s="69" t="str">
        <x:v>A</x:v>
      </x:c>
      <x:c r="F683" s="71" t="str">
        <x:v>菊水BR-15修補材整批+螺栓孔位,板模線位放樣+螺栓孔處理+板模線製作+依基面調整,多次押花,修飾+有機矽透明保護中塗+有機矽透明保護面塗</x:v>
      </x:c>
      <x:c r="G683" s="71" t="str">
        <x:v>文件未載明</x:v>
      </x:c>
      <x:c r="H683" s="71" t="str">
        <x:v>m2</x:v>
      </x:c>
      <x:c r="I683" s="72" t="n">
        <x:v>457</x:v>
      </x:c>
      <x:c r="J683" s="69" t="str">
        <x:v>457</x:v>
      </x:c>
      <x:c r="K683" s="70"/>
      <x:c r="L683" s="69" t="str">
        <x:v>文件未載明</x:v>
      </x:c>
      <x:c r="M683" s="70"/>
      <x:c r="N683" s="69" t="str">
        <x:v>文件未載明</x:v>
      </x:c>
      <x:c r="O683" s="71" t="str">
        <x:v>文件未載明</x:v>
      </x:c>
      <x:c r="P683" s="71" t="str">
        <x:v>HTML table 1 row 3</x:v>
      </x:c>
      <x:c r="Q683" s="71" t="str">
        <x:v>A | 菊水BR-15修補材整批+螺栓孔位,板模線位放樣+螺栓孔處理+板模線製作+依基面調整,多次押花,修飾+有機矽透明保護中塗+有機矽透明保護面塗 | 457 | m2 | 1,350 | 616,950 |</x:v>
      </x:c>
      <x:c r="R683" s="71" t="str">
        <x:v>各廠商合約&amp; 報價\MD檔案\20251030向上拾壹間新建工程菊水利諾合約回傳.md</x:v>
      </x:c>
    </x:row>
    <x:row r="684">
      <x:c r="A684" s="69" t="str">
        <x:v>ITEM00680</x:v>
      </x:c>
      <x:c r="B684" s="69" t="str">
        <x:v>SRC046</x:v>
      </x:c>
      <x:c r="C684" s="69" t="str">
        <x:v>2025-2026</x:v>
      </x:c>
      <x:c r="D684" s="69" t="str">
        <x:v>detail</x:v>
      </x:c>
      <x:c r="E684" s="69" t="str">
        <x:v>B</x:v>
      </x:c>
      <x:c r="F684" s="71" t="str">
        <x:v>兩柱(25.2 m2)+正面梁(4.3 m2)</x:v>
      </x:c>
      <x:c r="G684" s="71" t="str">
        <x:v>文件未載明</x:v>
      </x:c>
      <x:c r="H684" s="71" t="str">
        <x:v>m2</x:v>
      </x:c>
      <x:c r="I684" s="72" t="n">
        <x:v>29.5</x:v>
      </x:c>
      <x:c r="J684" s="69" t="str">
        <x:v>29.5</x:v>
      </x:c>
      <x:c r="K684" s="70"/>
      <x:c r="L684" s="69" t="str">
        <x:v>文件未載明</x:v>
      </x:c>
      <x:c r="M684" s="70"/>
      <x:c r="N684" s="69" t="str">
        <x:v>文件未載明</x:v>
      </x:c>
      <x:c r="O684" s="71" t="str">
        <x:v>文件未載明</x:v>
      </x:c>
      <x:c r="P684" s="71" t="str">
        <x:v>HTML table 1 row 4</x:v>
      </x:c>
      <x:c r="Q684" s="71" t="str">
        <x:v>B | 兩柱(25.2 m2)+正面梁(4.3 m2) | 29.5 | m2 | 1,350 | 39,825 |</x:v>
      </x:c>
      <x:c r="R684" s="71" t="str">
        <x:v>各廠商合約&amp; 報價\MD檔案\20251030向上拾壹間新建工程菊水利諾合約回傳.md</x:v>
      </x:c>
    </x:row>
    <x:row r="685">
      <x:c r="A685" s="69" t="str">
        <x:v>ITEM00681</x:v>
      </x:c>
      <x:c r="B685" s="69" t="str">
        <x:v>SRC046</x:v>
      </x:c>
      <x:c r="C685" s="69" t="str">
        <x:v>2025-2026</x:v>
      </x:c>
      <x:c r="D685" s="69" t="str">
        <x:v>summary</x:v>
      </x:c>
      <x:c r="E685" s="69" t="str">
        <x:v>文件未載明</x:v>
      </x:c>
      <x:c r="F685" s="71" t="str">
        <x:v>合計</x:v>
      </x:c>
      <x:c r="G685" s="71" t="str">
        <x:v>文件未載明</x:v>
      </x:c>
      <x:c r="H685" s="71" t="str">
        <x:v>文件未載明</x:v>
      </x:c>
      <x:c r="I685" s="72" t="n">
        <x:v>656775</x:v>
      </x:c>
      <x:c r="J685" s="69" t="str">
        <x:v>656,775</x:v>
      </x:c>
      <x:c r="K685" s="70"/>
      <x:c r="L685" s="69" t="str">
        <x:v>文件未載明</x:v>
      </x:c>
      <x:c r="M685" s="70"/>
      <x:c r="N685" s="69" t="str">
        <x:v>文件未載明</x:v>
      </x:c>
      <x:c r="O685" s="71" t="str">
        <x:v>文件未載明</x:v>
      </x:c>
      <x:c r="P685" s="71" t="str">
        <x:v>HTML table 1 row 8</x:v>
      </x:c>
      <x:c r="Q685" s="71" t="str">
        <x:v>| 合計 | 656,775 |</x:v>
      </x:c>
      <x:c r="R685" s="71" t="str">
        <x:v>各廠商合約&amp; 報價\MD檔案\20251030向上拾壹間新建工程菊水利諾合約回傳.md</x:v>
      </x:c>
    </x:row>
    <x:row r="686">
      <x:c r="A686" s="69" t="str">
        <x:v>ITEM00682</x:v>
      </x:c>
      <x:c r="B686" s="69" t="str">
        <x:v>SRC046</x:v>
      </x:c>
      <x:c r="C686" s="69" t="str">
        <x:v>2025-2026</x:v>
      </x:c>
      <x:c r="D686" s="69" t="str">
        <x:v>summary</x:v>
      </x:c>
      <x:c r="E686" s="69" t="str">
        <x:v>※本報價不含5%營業稅※付款條件:雙方協議※本工程如上所述不包含其他工程。※本工程配合其他工程進度如期完成,水電照明,施工鷹架由貴公司提供使用。※本工程內產生之廢棄物由施工端負責清運。※如有問題歡迎洽詢確認。※本工程依現場實際狀況,以報價單單價按實做數量計價。※此報價內容為2025年~2026年共2年於貴公司案使用菊水商品累積共2,000m以上為前提所設定之特別價格。</x:v>
      </x:c>
      <x:c r="F686" s="71" t="str">
        <x:v>文件未載明</x:v>
      </x:c>
      <x:c r="G686" s="71" t="str">
        <x:v>文件未載明</x:v>
      </x:c>
      <x:c r="H686" s="71" t="str">
        <x:v>文件未載明</x:v>
      </x:c>
      <x:c r="I686" s="72"/>
      <x:c r="J686" s="69" t="str">
        <x:v>文件未載明</x:v>
      </x:c>
      <x:c r="K686" s="70"/>
      <x:c r="L686" s="69" t="str">
        <x:v>文件未載明</x:v>
      </x:c>
      <x:c r="M686" s="70"/>
      <x:c r="N686" s="69" t="str">
        <x:v>文件未載明</x:v>
      </x:c>
      <x:c r="O686" s="71" t="str">
        <x:v>文件未載明</x:v>
      </x:c>
      <x:c r="P686" s="71" t="str">
        <x:v>HTML table 1 row 9</x:v>
      </x:c>
      <x:c r="Q686" s="71" t="str">
        <x:v>※本報價不含5%營業稅※付款條件:雙方協議※本工程如上所述不包含其他工程。※本工程配合其他工程進度如期完成,水電照明,施工鷹架由貴公司提供使用。※本工程內產生之廢棄物由施工端負責清運。※如有問題歡迎洽詢確認。※本工程依現場實際狀況,以報價單單價按實做數量計價。※此報價內容為2025年~2026年共2年於貴公司案使用菊水商品累積共2,000m以上為前提所設定之特別價格。</x:v>
      </x:c>
      <x:c r="R686" s="71" t="str">
        <x:v>各廠商合約&amp; 報價\MD檔案\20251030向上拾壹間新建工程菊水利諾合約回傳.md</x:v>
      </x:c>
    </x:row>
    <x:row r="687">
      <x:c r="A687" s="69" t="str">
        <x:v>ITEM00683</x:v>
      </x:c>
      <x:c r="B687" s="69" t="str">
        <x:v>SRC046</x:v>
      </x:c>
      <x:c r="C687" s="69" t="str">
        <x:v>2025-2026</x:v>
      </x:c>
      <x:c r="D687" s="69" t="str">
        <x:v>detail</x:v>
      </x:c>
      <x:c r="E687" s="69" t="str">
        <x:v>文件未載明</x:v>
      </x:c>
      <x:c r="F687" s="71" t="str">
        <x:v>容積管制地區建築物高度限制檢討</x:v>
      </x:c>
      <x:c r="G687" s="71" t="str">
        <x:v>文件未載明</x:v>
      </x:c>
      <x:c r="H687" s="71" t="str">
        <x:v>文件未載明</x:v>
      </x:c>
      <x:c r="I687" s="72"/>
      <x:c r="J687" s="69" t="str">
        <x:v>Sw</x:v>
      </x:c>
      <x:c r="K687" s="70"/>
      <x:c r="L687" s="69" t="str">
        <x:v>H</x:v>
      </x:c>
      <x:c r="M687" s="70"/>
      <x:c r="N687" s="69" t="str">
        <x:v>D</x:v>
      </x:c>
      <x:c r="O687" s="71" t="str">
        <x:v>文件未載明</x:v>
      </x:c>
      <x:c r="P687" s="71" t="str">
        <x:v>HTML table 2 row 1</x:v>
      </x:c>
      <x:c r="Q687" s="71" t="str">
        <x:v>容積管制地區建築物高度限制檢討 | As | L | Sw | H | D</x:v>
      </x:c>
      <x:c r="R687" s="71" t="str">
        <x:v>各廠商合約&amp; 報價\MD檔案\20251030向上拾壹間新建工程菊水利諾合約回傳.md</x:v>
      </x:c>
    </x:row>
    <x:row r="688">
      <x:c r="A688" s="69" t="str">
        <x:v>ITEM00684</x:v>
      </x:c>
      <x:c r="B688" s="69" t="str">
        <x:v>SRC046</x:v>
      </x:c>
      <x:c r="C688" s="69" t="str">
        <x:v>2025-2026</x:v>
      </x:c>
      <x:c r="D688" s="69" t="str">
        <x:v>detail</x:v>
      </x:c>
      <x:c r="E688" s="69" t="str">
        <x:v>文件未載明</x:v>
      </x:c>
      <x:c r="F688" s="71" t="str">
        <x:v>道路陰影面積As: 建築物以三六比一之斜率,依垂直建築線方向,投影於面前道路之陰影面積.L: 基地關接面前道路之長度SW: 面前道路寬度H: 建築物各部份高度D: 建築物各部份至建築線之水平距離</x:v>
      </x:c>
      <x:c r="G688" s="71" t="str">
        <x:v>文件未載明</x:v>
      </x:c>
      <x:c r="H688" s="71" t="str">
        <x:v>文件未載明</x:v>
      </x:c>
      <x:c r="I688" s="72" t="n">
        <x:v>15.02</x:v>
      </x:c>
      <x:c r="J688" s="69" t="str">
        <x:v>15.02M</x:v>
      </x:c>
      <x:c r="K688" s="70" t="n">
        <x:v>30</x:v>
      </x:c>
      <x:c r="L688" s="69" t="str">
        <x:v>30M</x:v>
      </x:c>
      <x:c r="M688" s="70" t="n">
        <x:v>24.8</x:v>
      </x:c>
      <x:c r="N688" s="69" t="str">
        <x:v>24.80M</x:v>
      </x:c>
      <x:c r="O688" s="71" t="str">
        <x:v>文件未載明</x:v>
      </x:c>
      <x:c r="P688" s="71" t="str">
        <x:v>HTML table 2 row 2</x:v>
      </x:c>
      <x:c r="Q688" s="71" t="str">
        <x:v>| 道路陰影面積As: 建築物以三六比一之斜率,依垂直建築線方向,投影於面前道路之陰影面積.L: 基地關接面前道路之長度SW: 面前道路寬度H: 建築物各部份高度D: 建築物各部份至建築線之水平距離 | $6.2m^{2}$ | 15.02M | 30M | 24.80M | 5.985M</x:v>
      </x:c>
      <x:c r="R688" s="71" t="str">
        <x:v>各廠商合約&amp; 報價\MD檔案\20251030向上拾壹間新建工程菊水利諾合約回傳.md</x:v>
      </x:c>
    </x:row>
    <x:row r="689">
      <x:c r="A689" s="69" t="str">
        <x:v>ITEM00685</x:v>
      </x:c>
      <x:c r="B689" s="69" t="str">
        <x:v>SRC046</x:v>
      </x:c>
      <x:c r="C689" s="69" t="str">
        <x:v>2025-2026</x:v>
      </x:c>
      <x:c r="D689" s="69" t="str">
        <x:v>detail</x:v>
      </x:c>
      <x:c r="E689" s="69" t="str">
        <x:v>文件未載明</x:v>
      </x:c>
      <x:c r="F689" s="71" t="str">
        <x:v>陰影及高度檢討AS &lt; (L*Sw)/2As= (0.9+0.505)*8.82/2=6.2&lt; 15.02*30/2=225.3H&lt;3.6x(Sw+D)24.8M &lt; 3.6*(30+5.985)=129.55</x:v>
      </x:c>
      <x:c r="G689" s="71" t="str">
        <x:v>文件未載明</x:v>
      </x:c>
      <x:c r="H689" s="71" t="str">
        <x:v>文件未載明</x:v>
      </x:c>
      <x:c r="I689" s="72"/>
      <x:c r="J689" s="69" t="str">
        <x:v>文件未載明</x:v>
      </x:c>
      <x:c r="K689" s="70"/>
      <x:c r="L689" s="69" t="str">
        <x:v>文件未載明</x:v>
      </x:c>
      <x:c r="M689" s="70"/>
      <x:c r="N689" s="69" t="str">
        <x:v>文件未載明</x:v>
      </x:c>
      <x:c r="O689" s="71" t="str">
        <x:v>文件未載明</x:v>
      </x:c>
      <x:c r="P689" s="71" t="str">
        <x:v>HTML table 2 row 3</x:v>
      </x:c>
      <x:c r="Q689" s="71" t="str">
        <x:v>陰影及高度檢討AS &lt; (L*Sw)/2As= (0.9+0.505)*8.82/2=6.2&lt; 15.02*30/2=225.3H&lt;3.6x(Sw+D)24.8M &lt; 3.6*(30+5.985)=129.55</x:v>
      </x:c>
      <x:c r="R689" s="71" t="str">
        <x:v>各廠商合約&amp; 報價\MD檔案\20251030向上拾壹間新建工程菊水利諾合約回傳.md</x:v>
      </x:c>
    </x:row>
    <x:row r="690">
      <x:c r="A690" s="69" t="str">
        <x:v>ITEM00686</x:v>
      </x:c>
      <x:c r="B690" s="69" t="str">
        <x:v>SRC046</x:v>
      </x:c>
      <x:c r="C690" s="69" t="str">
        <x:v>2025-2026</x:v>
      </x:c>
      <x:c r="D690" s="69" t="str">
        <x:v>detail</x:v>
      </x:c>
      <x:c r="E690" s="69" t="str">
        <x:v>文件未載明</x:v>
      </x:c>
      <x:c r="F690" s="71" t="str">
        <x:v>張號PROJECT NO.</x:v>
      </x:c>
      <x:c r="G690" s="71" t="str">
        <x:v>文件未載明</x:v>
      </x:c>
      <x:c r="H690" s="71" t="str">
        <x:v>文件未載明</x:v>
      </x:c>
      <x:c r="I690" s="72"/>
      <x:c r="J690" s="69" t="str">
        <x:v>文件未載明</x:v>
      </x:c>
      <x:c r="K690" s="70"/>
      <x:c r="L690" s="69" t="str">
        <x:v>文件未載明</x:v>
      </x:c>
      <x:c r="M690" s="70"/>
      <x:c r="N690" s="69" t="str">
        <x:v>文件未載明</x:v>
      </x:c>
      <x:c r="O690" s="71" t="str">
        <x:v>文件未載明</x:v>
      </x:c>
      <x:c r="P690" s="71" t="str">
        <x:v>HTML table 3 row 1</x:v>
      </x:c>
      <x:c r="Q690" s="71" t="str">
        <x:v>張號PROJECT NO. | 圖號DRAWING NO.A3-1</x:v>
      </x:c>
      <x:c r="R690" s="71" t="str">
        <x:v>各廠商合約&amp; 報價\MD檔案\20251030向上拾壹間新建工程菊水利諾合約回傳.md</x:v>
      </x:c>
    </x:row>
    <x:row r="691">
      <x:c r="A691" s="69" t="str">
        <x:v>ITEM00687</x:v>
      </x:c>
      <x:c r="B691" s="69" t="str">
        <x:v>SRC046</x:v>
      </x:c>
      <x:c r="C691" s="69" t="str">
        <x:v>2025-2026</x:v>
      </x:c>
      <x:c r="D691" s="69" t="str">
        <x:v>detail</x:v>
      </x:c>
      <x:c r="E691" s="69" t="str">
        <x:v>文件未載明</x:v>
      </x:c>
      <x:c r="F691" s="71" t="str">
        <x:v>核準APPROVED BY</x:v>
      </x:c>
      <x:c r="G691" s="71" t="str">
        <x:v>文件未載明</x:v>
      </x:c>
      <x:c r="H691" s="71" t="str">
        <x:v>文件未載明</x:v>
      </x:c>
      <x:c r="I691" s="72"/>
      <x:c r="J691" s="69" t="str">
        <x:v>文件未載明</x:v>
      </x:c>
      <x:c r="K691" s="70"/>
      <x:c r="L691" s="69" t="str">
        <x:v>文件未載明</x:v>
      </x:c>
      <x:c r="M691" s="70"/>
      <x:c r="N691" s="69" t="str">
        <x:v>文件未載明</x:v>
      </x:c>
      <x:c r="O691" s="71" t="str">
        <x:v>文件未載明</x:v>
      </x:c>
      <x:c r="P691" s="71" t="str">
        <x:v>HTML table 3 row 2</x:v>
      </x:c>
      <x:c r="Q691" s="71" t="str">
        <x:v>核準APPROVED BY | 比例SCALE</x:v>
      </x:c>
      <x:c r="R691" s="71" t="str">
        <x:v>各廠商合約&amp; 報價\MD檔案\20251030向上拾壹間新建工程菊水利諾合約回傳.md</x:v>
      </x:c>
    </x:row>
    <x:row r="692">
      <x:c r="A692" s="69" t="str">
        <x:v>ITEM00688</x:v>
      </x:c>
      <x:c r="B692" s="69" t="str">
        <x:v>SRC046</x:v>
      </x:c>
      <x:c r="C692" s="69" t="str">
        <x:v>2025-2026</x:v>
      </x:c>
      <x:c r="D692" s="69" t="str">
        <x:v>detail</x:v>
      </x:c>
      <x:c r="E692" s="69" t="str">
        <x:v>文件未載明</x:v>
      </x:c>
      <x:c r="F692" s="71" t="str">
        <x:v>設計DESIGN BY</x:v>
      </x:c>
      <x:c r="G692" s="71" t="str">
        <x:v>文件未載明</x:v>
      </x:c>
      <x:c r="H692" s="71" t="str">
        <x:v>文件未載明</x:v>
      </x:c>
      <x:c r="I692" s="72"/>
      <x:c r="J692" s="69" t="str">
        <x:v>文件未載明</x:v>
      </x:c>
      <x:c r="K692" s="70"/>
      <x:c r="L692" s="69" t="str">
        <x:v>文件未載明</x:v>
      </x:c>
      <x:c r="M692" s="70"/>
      <x:c r="N692" s="69" t="str">
        <x:v>文件未載明</x:v>
      </x:c>
      <x:c r="O692" s="71" t="str">
        <x:v>文件未載明</x:v>
      </x:c>
      <x:c r="P692" s="71" t="str">
        <x:v>HTML table 3 row 3</x:v>
      </x:c>
      <x:c r="Q692" s="71" t="str">
        <x:v>設計DESIGN BY | 日期DATE</x:v>
      </x:c>
      <x:c r="R692" s="71" t="str">
        <x:v>各廠商合約&amp; 報價\MD檔案\20251030向上拾壹間新建工程菊水利諾合約回傳.md</x:v>
      </x:c>
    </x:row>
    <x:row r="693">
      <x:c r="A693" s="69" t="str">
        <x:v>ITEM00689</x:v>
      </x:c>
      <x:c r="B693" s="69" t="str">
        <x:v>SRC046</x:v>
      </x:c>
      <x:c r="C693" s="69" t="str">
        <x:v>2025-2026</x:v>
      </x:c>
      <x:c r="D693" s="69" t="str">
        <x:v>detail</x:v>
      </x:c>
      <x:c r="E693" s="69" t="str">
        <x:v>文件未載明</x:v>
      </x:c>
      <x:c r="F693" s="71" t="str">
        <x:v>繪圖DESIGNED BY</x:v>
      </x:c>
      <x:c r="G693" s="71" t="str">
        <x:v>文件未載明</x:v>
      </x:c>
      <x:c r="H693" s="71" t="str">
        <x:v>文件未載明</x:v>
      </x:c>
      <x:c r="I693" s="72"/>
      <x:c r="J693" s="69" t="str">
        <x:v>文件未載明</x:v>
      </x:c>
      <x:c r="K693" s="70"/>
      <x:c r="L693" s="69" t="str">
        <x:v>文件未載明</x:v>
      </x:c>
      <x:c r="M693" s="70"/>
      <x:c r="N693" s="69" t="str">
        <x:v>文件未載明</x:v>
      </x:c>
      <x:c r="O693" s="71" t="str">
        <x:v>文件未載明</x:v>
      </x:c>
      <x:c r="P693" s="71" t="str">
        <x:v>HTML table 3 row 4</x:v>
      </x:c>
      <x:c r="Q693" s="71" t="str">
        <x:v>繪圖DESIGNED BY | 核對CHECKED BY</x:v>
      </x:c>
      <x:c r="R693" s="71" t="str">
        <x:v>各廠商合約&amp; 報價\MD檔案\20251030向上拾壹間新建工程菊水利諾合約回傳.md</x:v>
      </x:c>
    </x:row>
    <x:row r="694">
      <x:c r="A694" s="69" t="str">
        <x:v>ITEM00690</x:v>
      </x:c>
      <x:c r="B694" s="69" t="str">
        <x:v>SRC046</x:v>
      </x:c>
      <x:c r="C694" s="69" t="str">
        <x:v>2025-2026</x:v>
      </x:c>
      <x:c r="D694" s="69" t="str">
        <x:v>detail</x:v>
      </x:c>
      <x:c r="E694" s="69" t="str">
        <x:v>文件未載明</x:v>
      </x:c>
      <x:c r="F694" s="71" t="str">
        <x:v>業務號PROJECT NO.</x:v>
      </x:c>
      <x:c r="G694" s="71" t="str">
        <x:v>文件未載明</x:v>
      </x:c>
      <x:c r="H694" s="71" t="str">
        <x:v>文件未載明</x:v>
      </x:c>
      <x:c r="I694" s="72"/>
      <x:c r="J694" s="69" t="str">
        <x:v>文件未載明</x:v>
      </x:c>
      <x:c r="K694" s="70"/>
      <x:c r="L694" s="69" t="str">
        <x:v>文件未載明</x:v>
      </x:c>
      <x:c r="M694" s="70"/>
      <x:c r="N694" s="69" t="str">
        <x:v>文件未載明</x:v>
      </x:c>
      <x:c r="O694" s="71" t="str">
        <x:v>文件未載明</x:v>
      </x:c>
      <x:c r="P694" s="71" t="str">
        <x:v>HTML table 3 row 5</x:v>
      </x:c>
      <x:c r="Q694" s="71" t="str">
        <x:v>業務號PROJECT NO.</x:v>
      </x:c>
      <x:c r="R694" s="71" t="str">
        <x:v>各廠商合約&amp; 報價\MD檔案\20251030向上拾壹間新建工程菊水利諾合約回傳.md</x:v>
      </x:c>
    </x:row>
    <x:row r="695">
      <x:c r="A695" s="69" t="str">
        <x:v>ITEM00691</x:v>
      </x:c>
      <x:c r="B695" s="69" t="str">
        <x:v>SRC046</x:v>
      </x:c>
      <x:c r="C695" s="69" t="str">
        <x:v>2025-2026</x:v>
      </x:c>
      <x:c r="D695" s="69" t="str">
        <x:v>detail</x:v>
      </x:c>
      <x:c r="E695" s="69" t="str">
        <x:v>文件未載明</x:v>
      </x:c>
      <x:c r="F695" s="71" t="str">
        <x:v>張號SHEET NO.</x:v>
      </x:c>
      <x:c r="G695" s="71" t="str">
        <x:v>文件未載明</x:v>
      </x:c>
      <x:c r="H695" s="71" t="str">
        <x:v>文件未載明</x:v>
      </x:c>
      <x:c r="I695" s="72"/>
      <x:c r="J695" s="69" t="str">
        <x:v>文件未載明</x:v>
      </x:c>
      <x:c r="K695" s="70"/>
      <x:c r="L695" s="69" t="str">
        <x:v>文件未載明</x:v>
      </x:c>
      <x:c r="M695" s="70"/>
      <x:c r="N695" s="69" t="str">
        <x:v>文件未載明</x:v>
      </x:c>
      <x:c r="O695" s="71" t="str">
        <x:v>文件未載明</x:v>
      </x:c>
      <x:c r="P695" s="71" t="str">
        <x:v>HTML table 3 row 6</x:v>
      </x:c>
      <x:c r="Q695" s="71" t="str">
        <x:v>張號SHEET NO. | 圖號DRAWING NO.A3-2</x:v>
      </x:c>
      <x:c r="R695" s="71" t="str">
        <x:v>各廠商合約&amp; 報價\MD檔案\20251030向上拾壹間新建工程菊水利諾合約回傳.md</x:v>
      </x:c>
    </x:row>
    <x:row r="696">
      <x:c r="A696" s="69" t="str">
        <x:v>ITEM00692</x:v>
      </x:c>
      <x:c r="B696" s="69" t="str">
        <x:v>SRC046</x:v>
      </x:c>
      <x:c r="C696" s="69" t="str">
        <x:v>2025-2026</x:v>
      </x:c>
      <x:c r="D696" s="69" t="str">
        <x:v>detail</x:v>
      </x:c>
      <x:c r="E696" s="69" t="str">
        <x:v>文件未載明</x:v>
      </x:c>
      <x:c r="F696" s="71" t="str">
        <x:v>核準APPROVED BY</x:v>
      </x:c>
      <x:c r="G696" s="71" t="str">
        <x:v>文件未載明</x:v>
      </x:c>
      <x:c r="H696" s="71" t="str">
        <x:v>文件未載明</x:v>
      </x:c>
      <x:c r="I696" s="72"/>
      <x:c r="J696" s="69" t="str">
        <x:v>文件未載明</x:v>
      </x:c>
      <x:c r="K696" s="70"/>
      <x:c r="L696" s="69" t="str">
        <x:v>文件未載明</x:v>
      </x:c>
      <x:c r="M696" s="70"/>
      <x:c r="N696" s="69" t="str">
        <x:v>文件未載明</x:v>
      </x:c>
      <x:c r="O696" s="71" t="str">
        <x:v>文件未載明</x:v>
      </x:c>
      <x:c r="P696" s="71" t="str">
        <x:v>HTML table 3 row 7</x:v>
      </x:c>
      <x:c r="Q696" s="71" t="str">
        <x:v>核準APPROVED BY | 比例SCALE</x:v>
      </x:c>
      <x:c r="R696" s="71" t="str">
        <x:v>各廠商合約&amp; 報價\MD檔案\20251030向上拾壹間新建工程菊水利諾合約回傳.md</x:v>
      </x:c>
    </x:row>
    <x:row r="697">
      <x:c r="A697" s="69" t="str">
        <x:v>ITEM00693</x:v>
      </x:c>
      <x:c r="B697" s="69" t="str">
        <x:v>SRC046</x:v>
      </x:c>
      <x:c r="C697" s="69" t="str">
        <x:v>2025-2026</x:v>
      </x:c>
      <x:c r="D697" s="69" t="str">
        <x:v>detail</x:v>
      </x:c>
      <x:c r="E697" s="69" t="str">
        <x:v>文件未載明</x:v>
      </x:c>
      <x:c r="F697" s="71" t="str">
        <x:v>設計DESIGN BY</x:v>
      </x:c>
      <x:c r="G697" s="71" t="str">
        <x:v>文件未載明</x:v>
      </x:c>
      <x:c r="H697" s="71" t="str">
        <x:v>文件未載明</x:v>
      </x:c>
      <x:c r="I697" s="72"/>
      <x:c r="J697" s="69" t="str">
        <x:v>文件未載明</x:v>
      </x:c>
      <x:c r="K697" s="70"/>
      <x:c r="L697" s="69" t="str">
        <x:v>文件未載明</x:v>
      </x:c>
      <x:c r="M697" s="70"/>
      <x:c r="N697" s="69" t="str">
        <x:v>文件未載明</x:v>
      </x:c>
      <x:c r="O697" s="71" t="str">
        <x:v>文件未載明</x:v>
      </x:c>
      <x:c r="P697" s="71" t="str">
        <x:v>HTML table 3 row 8</x:v>
      </x:c>
      <x:c r="Q697" s="71" t="str">
        <x:v>設計DESIGN BY | 日期DATE</x:v>
      </x:c>
      <x:c r="R697" s="71" t="str">
        <x:v>各廠商合約&amp; 報價\MD檔案\20251030向上拾壹間新建工程菊水利諾合約回傳.md</x:v>
      </x:c>
    </x:row>
    <x:row r="698">
      <x:c r="A698" s="69" t="str">
        <x:v>ITEM00694</x:v>
      </x:c>
      <x:c r="B698" s="69" t="str">
        <x:v>SRC046</x:v>
      </x:c>
      <x:c r="C698" s="69" t="str">
        <x:v>2025-2026</x:v>
      </x:c>
      <x:c r="D698" s="69" t="str">
        <x:v>detail</x:v>
      </x:c>
      <x:c r="E698" s="69" t="str">
        <x:v>文件未載明</x:v>
      </x:c>
      <x:c r="F698" s="71" t="str">
        <x:v>繪圖DRAWN BY</x:v>
      </x:c>
      <x:c r="G698" s="71" t="str">
        <x:v>文件未載明</x:v>
      </x:c>
      <x:c r="H698" s="71" t="str">
        <x:v>文件未載明</x:v>
      </x:c>
      <x:c r="I698" s="72"/>
      <x:c r="J698" s="69" t="str">
        <x:v>文件未載明</x:v>
      </x:c>
      <x:c r="K698" s="70"/>
      <x:c r="L698" s="69" t="str">
        <x:v>文件未載明</x:v>
      </x:c>
      <x:c r="M698" s="70"/>
      <x:c r="N698" s="69" t="str">
        <x:v>文件未載明</x:v>
      </x:c>
      <x:c r="O698" s="71" t="str">
        <x:v>文件未載明</x:v>
      </x:c>
      <x:c r="P698" s="71" t="str">
        <x:v>HTML table 3 row 9</x:v>
      </x:c>
      <x:c r="Q698" s="71" t="str">
        <x:v>繪圖DRAWN BY | 核對CHECKED BY</x:v>
      </x:c>
      <x:c r="R698" s="71" t="str">
        <x:v>各廠商合約&amp; 報價\MD檔案\20251030向上拾壹間新建工程菊水利諾合約回傳.md</x:v>
      </x:c>
    </x:row>
    <x:row r="699">
      <x:c r="A699" s="69" t="str">
        <x:v>ITEM00695</x:v>
      </x:c>
      <x:c r="B699" s="69" t="str">
        <x:v>SRC046</x:v>
      </x:c>
      <x:c r="C699" s="69" t="str">
        <x:v>2025-2026</x:v>
      </x:c>
      <x:c r="D699" s="69" t="str">
        <x:v>detail</x:v>
      </x:c>
      <x:c r="E699" s="69" t="str">
        <x:v>文件未載明</x:v>
      </x:c>
      <x:c r="F699" s="71" t="str">
        <x:v>業務號PROJECT NO.</x:v>
      </x:c>
      <x:c r="G699" s="71" t="str">
        <x:v>文件未載明</x:v>
      </x:c>
      <x:c r="H699" s="71" t="str">
        <x:v>文件未載明</x:v>
      </x:c>
      <x:c r="I699" s="72"/>
      <x:c r="J699" s="69" t="str">
        <x:v>文件未載明</x:v>
      </x:c>
      <x:c r="K699" s="70"/>
      <x:c r="L699" s="69" t="str">
        <x:v>文件未載明</x:v>
      </x:c>
      <x:c r="M699" s="70"/>
      <x:c r="N699" s="69" t="str">
        <x:v>文件未載明</x:v>
      </x:c>
      <x:c r="O699" s="71" t="str">
        <x:v>文件未載明</x:v>
      </x:c>
      <x:c r="P699" s="71" t="str">
        <x:v>HTML table 3 row 10</x:v>
      </x:c>
      <x:c r="Q699" s="71" t="str">
        <x:v>業務號PROJECT NO.</x:v>
      </x:c>
      <x:c r="R699" s="71" t="str">
        <x:v>各廠商合約&amp; 報價\MD檔案\20251030向上拾壹間新建工程菊水利諾合約回傳.md</x:v>
      </x:c>
    </x:row>
    <x:row r="700">
      <x:c r="A700" s="69" t="str">
        <x:v>ITEM00696</x:v>
      </x:c>
      <x:c r="B700" s="69" t="str">
        <x:v>SRC045</x:v>
      </x:c>
      <x:c r="C700" s="69" t="str">
        <x:v>2025-2026</x:v>
      </x:c>
      <x:c r="D700" s="69" t="str">
        <x:v>detail</x:v>
      </x:c>
      <x:c r="E700" s="69" t="str">
        <x:v>文件未載明</x:v>
      </x:c>
      <x:c r="F700" s="71" t="str">
        <x:v>工程名稱</x:v>
      </x:c>
      <x:c r="G700" s="71" t="str">
        <x:v>文件未載明</x:v>
      </x:c>
      <x:c r="H700" s="71" t="str">
        <x:v>文件未載明</x:v>
      </x:c>
      <x:c r="I700" s="72"/>
      <x:c r="J700" s="69" t="str">
        <x:v>文件未載明</x:v>
      </x:c>
      <x:c r="K700" s="70"/>
      <x:c r="L700" s="69" t="str">
        <x:v>文件未載明</x:v>
      </x:c>
      <x:c r="M700" s="70"/>
      <x:c r="N700" s="69" t="str">
        <x:v>文件未載明</x:v>
      </x:c>
      <x:c r="O700" s="71" t="str">
        <x:v>文件未載明</x:v>
      </x:c>
      <x:c r="P700" s="71" t="str">
        <x:v>HTML table 1 row 1</x:v>
      </x:c>
      <x:c r="Q700" s="71" t="str">
        <x:v>工程名稱 | 向上建設股份有限公司-拾壹間集合住宅新建工程 | | |</x:v>
      </x:c>
      <x:c r="R700" s="71" t="str">
        <x:v>各廠商合約&amp; 報價\MD檔案\20251030永富工程-圍牆報價單回傳.md</x:v>
      </x:c>
    </x:row>
    <x:row r="701">
      <x:c r="A701" s="69" t="str">
        <x:v>ITEM00697</x:v>
      </x:c>
      <x:c r="B701" s="69" t="str">
        <x:v>SRC045</x:v>
      </x:c>
      <x:c r="C701" s="69" t="str">
        <x:v>2025-2026</x:v>
      </x:c>
      <x:c r="D701" s="69" t="str">
        <x:v>detail</x:v>
      </x:c>
      <x:c r="E701" s="69" t="str">
        <x:v>文件未載明</x:v>
      </x:c>
      <x:c r="F701" s="71" t="str">
        <x:v>施工地點</x:v>
      </x:c>
      <x:c r="G701" s="71" t="str">
        <x:v>文件未載明</x:v>
      </x:c>
      <x:c r="H701" s="71" t="str">
        <x:v>文件未載明</x:v>
      </x:c>
      <x:c r="I701" s="72"/>
      <x:c r="J701" s="69" t="str">
        <x:v>文件未載明</x:v>
      </x:c>
      <x:c r="K701" s="70"/>
      <x:c r="L701" s="69" t="str">
        <x:v>文件未載明</x:v>
      </x:c>
      <x:c r="M701" s="70"/>
      <x:c r="N701" s="69" t="str">
        <x:v>文件未載明</x:v>
      </x:c>
      <x:c r="O701" s="71" t="str">
        <x:v>文件未載明</x:v>
      </x:c>
      <x:c r="P701" s="71" t="str">
        <x:v>HTML table 1 row 2</x:v>
      </x:c>
      <x:c r="Q701" s="71" t="str">
        <x:v>施工地點 | 苗栗縣後龍鎮新東路120號 | 工程編號 | |</x:v>
      </x:c>
      <x:c r="R701" s="71" t="str">
        <x:v>各廠商合約&amp; 報價\MD檔案\20251030永富工程-圍牆報價單回傳.md</x:v>
      </x:c>
    </x:row>
    <x:row r="702">
      <x:c r="A702" s="69" t="str">
        <x:v>ITEM00698</x:v>
      </x:c>
      <x:c r="B702" s="69" t="str">
        <x:v>SRC045</x:v>
      </x:c>
      <x:c r="C702" s="69" t="str">
        <x:v>2025-2026</x:v>
      </x:c>
      <x:c r="D702" s="69" t="str">
        <x:v>header</x:v>
      </x:c>
      <x:c r="E702" s="69" t="str">
        <x:v>項次</x:v>
      </x:c>
      <x:c r="F702" s="71" t="str">
        <x:v>項目及說明</x:v>
      </x:c>
      <x:c r="G702" s="71" t="str">
        <x:v>文件未載明</x:v>
      </x:c>
      <x:c r="H702" s="71" t="str">
        <x:v>單位</x:v>
      </x:c>
      <x:c r="I702" s="72"/>
      <x:c r="J702" s="69" t="str">
        <x:v>數量</x:v>
      </x:c>
      <x:c r="K702" s="70"/>
      <x:c r="L702" s="69" t="str">
        <x:v>單價</x:v>
      </x:c>
      <x:c r="M702" s="70"/>
      <x:c r="N702" s="69" t="str">
        <x:v>複價</x:v>
      </x:c>
      <x:c r="O702" s="71" t="str">
        <x:v>(備註)</x:v>
      </x:c>
      <x:c r="P702" s="71" t="str">
        <x:v>HTML table 1 row 3</x:v>
      </x:c>
      <x:c r="Q702" s="71" t="str">
        <x:v>項次 | 項目及說明 | 單位 | 數量 | 單價 | 複價 | (備註)</x:v>
      </x:c>
      <x:c r="R702" s="71" t="str">
        <x:v>各廠商合約&amp; 報價\MD檔案\20251030永富工程-圍牆報價單回傳.md</x:v>
      </x:c>
    </x:row>
    <x:row r="703">
      <x:c r="A703" s="69" t="str">
        <x:v>ITEM00699</x:v>
      </x:c>
      <x:c r="B703" s="69" t="str">
        <x:v>SRC045</x:v>
      </x:c>
      <x:c r="C703" s="69" t="str">
        <x:v>2025-2026</x:v>
      </x:c>
      <x:c r="D703" s="69" t="str">
        <x:v>detail</x:v>
      </x:c>
      <x:c r="E703" s="69" t="str">
        <x:v>一</x:v>
      </x:c>
      <x:c r="F703" s="71" t="str">
        <x:v>RC圍牆_H=190CM含重力式基礎H=40*寬60</x:v>
      </x:c>
      <x:c r="G703" s="71" t="str">
        <x:v>文件未載明</x:v>
      </x:c>
      <x:c r="H703" s="71" t="str">
        <x:v>$M^2$</x:v>
      </x:c>
      <x:c r="I703" s="72" t="n">
        <x:v>67</x:v>
      </x:c>
      <x:c r="J703" s="69" t="str">
        <x:v>67.0</x:v>
      </x:c>
      <x:c r="K703" s="70" t="n">
        <x:v>850</x:v>
      </x:c>
      <x:c r="L703" s="69" t="str">
        <x:v>850</x:v>
      </x:c>
      <x:c r="M703" s="70" t="n">
        <x:v>56950</x:v>
      </x:c>
      <x:c r="N703" s="69" t="str">
        <x:v>56,950</x:v>
      </x:c>
      <x:c r="O703" s="71" t="str">
        <x:v>依現場數量實作實算;鄰地側使用清水損</x:v>
      </x:c>
      <x:c r="P703" s="71" t="str">
        <x:v>HTML table 1 row 5</x:v>
      </x:c>
      <x:c r="Q703" s="71" t="str">
        <x:v>一 | RC圍牆_H=190CM含重力式基礎H=40*寬60 | $M^2$ | 67.0 | 850 | 56,950 | 依現場數量實作實算;鄰地側使用清水損</x:v>
      </x:c>
      <x:c r="R703" s="71" t="str">
        <x:v>各廠商合約&amp; 報價\MD檔案\20251030永富工程-圍牆報價單回傳.md</x:v>
      </x:c>
    </x:row>
    <x:row r="704">
      <x:c r="A704" s="69" t="str">
        <x:v>ITEM00700</x:v>
      </x:c>
      <x:c r="B704" s="69" t="str">
        <x:v>SRC045</x:v>
      </x:c>
      <x:c r="C704" s="69" t="str">
        <x:v>2025-2026</x:v>
      </x:c>
      <x:c r="D704" s="69" t="str">
        <x:v>detail</x:v>
      </x:c>
      <x:c r="E704" s="69" t="str">
        <x:v>二</x:v>
      </x:c>
      <x:c r="F704" s="71" t="str">
        <x:v>RC圍牆_H=190CM(清水摸)</x:v>
      </x:c>
      <x:c r="G704" s="71" t="str">
        <x:v>文件未載明</x:v>
      </x:c>
      <x:c r="H704" s="71" t="str">
        <x:v>$M^2$</x:v>
      </x:c>
      <x:c r="I704" s="72" t="n">
        <x:v>45</x:v>
      </x:c>
      <x:c r="J704" s="69" t="str">
        <x:v>45.0</x:v>
      </x:c>
      <x:c r="K704" s="70" t="n">
        <x:v>1100</x:v>
      </x:c>
      <x:c r="L704" s="69" t="str">
        <x:v>1,100</x:v>
      </x:c>
      <x:c r="M704" s="70" t="n">
        <x:v>49500</x:v>
      </x:c>
      <x:c r="N704" s="69" t="str">
        <x:v>49,500</x:v>
      </x:c>
      <x:c r="O704" s="71" t="str">
        <x:v>文件未載明</x:v>
      </x:c>
      <x:c r="P704" s="71" t="str">
        <x:v>HTML table 1 row 6</x:v>
      </x:c>
      <x:c r="Q704" s="71" t="str">
        <x:v>二 | RC圍牆_H=190CM(清水摸) | $M^2$ | 45.0 | 1,100 | 49,500</x:v>
      </x:c>
      <x:c r="R704" s="71" t="str">
        <x:v>各廠商合約&amp; 報價\MD檔案\20251030永富工程-圍牆報價單回傳.md</x:v>
      </x:c>
    </x:row>
    <x:row r="705">
      <x:c r="A705" s="69" t="str">
        <x:v>ITEM00701</x:v>
      </x:c>
      <x:c r="B705" s="69" t="str">
        <x:v>SRC045</x:v>
      </x:c>
      <x:c r="C705" s="69" t="str">
        <x:v>2025-2026</x:v>
      </x:c>
      <x:c r="D705" s="69" t="str">
        <x:v>detail</x:v>
      </x:c>
      <x:c r="E705" s="69" t="str">
        <x:v>三</x:v>
      </x:c>
      <x:c r="F705" s="71" t="str">
        <x:v>鋼筋綁紮#4雙向雙層@20</x:v>
      </x:c>
      <x:c r="G705" s="71" t="str">
        <x:v>文件未載明</x:v>
      </x:c>
      <x:c r="H705" s="71" t="str">
        <x:v>噸</x:v>
      </x:c>
      <x:c r="I705" s="72" t="n">
        <x:v>3.6</x:v>
      </x:c>
      <x:c r="J705" s="69" t="str">
        <x:v>3.6</x:v>
      </x:c>
      <x:c r="K705" s="70" t="n">
        <x:v>8000</x:v>
      </x:c>
      <x:c r="L705" s="69" t="str">
        <x:v>8,000</x:v>
      </x:c>
      <x:c r="M705" s="70" t="n">
        <x:v>28800</x:v>
      </x:c>
      <x:c r="N705" s="69" t="str">
        <x:v>28,800</x:v>
      </x:c>
      <x:c r="O705" s="71" t="str">
        <x:v>噸數較少出車一趟2000</x:v>
      </x:c>
      <x:c r="P705" s="71" t="str">
        <x:v>HTML table 1 row 7</x:v>
      </x:c>
      <x:c r="Q705" s="71" t="str">
        <x:v>三 | 鋼筋綁紮#4雙向雙層@20 | 噸 | 3.6 | 8,000 | 28,800 | 噸數較少出車一趟2000</x:v>
      </x:c>
      <x:c r="R705" s="71" t="str">
        <x:v>各廠商合約&amp; 報價\MD檔案\20251030永富工程-圍牆報價單回傳.md</x:v>
      </x:c>
    </x:row>
    <x:row r="706">
      <x:c r="A706" s="69" t="str">
        <x:v>ITEM00702</x:v>
      </x:c>
      <x:c r="B706" s="69" t="str">
        <x:v>SRC045</x:v>
      </x:c>
      <x:c r="C706" s="69" t="str">
        <x:v>2025-2026</x:v>
      </x:c>
      <x:c r="D706" s="69" t="str">
        <x:v>detail</x:v>
      </x:c>
      <x:c r="E706" s="69" t="str">
        <x:v>四</x:v>
      </x:c>
      <x:c r="F706" s="71" t="str">
        <x:v>鋼筋植筋#4</x:v>
      </x:c>
      <x:c r="G706" s="71" t="str">
        <x:v>文件未載明</x:v>
      </x:c>
      <x:c r="H706" s="71" t="str">
        <x:v>支</x:v>
      </x:c>
      <x:c r="I706" s="72" t="n">
        <x:v>170</x:v>
      </x:c>
      <x:c r="J706" s="69" t="str">
        <x:v>170.0</x:v>
      </x:c>
      <x:c r="K706" s="70" t="n">
        <x:v>50</x:v>
      </x:c>
      <x:c r="L706" s="69" t="str">
        <x:v>50</x:v>
      </x:c>
      <x:c r="M706" s="70" t="n">
        <x:v>8500</x:v>
      </x:c>
      <x:c r="N706" s="69" t="str">
        <x:v>8,500</x:v>
      </x:c>
      <x:c r="O706" s="71" t="str">
        <x:v>文件未載明</x:v>
      </x:c>
      <x:c r="P706" s="71" t="str">
        <x:v>HTML table 1 row 8</x:v>
      </x:c>
      <x:c r="Q706" s="71" t="str">
        <x:v>四 | 鋼筋植筋#4 | 支 | 170.0 | 50 | 8,500 |</x:v>
      </x:c>
      <x:c r="R706" s="71" t="str">
        <x:v>各廠商合約&amp; 報價\MD檔案\20251030永富工程-圍牆報價單回傳.md</x:v>
      </x:c>
    </x:row>
    <x:row r="707">
      <x:c r="A707" s="69" t="str">
        <x:v>ITEM00703</x:v>
      </x:c>
      <x:c r="B707" s="69" t="str">
        <x:v>SRC045</x:v>
      </x:c>
      <x:c r="C707" s="69" t="str">
        <x:v>2025-2026</x:v>
      </x:c>
      <x:c r="D707" s="69" t="str">
        <x:v>detail</x:v>
      </x:c>
      <x:c r="E707" s="69" t="str">
        <x:v>五</x:v>
      </x:c>
      <x:c r="F707" s="71" t="str">
        <x:v>出車費</x:v>
      </x:c>
      <x:c r="G707" s="71" t="str">
        <x:v>文件未載明</x:v>
      </x:c>
      <x:c r="H707" s="71" t="str">
        <x:v>趟</x:v>
      </x:c>
      <x:c r="I707" s="72" t="n">
        <x:v>3</x:v>
      </x:c>
      <x:c r="J707" s="69" t="str">
        <x:v>3.0</x:v>
      </x:c>
      <x:c r="K707" s="70" t="n">
        <x:v>2000</x:v>
      </x:c>
      <x:c r="L707" s="69" t="str">
        <x:v>2,000</x:v>
      </x:c>
      <x:c r="M707" s="70" t="n">
        <x:v>6000</x:v>
      </x:c>
      <x:c r="N707" s="69" t="str">
        <x:v>6,000</x:v>
      </x:c>
      <x:c r="O707" s="71" t="str">
        <x:v>文件未載明</x:v>
      </x:c>
      <x:c r="P707" s="71" t="str">
        <x:v>HTML table 1 row 9</x:v>
      </x:c>
      <x:c r="Q707" s="71" t="str">
        <x:v>五 | 出車費 | 趟 | 3.0 | 2,000 | 6,000 |</x:v>
      </x:c>
      <x:c r="R707" s="71" t="str">
        <x:v>各廠商合約&amp; 報價\MD檔案\20251030永富工程-圍牆報價單回傳.md</x:v>
      </x:c>
    </x:row>
    <x:row r="708">
      <x:c r="A708" s="69" t="str">
        <x:v>ITEM00704</x:v>
      </x:c>
      <x:c r="B708" s="69" t="str">
        <x:v>SRC045</x:v>
      </x:c>
      <x:c r="C708" s="69" t="str">
        <x:v>2025-2026</x:v>
      </x:c>
      <x:c r="D708" s="69" t="str">
        <x:v>detail</x:v>
      </x:c>
      <x:c r="E708" s="69" t="str">
        <x:v>六</x:v>
      </x:c>
      <x:c r="F708" s="71" t="str">
        <x:v>技術工</x:v>
      </x:c>
      <x:c r="G708" s="71" t="str">
        <x:v>文件未載明</x:v>
      </x:c>
      <x:c r="H708" s="71" t="str">
        <x:v>工</x:v>
      </x:c>
      <x:c r="I708" s="72" t="n">
        <x:v>1</x:v>
      </x:c>
      <x:c r="J708" s="69" t="str">
        <x:v>1.0</x:v>
      </x:c>
      <x:c r="K708" s="70" t="n">
        <x:v>3000</x:v>
      </x:c>
      <x:c r="L708" s="69" t="str">
        <x:v>3,000</x:v>
      </x:c>
      <x:c r="M708" s="70" t="n">
        <x:v>3000</x:v>
      </x:c>
      <x:c r="N708" s="69" t="str">
        <x:v>3,000</x:v>
      </x:c>
      <x:c r="O708" s="71" t="str">
        <x:v>文件未載明</x:v>
      </x:c>
      <x:c r="P708" s="71" t="str">
        <x:v>HTML table 1 row 10</x:v>
      </x:c>
      <x:c r="Q708" s="71" t="str">
        <x:v>六 | 技術工 | 工 | 1.0 | 3,000 | 3,000 |</x:v>
      </x:c>
      <x:c r="R708" s="71" t="str">
        <x:v>各廠商合約&amp; 報價\MD檔案\20251030永富工程-圍牆報價單回傳.md</x:v>
      </x:c>
    </x:row>
    <x:row r="709">
      <x:c r="A709" s="69" t="str">
        <x:v>ITEM00705</x:v>
      </x:c>
      <x:c r="B709" s="69" t="str">
        <x:v>SRC045</x:v>
      </x:c>
      <x:c r="C709" s="69" t="str">
        <x:v>2025-2026</x:v>
      </x:c>
      <x:c r="D709" s="69" t="str">
        <x:v>detail</x:v>
      </x:c>
      <x:c r="E709" s="69" t="str">
        <x:v>七</x:v>
      </x:c>
      <x:c r="F709" s="71" t="str">
        <x:v>文件未載明</x:v>
      </x:c>
      <x:c r="G709" s="71" t="str">
        <x:v>文件未載明</x:v>
      </x:c>
      <x:c r="H709" s="71" t="str">
        <x:v>文件未載明</x:v>
      </x:c>
      <x:c r="I709" s="72"/>
      <x:c r="J709" s="69" t="str">
        <x:v>文件未載明</x:v>
      </x:c>
      <x:c r="K709" s="70"/>
      <x:c r="L709" s="69" t="str">
        <x:v>文件未載明</x:v>
      </x:c>
      <x:c r="M709" s="70" t="n">
        <x:v>0</x:v>
      </x:c>
      <x:c r="N709" s="69" t="str">
        <x:v>0</x:v>
      </x:c>
      <x:c r="O709" s="71" t="str">
        <x:v>文件未載明</x:v>
      </x:c>
      <x:c r="P709" s="71" t="str">
        <x:v>HTML table 1 row 11</x:v>
      </x:c>
      <x:c r="Q709" s="71" t="str">
        <x:v>七 | | | | | 0 |</x:v>
      </x:c>
      <x:c r="R709" s="71" t="str">
        <x:v>各廠商合約&amp; 報價\MD檔案\20251030永富工程-圍牆報價單回傳.md</x:v>
      </x:c>
    </x:row>
    <x:row r="710">
      <x:c r="A710" s="69" t="str">
        <x:v>ITEM00706</x:v>
      </x:c>
      <x:c r="B710" s="69" t="str">
        <x:v>SRC045</x:v>
      </x:c>
      <x:c r="C710" s="69" t="str">
        <x:v>2025-2026</x:v>
      </x:c>
      <x:c r="D710" s="69" t="str">
        <x:v>summary</x:v>
      </x:c>
      <x:c r="E710" s="69" t="str">
        <x:v>文件未載明</x:v>
      </x:c>
      <x:c r="F710" s="71" t="str">
        <x:v>小計</x:v>
      </x:c>
      <x:c r="G710" s="71" t="str">
        <x:v>文件未載明</x:v>
      </x:c>
      <x:c r="H710" s="71" t="str">
        <x:v>文件未載明</x:v>
      </x:c>
      <x:c r="I710" s="72"/>
      <x:c r="J710" s="69" t="str">
        <x:v>文件未載明</x:v>
      </x:c>
      <x:c r="K710" s="70"/>
      <x:c r="L710" s="69" t="str">
        <x:v>文件未載明</x:v>
      </x:c>
      <x:c r="M710" s="70" t="n">
        <x:v>152750</x:v>
      </x:c>
      <x:c r="N710" s="69" t="str">
        <x:v>152,750</x:v>
      </x:c>
      <x:c r="O710" s="71" t="str">
        <x:v>文件未載明</x:v>
      </x:c>
      <x:c r="P710" s="71" t="str">
        <x:v>HTML table 1 row 14</x:v>
      </x:c>
      <x:c r="Q710" s="71" t="str">
        <x:v>| 小計 | | | | 152,750 |</x:v>
      </x:c>
      <x:c r="R710" s="71" t="str">
        <x:v>各廠商合約&amp; 報價\MD檔案\20251030永富工程-圍牆報價單回傳.md</x:v>
      </x:c>
    </x:row>
    <x:row r="711">
      <x:c r="A711" s="69" t="str">
        <x:v>ITEM00707</x:v>
      </x:c>
      <x:c r="B711" s="69" t="str">
        <x:v>SRC045</x:v>
      </x:c>
      <x:c r="C711" s="69" t="str">
        <x:v>2025-2026</x:v>
      </x:c>
      <x:c r="D711" s="69" t="str">
        <x:v>detail</x:v>
      </x:c>
      <x:c r="E711" s="69" t="str">
        <x:v>參</x:v>
      </x:c>
      <x:c r="F711" s="71" t="str">
        <x:v>運什費(0.3%)</x:v>
      </x:c>
      <x:c r="G711" s="71" t="str">
        <x:v>文件未載明</x:v>
      </x:c>
      <x:c r="H711" s="71" t="str">
        <x:v>式</x:v>
      </x:c>
      <x:c r="I711" s="72" t="n">
        <x:v>1</x:v>
      </x:c>
      <x:c r="J711" s="69" t="str">
        <x:v>1.0</x:v>
      </x:c>
      <x:c r="K711" s="70"/>
      <x:c r="L711" s="69" t="str">
        <x:v>文件未載明</x:v>
      </x:c>
      <x:c r="M711" s="70" t="n">
        <x:v>458</x:v>
      </x:c>
      <x:c r="N711" s="69" t="str">
        <x:v>458</x:v>
      </x:c>
      <x:c r="O711" s="71" t="str">
        <x:v>文件未載明</x:v>
      </x:c>
      <x:c r="P711" s="71" t="str">
        <x:v>HTML table 1 row 15</x:v>
      </x:c>
      <x:c r="Q711" s="71" t="str">
        <x:v>參 | 運什費(0.3%) | 式 | 1.0 | | 458 |</x:v>
      </x:c>
      <x:c r="R711" s="71" t="str">
        <x:v>各廠商合約&amp; 報價\MD檔案\20251030永富工程-圍牆報價單回傳.md</x:v>
      </x:c>
    </x:row>
    <x:row r="712">
      <x:c r="A712" s="69" t="str">
        <x:v>ITEM00708</x:v>
      </x:c>
      <x:c r="B712" s="69" t="str">
        <x:v>SRC045</x:v>
      </x:c>
      <x:c r="C712" s="69" t="str">
        <x:v>2025-2026</x:v>
      </x:c>
      <x:c r="D712" s="69" t="str">
        <x:v>detail</x:v>
      </x:c>
      <x:c r="E712" s="69" t="str">
        <x:v>肆</x:v>
      </x:c>
      <x:c r="F712" s="71" t="str">
        <x:v>勞工安全衛生及交通維護費(0.25%)</x:v>
      </x:c>
      <x:c r="G712" s="71" t="str">
        <x:v>文件未載明</x:v>
      </x:c>
      <x:c r="H712" s="71" t="str">
        <x:v>式</x:v>
      </x:c>
      <x:c r="I712" s="72" t="n">
        <x:v>1</x:v>
      </x:c>
      <x:c r="J712" s="69" t="str">
        <x:v>1.0</x:v>
      </x:c>
      <x:c r="K712" s="70"/>
      <x:c r="L712" s="69" t="str">
        <x:v>文件未載明</x:v>
      </x:c>
      <x:c r="M712" s="70" t="n">
        <x:v>382</x:v>
      </x:c>
      <x:c r="N712" s="69" t="str">
        <x:v>382</x:v>
      </x:c>
      <x:c r="O712" s="71" t="str">
        <x:v>文件未載明</x:v>
      </x:c>
      <x:c r="P712" s="71" t="str">
        <x:v>HTML table 1 row 16</x:v>
      </x:c>
      <x:c r="Q712" s="71" t="str">
        <x:v>肆 | 勞工安全衛生及交通維護費(0.25%) | 式 | 1.0 | | 382 |</x:v>
      </x:c>
      <x:c r="R712" s="71" t="str">
        <x:v>各廠商合約&amp; 報價\MD檔案\20251030永富工程-圍牆報價單回傳.md</x:v>
      </x:c>
    </x:row>
    <x:row r="713">
      <x:c r="A713" s="69" t="str">
        <x:v>ITEM00709</x:v>
      </x:c>
      <x:c r="B713" s="69" t="str">
        <x:v>SRC045</x:v>
      </x:c>
      <x:c r="C713" s="69" t="str">
        <x:v>2025-2026</x:v>
      </x:c>
      <x:c r="D713" s="69" t="str">
        <x:v>detail</x:v>
      </x:c>
      <x:c r="E713" s="69" t="str">
        <x:v>伍</x:v>
      </x:c>
      <x:c r="F713" s="71" t="str">
        <x:v>工程保險費(0.2%)</x:v>
      </x:c>
      <x:c r="G713" s="71" t="str">
        <x:v>文件未載明</x:v>
      </x:c>
      <x:c r="H713" s="71" t="str">
        <x:v>式</x:v>
      </x:c>
      <x:c r="I713" s="72" t="n">
        <x:v>1</x:v>
      </x:c>
      <x:c r="J713" s="69" t="str">
        <x:v>1.0</x:v>
      </x:c>
      <x:c r="K713" s="70"/>
      <x:c r="L713" s="69" t="str">
        <x:v>文件未載明</x:v>
      </x:c>
      <x:c r="M713" s="70" t="n">
        <x:v>306</x:v>
      </x:c>
      <x:c r="N713" s="69" t="str">
        <x:v>306</x:v>
      </x:c>
      <x:c r="O713" s="71" t="str">
        <x:v>文件未載明</x:v>
      </x:c>
      <x:c r="P713" s="71" t="str">
        <x:v>HTML table 1 row 17</x:v>
      </x:c>
      <x:c r="Q713" s="71" t="str">
        <x:v>伍 | 工程保險費(0.2%) | 式 | 1.0 | | 306 |</x:v>
      </x:c>
      <x:c r="R713" s="71" t="str">
        <x:v>各廠商合約&amp; 報價\MD檔案\20251030永富工程-圍牆報價單回傳.md</x:v>
      </x:c>
    </x:row>
    <x:row r="714">
      <x:c r="A714" s="69" t="str">
        <x:v>ITEM00710</x:v>
      </x:c>
      <x:c r="B714" s="69" t="str">
        <x:v>SRC045</x:v>
      </x:c>
      <x:c r="C714" s="69" t="str">
        <x:v>2025-2026</x:v>
      </x:c>
      <x:c r="D714" s="69" t="str">
        <x:v>detail</x:v>
      </x:c>
      <x:c r="E714" s="69" t="str">
        <x:v>陸</x:v>
      </x:c>
      <x:c r="F714" s="71" t="str">
        <x:v>管理費及利潤(8%)</x:v>
      </x:c>
      <x:c r="G714" s="71" t="str">
        <x:v>文件未載明</x:v>
      </x:c>
      <x:c r="H714" s="71" t="str">
        <x:v>式</x:v>
      </x:c>
      <x:c r="I714" s="72" t="n">
        <x:v>1</x:v>
      </x:c>
      <x:c r="J714" s="69" t="str">
        <x:v>1.0</x:v>
      </x:c>
      <x:c r="K714" s="70"/>
      <x:c r="L714" s="69" t="str">
        <x:v>文件未載明</x:v>
      </x:c>
      <x:c r="M714" s="70" t="n">
        <x:v>12220</x:v>
      </x:c>
      <x:c r="N714" s="69" t="str">
        <x:v>12,220</x:v>
      </x:c>
      <x:c r="O714" s="71" t="str">
        <x:v>文件未載明</x:v>
      </x:c>
      <x:c r="P714" s="71" t="str">
        <x:v>HTML table 1 row 18</x:v>
      </x:c>
      <x:c r="Q714" s="71" t="str">
        <x:v>陸 | 管理費及利潤(8%) | 式 | 1.0 | | 12,220 |</x:v>
      </x:c>
      <x:c r="R714" s="71" t="str">
        <x:v>各廠商合約&amp; 報價\MD檔案\20251030永富工程-圍牆報價單回傳.md</x:v>
      </x:c>
    </x:row>
    <x:row r="715">
      <x:c r="A715" s="69" t="str">
        <x:v>ITEM00711</x:v>
      </x:c>
      <x:c r="B715" s="69" t="str">
        <x:v>SRC045</x:v>
      </x:c>
      <x:c r="C715" s="69" t="str">
        <x:v>2025-2026</x:v>
      </x:c>
      <x:c r="D715" s="69" t="str">
        <x:v>summary</x:v>
      </x:c>
      <x:c r="E715" s="69" t="str">
        <x:v>文件未載明</x:v>
      </x:c>
      <x:c r="F715" s="71" t="str">
        <x:v>合計</x:v>
      </x:c>
      <x:c r="G715" s="71" t="str">
        <x:v>文件未載明</x:v>
      </x:c>
      <x:c r="H715" s="71" t="str">
        <x:v>文件未載明</x:v>
      </x:c>
      <x:c r="I715" s="72"/>
      <x:c r="J715" s="69" t="str">
        <x:v>文件未載明</x:v>
      </x:c>
      <x:c r="K715" s="70"/>
      <x:c r="L715" s="69" t="str">
        <x:v>文件未載明</x:v>
      </x:c>
      <x:c r="M715" s="70" t="n">
        <x:v>166116</x:v>
      </x:c>
      <x:c r="N715" s="69" t="str">
        <x:v>166,116</x:v>
      </x:c>
      <x:c r="O715" s="71" t="str">
        <x:v>文件未載明</x:v>
      </x:c>
      <x:c r="P715" s="71" t="str">
        <x:v>HTML table 1 row 19</x:v>
      </x:c>
      <x:c r="Q715" s="71" t="str">
        <x:v>| 合計 | | | | 166,116 |</x:v>
      </x:c>
      <x:c r="R715" s="71" t="str">
        <x:v>各廠商合約&amp; 報價\MD檔案\20251030永富工程-圍牆報價單回傳.md</x:v>
      </x:c>
    </x:row>
    <x:row r="716">
      <x:c r="A716" s="69" t="str">
        <x:v>ITEM00712</x:v>
      </x:c>
      <x:c r="B716" s="69" t="str">
        <x:v>SRC045</x:v>
      </x:c>
      <x:c r="C716" s="69" t="str">
        <x:v>2025-2026</x:v>
      </x:c>
      <x:c r="D716" s="69" t="str">
        <x:v>summary</x:v>
      </x:c>
      <x:c r="E716" s="69" t="str">
        <x:v>柒</x:v>
      </x:c>
      <x:c r="F716" s="71" t="str">
        <x:v>加值營業稅</x:v>
      </x:c>
      <x:c r="G716" s="71" t="str">
        <x:v>文件未載明</x:v>
      </x:c>
      <x:c r="H716" s="71" t="str">
        <x:v>式</x:v>
      </x:c>
      <x:c r="I716" s="72" t="n">
        <x:v>1</x:v>
      </x:c>
      <x:c r="J716" s="69" t="str">
        <x:v>1.0</x:v>
      </x:c>
      <x:c r="K716" s="70"/>
      <x:c r="L716" s="69" t="str">
        <x:v>文件未載明</x:v>
      </x:c>
      <x:c r="M716" s="70" t="n">
        <x:v>8306</x:v>
      </x:c>
      <x:c r="N716" s="69" t="str">
        <x:v>8,306</x:v>
      </x:c>
      <x:c r="O716" s="71" t="str">
        <x:v>文件未載明</x:v>
      </x:c>
      <x:c r="P716" s="71" t="str">
        <x:v>HTML table 1 row 20</x:v>
      </x:c>
      <x:c r="Q716" s="71" t="str">
        <x:v>柒 | 加值營業稅 | 式 | 1.0 | | 8,306 |</x:v>
      </x:c>
      <x:c r="R716" s="71" t="str">
        <x:v>各廠商合約&amp; 報價\MD檔案\20251030永富工程-圍牆報價單回傳.md</x:v>
      </x:c>
    </x:row>
    <x:row r="717">
      <x:c r="A717" s="69" t="str">
        <x:v>ITEM00713</x:v>
      </x:c>
      <x:c r="B717" s="69" t="str">
        <x:v>SRC045</x:v>
      </x:c>
      <x:c r="C717" s="69" t="str">
        <x:v>2025-2026</x:v>
      </x:c>
      <x:c r="D717" s="69" t="str">
        <x:v>summary</x:v>
      </x:c>
      <x:c r="E717" s="69" t="str">
        <x:v>文件未載明</x:v>
      </x:c>
      <x:c r="F717" s="71" t="str">
        <x:v>總計</x:v>
      </x:c>
      <x:c r="G717" s="71" t="str">
        <x:v>文件未載明</x:v>
      </x:c>
      <x:c r="H717" s="71" t="str">
        <x:v>文件未載明</x:v>
      </x:c>
      <x:c r="I717" s="72"/>
      <x:c r="J717" s="69" t="str">
        <x:v>文件未載明</x:v>
      </x:c>
      <x:c r="K717" s="70"/>
      <x:c r="L717" s="69" t="str">
        <x:v>文件未載明</x:v>
      </x:c>
      <x:c r="M717" s="70" t="n">
        <x:v>174421</x:v>
      </x:c>
      <x:c r="N717" s="69" t="str">
        <x:v>174,421</x:v>
      </x:c>
      <x:c r="O717" s="71" t="str">
        <x:v>文件未載明</x:v>
      </x:c>
      <x:c r="P717" s="71" t="str">
        <x:v>HTML table 1 row 21</x:v>
      </x:c>
      <x:c r="Q717" s="71" t="str">
        <x:v>| 總計 | | | | 174,421 |</x:v>
      </x:c>
      <x:c r="R717" s="71" t="str">
        <x:v>各廠商合約&amp; 報價\MD檔案\20251030永富工程-圍牆報價單回傳.md</x:v>
      </x:c>
    </x:row>
    <x:row r="718">
      <x:c r="A718" s="69" t="str">
        <x:v>ITEM00714</x:v>
      </x:c>
      <x:c r="B718" s="69" t="str">
        <x:v>SRC045</x:v>
      </x:c>
      <x:c r="C718" s="69" t="str">
        <x:v>2025-2026</x:v>
      </x:c>
      <x:c r="D718" s="69" t="str">
        <x:v>summary</x:v>
      </x:c>
      <x:c r="E718" s="69" t="str">
        <x:v>工程總價:壹拾柒萬肆仟肆佰貳拾壹,肆零陸貳伍元整新台幣</x:v>
      </x:c>
      <x:c r="F718" s="71" t="str">
        <x:v>文件未載明</x:v>
      </x:c>
      <x:c r="G718" s="71" t="str">
        <x:v>文件未載明</x:v>
      </x:c>
      <x:c r="H718" s="71" t="str">
        <x:v>文件未載明</x:v>
      </x:c>
      <x:c r="I718" s="72"/>
      <x:c r="J718" s="69" t="str">
        <x:v>文件未載明</x:v>
      </x:c>
      <x:c r="K718" s="70"/>
      <x:c r="L718" s="69" t="str">
        <x:v>文件未載明</x:v>
      </x:c>
      <x:c r="M718" s="70"/>
      <x:c r="N718" s="69" t="str">
        <x:v>文件未載明</x:v>
      </x:c>
      <x:c r="O718" s="71" t="str">
        <x:v>文件未載明</x:v>
      </x:c>
      <x:c r="P718" s="71" t="str">
        <x:v>HTML table 1 row 22</x:v>
      </x:c>
      <x:c r="Q718" s="71" t="str">
        <x:v>工程總價:壹拾柒萬肆仟肆佰貳拾壹,肆零陸貳伍元整新台幣</x:v>
      </x:c>
      <x:c r="R718" s="71" t="str">
        <x:v>各廠商合約&amp; 報價\MD檔案\20251030永富工程-圍牆報價單回傳.md</x:v>
      </x:c>
    </x:row>
    <x:row r="719">
      <x:c r="A719" s="69" t="str">
        <x:v>ITEM00715</x:v>
      </x:c>
      <x:c r="B719" s="69" t="str">
        <x:v>SRC047</x:v>
      </x:c>
      <x:c r="C719" s="69" t="str">
        <x:v>2025-2026</x:v>
      </x:c>
      <x:c r="D719" s="69" t="str">
        <x:v>header</x:v>
      </x:c>
      <x:c r="E719" s="69" t="str">
        <x:v>項目</x:v>
      </x:c>
      <x:c r="F719" s="71" t="str">
        <x:v>項目</x:v>
      </x:c>
      <x:c r="G719" s="71" t="str">
        <x:v>文件未載明</x:v>
      </x:c>
      <x:c r="H719" s="71" t="str">
        <x:v>文件未載明</x:v>
      </x:c>
      <x:c r="I719" s="72"/>
      <x:c r="J719" s="69" t="str">
        <x:v>數量</x:v>
      </x:c>
      <x:c r="K719" s="70"/>
      <x:c r="L719" s="69" t="str">
        <x:v>單價</x:v>
      </x:c>
      <x:c r="M719" s="70"/>
      <x:c r="N719" s="69" t="str">
        <x:v>合計</x:v>
      </x:c>
      <x:c r="O719" s="71" t="str">
        <x:v>文件未載明</x:v>
      </x:c>
      <x:c r="P719" s="71" t="str">
        <x:v>HTML table 1 row 1</x:v>
      </x:c>
      <x:c r="Q719" s="71" t="str">
        <x:v>項目 | 單價 | 數量 | 合計</x:v>
      </x:c>
      <x:c r="R719" s="71" t="str">
        <x:v>各廠商合約&amp; 報價\MD檔案\20251104升駿工程報價單回傳.md</x:v>
      </x:c>
    </x:row>
    <x:row r="720">
      <x:c r="A720" s="69" t="str">
        <x:v>ITEM00716</x:v>
      </x:c>
      <x:c r="B720" s="69" t="str">
        <x:v>SRC047</x:v>
      </x:c>
      <x:c r="C720" s="69" t="str">
        <x:v>2025-2026</x:v>
      </x:c>
      <x:c r="D720" s="69" t="str">
        <x:v>detail</x:v>
      </x:c>
      <x:c r="E720" s="69" t="str">
        <x:v>乾淨土</x:v>
      </x:c>
      <x:c r="F720" s="71" t="str">
        <x:v>乾淨土</x:v>
      </x:c>
      <x:c r="G720" s="71" t="str">
        <x:v>文件未載明</x:v>
      </x:c>
      <x:c r="H720" s="71" t="str">
        <x:v>文件未載明</x:v>
      </x:c>
      <x:c r="I720" s="72"/>
      <x:c r="J720" s="69" t="str">
        <x:v>文件未載明</x:v>
      </x:c>
      <x:c r="K720" s="70" t="n">
        <x:v>800</x:v>
      </x:c>
      <x:c r="L720" s="69" t="str">
        <x:v>$800/米</x:v>
      </x:c>
      <x:c r="M720" s="70"/>
      <x:c r="N720" s="69" t="str">
        <x:v>文件未載明</x:v>
      </x:c>
      <x:c r="O720" s="71" t="str">
        <x:v>文件未載明</x:v>
      </x:c>
      <x:c r="P720" s="71" t="str">
        <x:v>HTML table 1 row 2</x:v>
      </x:c>
      <x:c r="Q720" s="71" t="str">
        <x:v>乾淨土 | $800/米 | |</x:v>
      </x:c>
      <x:c r="R720" s="71" t="str">
        <x:v>各廠商合約&amp; 報價\MD檔案\20251104升駿工程報價單回傳.md</x:v>
      </x:c>
    </x:row>
    <x:row r="721">
      <x:c r="A721" s="69" t="str">
        <x:v>ITEM00717</x:v>
      </x:c>
      <x:c r="B721" s="69" t="str">
        <x:v>SRC047</x:v>
      </x:c>
      <x:c r="C721" s="69" t="str">
        <x:v>2025-2026</x:v>
      </x:c>
      <x:c r="D721" s="69" t="str">
        <x:v>detail</x:v>
      </x:c>
      <x:c r="E721" s="69" t="str">
        <x:v>木頭、純木板</x:v>
      </x:c>
      <x:c r="F721" s="71" t="str">
        <x:v>木頭、純木板</x:v>
      </x:c>
      <x:c r="G721" s="71" t="str">
        <x:v>文件未載明</x:v>
      </x:c>
      <x:c r="H721" s="71" t="str">
        <x:v>文件未載明</x:v>
      </x:c>
      <x:c r="I721" s="72"/>
      <x:c r="J721" s="69" t="str">
        <x:v>文件未載明</x:v>
      </x:c>
      <x:c r="K721" s="70" t="n">
        <x:v>1500</x:v>
      </x:c>
      <x:c r="L721" s="69" t="str">
        <x:v>$1500/米</x:v>
      </x:c>
      <x:c r="M721" s="70"/>
      <x:c r="N721" s="69" t="str">
        <x:v>文件未載明</x:v>
      </x:c>
      <x:c r="O721" s="71" t="str">
        <x:v>文件未載明</x:v>
      </x:c>
      <x:c r="P721" s="71" t="str">
        <x:v>HTML table 1 row 3</x:v>
      </x:c>
      <x:c r="Q721" s="71" t="str">
        <x:v>木頭、純木板 | $1500/米 | |</x:v>
      </x:c>
      <x:c r="R721" s="71" t="str">
        <x:v>各廠商合約&amp; 報價\MD檔案\20251104升駿工程報價單回傳.md</x:v>
      </x:c>
    </x:row>
    <x:row r="722">
      <x:c r="A722" s="69" t="str">
        <x:v>ITEM00718</x:v>
      </x:c>
      <x:c r="B722" s="69" t="str">
        <x:v>SRC047</x:v>
      </x:c>
      <x:c r="C722" s="69" t="str">
        <x:v>2025-2026</x:v>
      </x:c>
      <x:c r="D722" s="69" t="str">
        <x:v>detail</x:v>
      </x:c>
      <x:c r="E722" s="69" t="str">
        <x:v>磚塊、水泥塊(不得有馬桶、磁磚、瓦片、玻璃)</x:v>
      </x:c>
      <x:c r="F722" s="71" t="str">
        <x:v>磚塊、水泥塊(不得有馬桶、磁磚、瓦片、玻璃)</x:v>
      </x:c>
      <x:c r="G722" s="71" t="str">
        <x:v>文件未載明</x:v>
      </x:c>
      <x:c r="H722" s="71" t="str">
        <x:v>文件未載明</x:v>
      </x:c>
      <x:c r="I722" s="72"/>
      <x:c r="J722" s="69" t="str">
        <x:v>文件未載明</x:v>
      </x:c>
      <x:c r="K722" s="70" t="n">
        <x:v>1800</x:v>
      </x:c>
      <x:c r="L722" s="69" t="str">
        <x:v>$1800/米</x:v>
      </x:c>
      <x:c r="M722" s="70"/>
      <x:c r="N722" s="69" t="str">
        <x:v>文件未載明</x:v>
      </x:c>
      <x:c r="O722" s="71" t="str">
        <x:v>文件未載明</x:v>
      </x:c>
      <x:c r="P722" s="71" t="str">
        <x:v>HTML table 1 row 4</x:v>
      </x:c>
      <x:c r="Q722" s="71" t="str">
        <x:v>磚塊、水泥塊(不得有馬桶、磁磚、瓦片、玻璃) | $1800/米 | |</x:v>
      </x:c>
      <x:c r="R722" s="71" t="str">
        <x:v>各廠商合約&amp; 報價\MD檔案\20251104升駿工程報價單回傳.md</x:v>
      </x:c>
    </x:row>
    <x:row r="723">
      <x:c r="A723" s="69" t="str">
        <x:v>ITEM00719</x:v>
      </x:c>
      <x:c r="B723" s="69" t="str">
        <x:v>SRC047</x:v>
      </x:c>
      <x:c r="C723" s="69" t="str">
        <x:v>2025-2026</x:v>
      </x:c>
      <x:c r="D723" s="69" t="str">
        <x:v>detail</x:v>
      </x:c>
      <x:c r="E723" s="69" t="str">
        <x:v>混合廢料</x:v>
      </x:c>
      <x:c r="F723" s="71" t="str">
        <x:v>混合廢料</x:v>
      </x:c>
      <x:c r="G723" s="71" t="str">
        <x:v>文件未載明</x:v>
      </x:c>
      <x:c r="H723" s="71" t="str">
        <x:v>文件未載明</x:v>
      </x:c>
      <x:c r="I723" s="72"/>
      <x:c r="J723" s="69" t="str">
        <x:v>文件未載明</x:v>
      </x:c>
      <x:c r="K723" s="70" t="n">
        <x:v>2800</x:v>
      </x:c>
      <x:c r="L723" s="69" t="str">
        <x:v>$2800/米</x:v>
      </x:c>
      <x:c r="M723" s="70"/>
      <x:c r="N723" s="69" t="str">
        <x:v>文件未載明</x:v>
      </x:c>
      <x:c r="O723" s="71" t="str">
        <x:v>文件未載明</x:v>
      </x:c>
      <x:c r="P723" s="71" t="str">
        <x:v>HTML table 1 row 5</x:v>
      </x:c>
      <x:c r="Q723" s="71" t="str">
        <x:v>混合廢料 | $2800/米 | |</x:v>
      </x:c>
      <x:c r="R723" s="71" t="str">
        <x:v>各廠商合約&amp; 報價\MD檔案\20251104升駿工程報價單回傳.md</x:v>
      </x:c>
    </x:row>
    <x:row r="724">
      <x:c r="A724" s="69" t="str">
        <x:v>ITEM00720</x:v>
      </x:c>
      <x:c r="B724" s="69" t="str">
        <x:v>SRC047</x:v>
      </x:c>
      <x:c r="C724" s="69" t="str">
        <x:v>2025-2026</x:v>
      </x:c>
      <x:c r="D724" s="69" t="str">
        <x:v>detail</x:v>
      </x:c>
      <x:c r="E724" s="69" t="str">
        <x:v>石膏板、矽酸蓋板</x:v>
      </x:c>
      <x:c r="F724" s="71" t="str">
        <x:v>石膏板、矽酸蓋板</x:v>
      </x:c>
      <x:c r="G724" s="71" t="str">
        <x:v>文件未載明</x:v>
      </x:c>
      <x:c r="H724" s="71" t="str">
        <x:v>文件未載明</x:v>
      </x:c>
      <x:c r="I724" s="72"/>
      <x:c r="J724" s="69" t="str">
        <x:v>文件未載明</x:v>
      </x:c>
      <x:c r="K724" s="70" t="n">
        <x:v>3000</x:v>
      </x:c>
      <x:c r="L724" s="69" t="str">
        <x:v>$3000/米</x:v>
      </x:c>
      <x:c r="M724" s="70"/>
      <x:c r="N724" s="69" t="str">
        <x:v>文件未載明</x:v>
      </x:c>
      <x:c r="O724" s="71" t="str">
        <x:v>文件未載明</x:v>
      </x:c>
      <x:c r="P724" s="71" t="str">
        <x:v>HTML table 1 row 6</x:v>
      </x:c>
      <x:c r="Q724" s="71" t="str">
        <x:v>石膏板、矽酸蓋板 | $3000/米 | |</x:v>
      </x:c>
      <x:c r="R724" s="71" t="str">
        <x:v>各廠商合約&amp; 報價\MD檔案\20251104升駿工程報價單回傳.md</x:v>
      </x:c>
    </x:row>
    <x:row r="725">
      <x:c r="A725" s="69" t="str">
        <x:v>ITEM00721</x:v>
      </x:c>
      <x:c r="B725" s="69" t="str">
        <x:v>SRC047</x:v>
      </x:c>
      <x:c r="C725" s="69" t="str">
        <x:v>2025-2026</x:v>
      </x:c>
      <x:c r="D725" s="69" t="str">
        <x:v>detail</x:v>
      </x:c>
      <x:c r="E725" s="69" t="str">
        <x:v>135怪手(飯車運費另計)</x:v>
      </x:c>
      <x:c r="F725" s="71" t="str">
        <x:v>135怪手(飯車運費另計)</x:v>
      </x:c>
      <x:c r="G725" s="71" t="str">
        <x:v>文件未載明</x:v>
      </x:c>
      <x:c r="H725" s="71" t="str">
        <x:v>文件未載明</x:v>
      </x:c>
      <x:c r="I725" s="72"/>
      <x:c r="J725" s="69" t="str">
        <x:v>文件未載明</x:v>
      </x:c>
      <x:c r="K725" s="70" t="n">
        <x:v>9000</x:v>
      </x:c>
      <x:c r="L725" s="69" t="str">
        <x:v>$9000/工</x:v>
      </x:c>
      <x:c r="M725" s="70"/>
      <x:c r="N725" s="69" t="str">
        <x:v>文件未載明</x:v>
      </x:c>
      <x:c r="O725" s="71" t="str">
        <x:v>文件未載明</x:v>
      </x:c>
      <x:c r="P725" s="71" t="str">
        <x:v>HTML table 1 row 7</x:v>
      </x:c>
      <x:c r="Q725" s="71" t="str">
        <x:v>135怪手(飯車運費另計) | $9000/工 | |</x:v>
      </x:c>
      <x:c r="R725" s="71" t="str">
        <x:v>各廠商合約&amp; 報價\MD檔案\20251104升駿工程報價單回傳.md</x:v>
      </x:c>
    </x:row>
    <x:row r="726">
      <x:c r="A726" s="69" t="str">
        <x:v>ITEM00722</x:v>
      </x:c>
      <x:c r="B726" s="69" t="str">
        <x:v>SRC047</x:v>
      </x:c>
      <x:c r="C726" s="69" t="str">
        <x:v>2025-2026</x:v>
      </x:c>
      <x:c r="D726" s="69" t="str">
        <x:v>detail</x:v>
      </x:c>
      <x:c r="E726" s="69" t="str">
        <x:v>135怪手破碎機、鋼牙</x:v>
      </x:c>
      <x:c r="F726" s="71" t="str">
        <x:v>135怪手破碎機、鋼牙</x:v>
      </x:c>
      <x:c r="G726" s="71" t="str">
        <x:v>文件未載明</x:v>
      </x:c>
      <x:c r="H726" s="71" t="str">
        <x:v>文件未載明</x:v>
      </x:c>
      <x:c r="I726" s="72"/>
      <x:c r="J726" s="69" t="str">
        <x:v>文件未載明</x:v>
      </x:c>
      <x:c r="K726" s="70" t="n">
        <x:v>3000</x:v>
      </x:c>
      <x:c r="L726" s="69" t="str">
        <x:v>$3000/工</x:v>
      </x:c>
      <x:c r="M726" s="70"/>
      <x:c r="N726" s="69" t="str">
        <x:v>文件未載明</x:v>
      </x:c>
      <x:c r="O726" s="71" t="str">
        <x:v>文件未載明</x:v>
      </x:c>
      <x:c r="P726" s="71" t="str">
        <x:v>HTML table 1 row 8</x:v>
      </x:c>
      <x:c r="Q726" s="71" t="str">
        <x:v>135怪手破碎機、鋼牙 | $3000/工 | |</x:v>
      </x:c>
      <x:c r="R726" s="71" t="str">
        <x:v>各廠商合約&amp; 報價\MD檔案\20251104升駿工程報價單回傳.md</x:v>
      </x:c>
    </x:row>
    <x:row r="727">
      <x:c r="A727" s="69" t="str">
        <x:v>ITEM00723</x:v>
      </x:c>
      <x:c r="B727" s="69" t="str">
        <x:v>SRC047</x:v>
      </x:c>
      <x:c r="C727" s="69" t="str">
        <x:v>2025-2026</x:v>
      </x:c>
      <x:c r="D727" s="69" t="str">
        <x:v>detail</x:v>
      </x:c>
      <x:c r="E727" s="69" t="str">
        <x:v>200怪手(飯車運費另計)</x:v>
      </x:c>
      <x:c r="F727" s="71" t="str">
        <x:v>200怪手(飯車運費另計)</x:v>
      </x:c>
      <x:c r="G727" s="71" t="str">
        <x:v>文件未載明</x:v>
      </x:c>
      <x:c r="H727" s="71" t="str">
        <x:v>文件未載明</x:v>
      </x:c>
      <x:c r="I727" s="72"/>
      <x:c r="J727" s="69" t="str">
        <x:v>文件未載明</x:v>
      </x:c>
      <x:c r="K727" s="70" t="n">
        <x:v>12000</x:v>
      </x:c>
      <x:c r="L727" s="69" t="str">
        <x:v>$12000/工</x:v>
      </x:c>
      <x:c r="M727" s="70"/>
      <x:c r="N727" s="69" t="str">
        <x:v>文件未載明</x:v>
      </x:c>
      <x:c r="O727" s="71" t="str">
        <x:v>文件未載明</x:v>
      </x:c>
      <x:c r="P727" s="71" t="str">
        <x:v>HTML table 1 row 9</x:v>
      </x:c>
      <x:c r="Q727" s="71" t="str">
        <x:v>200怪手(飯車運費另計) | $12000/工 | |</x:v>
      </x:c>
      <x:c r="R727" s="71" t="str">
        <x:v>各廠商合約&amp; 報價\MD檔案\20251104升駿工程報價單回傳.md</x:v>
      </x:c>
    </x:row>
    <x:row r="728">
      <x:c r="A728" s="69" t="str">
        <x:v>ITEM00724</x:v>
      </x:c>
      <x:c r="B728" s="69" t="str">
        <x:v>SRC047</x:v>
      </x:c>
      <x:c r="C728" s="69" t="str">
        <x:v>2025-2026</x:v>
      </x:c>
      <x:c r="D728" s="69" t="str">
        <x:v>detail</x:v>
      </x:c>
      <x:c r="E728" s="69" t="str">
        <x:v>55怪手</x:v>
      </x:c>
      <x:c r="F728" s="71" t="str">
        <x:v>55怪手</x:v>
      </x:c>
      <x:c r="G728" s="71" t="str">
        <x:v>文件未載明</x:v>
      </x:c>
      <x:c r="H728" s="71" t="str">
        <x:v>文件未載明</x:v>
      </x:c>
      <x:c r="I728" s="72"/>
      <x:c r="J728" s="69" t="str">
        <x:v>文件未載明</x:v>
      </x:c>
      <x:c r="K728" s="70" t="n">
        <x:v>8000</x:v>
      </x:c>
      <x:c r="L728" s="69" t="str">
        <x:v>$8000/工</x:v>
      </x:c>
      <x:c r="M728" s="70"/>
      <x:c r="N728" s="69" t="str">
        <x:v>文件未載明</x:v>
      </x:c>
      <x:c r="O728" s="71" t="str">
        <x:v>文件未載明</x:v>
      </x:c>
      <x:c r="P728" s="71" t="str">
        <x:v>HTML table 1 row 10</x:v>
      </x:c>
      <x:c r="Q728" s="71" t="str">
        <x:v>55怪手 | $8000/工 | |</x:v>
      </x:c>
      <x:c r="R728" s="71" t="str">
        <x:v>各廠商合約&amp; 報價\MD檔案\20251104升駿工程報價單回傳.md</x:v>
      </x:c>
    </x:row>
    <x:row r="729">
      <x:c r="A729" s="69" t="str">
        <x:v>ITEM00725</x:v>
      </x:c>
      <x:c r="B729" s="69" t="str">
        <x:v>SRC047</x:v>
      </x:c>
      <x:c r="C729" s="69" t="str">
        <x:v>2025-2026</x:v>
      </x:c>
      <x:c r="D729" s="69" t="str">
        <x:v>detail</x:v>
      </x:c>
      <x:c r="E729" s="69" t="str">
        <x:v>55怪手破碎、夾斗、剪刀</x:v>
      </x:c>
      <x:c r="F729" s="71" t="str">
        <x:v>55怪手破碎、夾斗、剪刀</x:v>
      </x:c>
      <x:c r="G729" s="71" t="str">
        <x:v>文件未載明</x:v>
      </x:c>
      <x:c r="H729" s="71" t="str">
        <x:v>文件未載明</x:v>
      </x:c>
      <x:c r="I729" s="72"/>
      <x:c r="J729" s="69" t="str">
        <x:v>文件未載明</x:v>
      </x:c>
      <x:c r="K729" s="70" t="n">
        <x:v>3000</x:v>
      </x:c>
      <x:c r="L729" s="69" t="str">
        <x:v>$3000/工</x:v>
      </x:c>
      <x:c r="M729" s="70"/>
      <x:c r="N729" s="69" t="str">
        <x:v>文件未載明</x:v>
      </x:c>
      <x:c r="O729" s="71" t="str">
        <x:v>文件未載明</x:v>
      </x:c>
      <x:c r="P729" s="71" t="str">
        <x:v>HTML table 1 row 11</x:v>
      </x:c>
      <x:c r="Q729" s="71" t="str">
        <x:v>55怪手破碎、夾斗、剪刀 | $3000/工 | |</x:v>
      </x:c>
      <x:c r="R729" s="71" t="str">
        <x:v>各廠商合約&amp; 報價\MD檔案\20251104升駿工程報價單回傳.md</x:v>
      </x:c>
    </x:row>
    <x:row r="730">
      <x:c r="A730" s="69" t="str">
        <x:v>ITEM00726</x:v>
      </x:c>
      <x:c r="B730" s="69" t="str">
        <x:v>SRC047</x:v>
      </x:c>
      <x:c r="C730" s="69" t="str">
        <x:v>2025-2026</x:v>
      </x:c>
      <x:c r="D730" s="69" t="str">
        <x:v>detail</x:v>
      </x:c>
      <x:c r="E730" s="69" t="str">
        <x:v>17怪手</x:v>
      </x:c>
      <x:c r="F730" s="71" t="str">
        <x:v>17怪手</x:v>
      </x:c>
      <x:c r="G730" s="71" t="str">
        <x:v>文件未載明</x:v>
      </x:c>
      <x:c r="H730" s="71" t="str">
        <x:v>文件未載明</x:v>
      </x:c>
      <x:c r="I730" s="72"/>
      <x:c r="J730" s="69" t="str">
        <x:v>文件未載明</x:v>
      </x:c>
      <x:c r="K730" s="70" t="n">
        <x:v>8000</x:v>
      </x:c>
      <x:c r="L730" s="69" t="str">
        <x:v>$8000/工</x:v>
      </x:c>
      <x:c r="M730" s="70"/>
      <x:c r="N730" s="69" t="str">
        <x:v>文件未載明</x:v>
      </x:c>
      <x:c r="O730" s="71" t="str">
        <x:v>文件未載明</x:v>
      </x:c>
      <x:c r="P730" s="71" t="str">
        <x:v>HTML table 1 row 12</x:v>
      </x:c>
      <x:c r="Q730" s="71" t="str">
        <x:v>17怪手 | $8000/工 | |</x:v>
      </x:c>
      <x:c r="R730" s="71" t="str">
        <x:v>各廠商合約&amp; 報價\MD檔案\20251104升駿工程報價單回傳.md</x:v>
      </x:c>
    </x:row>
    <x:row r="731">
      <x:c r="A731" s="69" t="str">
        <x:v>ITEM00727</x:v>
      </x:c>
      <x:c r="B731" s="69" t="str">
        <x:v>SRC047</x:v>
      </x:c>
      <x:c r="C731" s="69" t="str">
        <x:v>2025-2026</x:v>
      </x:c>
      <x:c r="D731" s="69" t="str">
        <x:v>detail</x:v>
      </x:c>
      <x:c r="E731" s="69" t="str">
        <x:v>17怪手破碎、夾斗</x:v>
      </x:c>
      <x:c r="F731" s="71" t="str">
        <x:v>17怪手破碎、夾斗</x:v>
      </x:c>
      <x:c r="G731" s="71" t="str">
        <x:v>文件未載明</x:v>
      </x:c>
      <x:c r="H731" s="71" t="str">
        <x:v>文件未載明</x:v>
      </x:c>
      <x:c r="I731" s="72"/>
      <x:c r="J731" s="69" t="str">
        <x:v>文件未載明</x:v>
      </x:c>
      <x:c r="K731" s="70" t="n">
        <x:v>3000</x:v>
      </x:c>
      <x:c r="L731" s="69" t="str">
        <x:v>$3000/工</x:v>
      </x:c>
      <x:c r="M731" s="70"/>
      <x:c r="N731" s="69" t="str">
        <x:v>文件未載明</x:v>
      </x:c>
      <x:c r="O731" s="71" t="str">
        <x:v>文件未載明</x:v>
      </x:c>
      <x:c r="P731" s="71" t="str">
        <x:v>HTML table 1 row 13</x:v>
      </x:c>
      <x:c r="Q731" s="71" t="str">
        <x:v>17怪手破碎、夾斗 | $3000/工 | |</x:v>
      </x:c>
      <x:c r="R731" s="71" t="str">
        <x:v>各廠商合約&amp; 報價\MD檔案\20251104升駿工程報價單回傳.md</x:v>
      </x:c>
    </x:row>
    <x:row r="732">
      <x:c r="A732" s="69" t="str">
        <x:v>ITEM00728</x:v>
      </x:c>
      <x:c r="B732" s="69" t="str">
        <x:v>SRC047</x:v>
      </x:c>
      <x:c r="C732" s="69" t="str">
        <x:v>2025-2026</x:v>
      </x:c>
      <x:c r="D732" s="69" t="str">
        <x:v>detail</x:v>
      </x:c>
      <x:c r="E732" s="69" t="str">
        <x:v>鏈裝機</x:v>
      </x:c>
      <x:c r="F732" s="71" t="str">
        <x:v>鏈裝機</x:v>
      </x:c>
      <x:c r="G732" s="71" t="str">
        <x:v>文件未載明</x:v>
      </x:c>
      <x:c r="H732" s="71" t="str">
        <x:v>文件未載明</x:v>
      </x:c>
      <x:c r="I732" s="72"/>
      <x:c r="J732" s="69" t="str">
        <x:v>文件未載明</x:v>
      </x:c>
      <x:c r="K732" s="70" t="n">
        <x:v>8000</x:v>
      </x:c>
      <x:c r="L732" s="69" t="str">
        <x:v>$8000/工</x:v>
      </x:c>
      <x:c r="M732" s="70"/>
      <x:c r="N732" s="69" t="str">
        <x:v>文件未載明</x:v>
      </x:c>
      <x:c r="O732" s="71" t="str">
        <x:v>文件未載明</x:v>
      </x:c>
      <x:c r="P732" s="71" t="str">
        <x:v>HTML table 1 row 14</x:v>
      </x:c>
      <x:c r="Q732" s="71" t="str">
        <x:v>鏈裝機 | $8000/工 | |</x:v>
      </x:c>
      <x:c r="R732" s="71" t="str">
        <x:v>各廠商合約&amp; 報價\MD檔案\20251104升駿工程報價單回傳.md</x:v>
      </x:c>
    </x:row>
    <x:row r="733">
      <x:c r="A733" s="69" t="str">
        <x:v>ITEM00729</x:v>
      </x:c>
      <x:c r="B733" s="69" t="str">
        <x:v>SRC047</x:v>
      </x:c>
      <x:c r="C733" s="69" t="str">
        <x:v>2025-2026</x:v>
      </x:c>
      <x:c r="D733" s="69" t="str">
        <x:v>detail</x:v>
      </x:c>
      <x:c r="E733" s="69" t="str">
        <x:v>掃地機</x:v>
      </x:c>
      <x:c r="F733" s="71" t="str">
        <x:v>掃地機</x:v>
      </x:c>
      <x:c r="G733" s="71" t="str">
        <x:v>文件未載明</x:v>
      </x:c>
      <x:c r="H733" s="71" t="str">
        <x:v>文件未載明</x:v>
      </x:c>
      <x:c r="I733" s="72"/>
      <x:c r="J733" s="69" t="str">
        <x:v>文件未載明</x:v>
      </x:c>
      <x:c r="K733" s="70" t="n">
        <x:v>12000</x:v>
      </x:c>
      <x:c r="L733" s="69" t="str">
        <x:v>$12000/工</x:v>
      </x:c>
      <x:c r="M733" s="70"/>
      <x:c r="N733" s="69" t="str">
        <x:v>文件未載明</x:v>
      </x:c>
      <x:c r="O733" s="71" t="str">
        <x:v>文件未載明</x:v>
      </x:c>
      <x:c r="P733" s="71" t="str">
        <x:v>HTML table 1 row 15</x:v>
      </x:c>
      <x:c r="Q733" s="71" t="str">
        <x:v>掃地機 | $12000/工 | |</x:v>
      </x:c>
      <x:c r="R733" s="71" t="str">
        <x:v>各廠商合約&amp; 報價\MD檔案\20251104升駿工程報價單回傳.md</x:v>
      </x:c>
    </x:row>
    <x:row r="734">
      <x:c r="A734" s="69" t="str">
        <x:v>ITEM00730</x:v>
      </x:c>
      <x:c r="B734" s="69" t="str">
        <x:v>SRC047</x:v>
      </x:c>
      <x:c r="C734" s="69" t="str">
        <x:v>2025-2026</x:v>
      </x:c>
      <x:c r="D734" s="69" t="str">
        <x:v>detail</x:v>
      </x:c>
      <x:c r="E734" s="69" t="str">
        <x:v>小車做工</x:v>
      </x:c>
      <x:c r="F734" s="71" t="str">
        <x:v>小車做工</x:v>
      </x:c>
      <x:c r="G734" s="71" t="str">
        <x:v>文件未載明</x:v>
      </x:c>
      <x:c r="H734" s="71" t="str">
        <x:v>文件未載明</x:v>
      </x:c>
      <x:c r="I734" s="72"/>
      <x:c r="J734" s="69" t="str">
        <x:v>文件未載明</x:v>
      </x:c>
      <x:c r="K734" s="70" t="n">
        <x:v>8000</x:v>
      </x:c>
      <x:c r="L734" s="69" t="str">
        <x:v>$8000/工</x:v>
      </x:c>
      <x:c r="M734" s="70"/>
      <x:c r="N734" s="69" t="str">
        <x:v>文件未載明</x:v>
      </x:c>
      <x:c r="O734" s="71" t="str">
        <x:v>文件未載明</x:v>
      </x:c>
      <x:c r="P734" s="71" t="str">
        <x:v>HTML table 1 row 16</x:v>
      </x:c>
      <x:c r="Q734" s="71" t="str">
        <x:v>小車做工 | $8000/工 | |</x:v>
      </x:c>
      <x:c r="R734" s="71" t="str">
        <x:v>各廠商合約&amp; 報價\MD檔案\20251104升駿工程報價單回傳.md</x:v>
      </x:c>
    </x:row>
    <x:row r="735">
      <x:c r="A735" s="69" t="str">
        <x:v>ITEM00731</x:v>
      </x:c>
      <x:c r="B735" s="69" t="str">
        <x:v>SRC047</x:v>
      </x:c>
      <x:c r="C735" s="69" t="str">
        <x:v>2025-2026</x:v>
      </x:c>
      <x:c r="D735" s="69" t="str">
        <x:v>detail</x:v>
      </x:c>
      <x:c r="E735" s="69" t="str">
        <x:v>大車做工</x:v>
      </x:c>
      <x:c r="F735" s="71" t="str">
        <x:v>大車做工</x:v>
      </x:c>
      <x:c r="G735" s="71" t="str">
        <x:v>文件未載明</x:v>
      </x:c>
      <x:c r="H735" s="71" t="str">
        <x:v>文件未載明</x:v>
      </x:c>
      <x:c r="I735" s="72"/>
      <x:c r="J735" s="69" t="str">
        <x:v>文件未載明</x:v>
      </x:c>
      <x:c r="K735" s="70" t="n">
        <x:v>10000</x:v>
      </x:c>
      <x:c r="L735" s="69" t="str">
        <x:v>$10000/工</x:v>
      </x:c>
      <x:c r="M735" s="70"/>
      <x:c r="N735" s="69" t="str">
        <x:v>文件未載明</x:v>
      </x:c>
      <x:c r="O735" s="71" t="str">
        <x:v>文件未載明</x:v>
      </x:c>
      <x:c r="P735" s="71" t="str">
        <x:v>HTML table 1 row 17</x:v>
      </x:c>
      <x:c r="Q735" s="71" t="str">
        <x:v>大車做工 | $10000/工 | |</x:v>
      </x:c>
      <x:c r="R735" s="71" t="str">
        <x:v>各廠商合約&amp; 報價\MD檔案\20251104升駿工程報價單回傳.md</x:v>
      </x:c>
    </x:row>
    <x:row r="736">
      <x:c r="A736" s="69" t="str">
        <x:v>ITEM00732</x:v>
      </x:c>
      <x:c r="B736" s="69" t="str">
        <x:v>SRC047</x:v>
      </x:c>
      <x:c r="C736" s="69" t="str">
        <x:v>2025-2026</x:v>
      </x:c>
      <x:c r="D736" s="69" t="str">
        <x:v>detail</x:v>
      </x:c>
      <x:c r="E736" s="69" t="str">
        <x:v>條款及細則</x:v>
      </x:c>
      <x:c r="F736" s="71" t="str">
        <x:v>條款及細則</x:v>
      </x:c>
      <x:c r="G736" s="71" t="str">
        <x:v>文件未載明</x:v>
      </x:c>
      <x:c r="H736" s="71" t="str">
        <x:v>文件未載明</x:v>
      </x:c>
      <x:c r="I736" s="72"/>
      <x:c r="J736" s="69" t="str">
        <x:v>文件未載明</x:v>
      </x:c>
      <x:c r="K736" s="70"/>
      <x:c r="L736" s="69" t="str">
        <x:v>文件未載明</x:v>
      </x:c>
      <x:c r="M736" s="70"/>
      <x:c r="N736" s="69" t="str">
        <x:v>文件未載明</x:v>
      </x:c>
      <x:c r="O736" s="71" t="str">
        <x:v>文件未載明</x:v>
      </x:c>
      <x:c r="P736" s="71" t="str">
        <x:v>HTML table 1 row 18</x:v>
      </x:c>
      <x:c r="Q736" s="71" t="str">
        <x:v>條款及細則</x:v>
      </x:c>
      <x:c r="R736" s="71" t="str">
        <x:v>各廠商合約&amp; 報價\MD檔案\20251104升駿工程報價單回傳.md</x:v>
      </x:c>
    </x:row>
    <x:row r="737">
      <x:c r="A737" s="69" t="str">
        <x:v>ITEM00733</x:v>
      </x:c>
      <x:c r="B737" s="69" t="str">
        <x:v>SRC048</x:v>
      </x:c>
      <x:c r="C737" s="69" t="str">
        <x:v>2025-2026</x:v>
      </x:c>
      <x:c r="D737" s="69" t="str">
        <x:v>detail</x:v>
      </x:c>
      <x:c r="E737" s="69" t="str">
        <x:v>文件未載明</x:v>
      </x:c>
      <x:c r="F737" s="71" t="str">
        <x:v>山源工程行報價單</x:v>
      </x:c>
      <x:c r="G737" s="71" t="str">
        <x:v>文件未載明</x:v>
      </x:c>
      <x:c r="H737" s="71" t="str">
        <x:v>文件未載明</x:v>
      </x:c>
      <x:c r="I737" s="72"/>
      <x:c r="J737" s="69" t="str">
        <x:v>文件未載明</x:v>
      </x:c>
      <x:c r="K737" s="70"/>
      <x:c r="L737" s="69" t="str">
        <x:v>文件未載明</x:v>
      </x:c>
      <x:c r="M737" s="70"/>
      <x:c r="N737" s="69" t="str">
        <x:v>文件未載明</x:v>
      </x:c>
      <x:c r="O737" s="71" t="str">
        <x:v>文件未載明</x:v>
      </x:c>
      <x:c r="P737" s="71" t="str">
        <x:v>HTML table 1 row 1</x:v>
      </x:c>
      <x:c r="Q737" s="71" t="str">
        <x:v>山源工程行報價單</x:v>
      </x:c>
      <x:c r="R737" s="71" t="str">
        <x:v>各廠商合約&amp; 報價\MD檔案\20251106山源工程-清水模潑水劑報價單回傳.md</x:v>
      </x:c>
    </x:row>
    <x:row r="738">
      <x:c r="A738" s="69" t="str">
        <x:v>ITEM00734</x:v>
      </x:c>
      <x:c r="B738" s="69" t="str">
        <x:v>SRC048</x:v>
      </x:c>
      <x:c r="C738" s="69" t="str">
        <x:v>2025-2026</x:v>
      </x:c>
      <x:c r="D738" s="69" t="str">
        <x:v>detail</x:v>
      </x:c>
      <x:c r="E738" s="69" t="str">
        <x:v>文件未載明</x:v>
      </x:c>
      <x:c r="F738" s="71" t="str">
        <x:v>業主名稱:向上建設</x:v>
      </x:c>
      <x:c r="G738" s="71" t="str">
        <x:v>文件未載明</x:v>
      </x:c>
      <x:c r="H738" s="71" t="str">
        <x:v>文件未載明</x:v>
      </x:c>
      <x:c r="I738" s="72"/>
      <x:c r="J738" s="69" t="str">
        <x:v>文件未載明</x:v>
      </x:c>
      <x:c r="K738" s="70"/>
      <x:c r="L738" s="69" t="str">
        <x:v>文件未載明</x:v>
      </x:c>
      <x:c r="M738" s="70"/>
      <x:c r="N738" s="69" t="str">
        <x:v>文件未載明</x:v>
      </x:c>
      <x:c r="O738" s="71" t="str">
        <x:v>文件未載明</x:v>
      </x:c>
      <x:c r="P738" s="71" t="str">
        <x:v>HTML table 1 row 2</x:v>
      </x:c>
      <x:c r="Q738" s="71" t="str">
        <x:v>業主名稱:向上建設</x:v>
      </x:c>
      <x:c r="R738" s="71" t="str">
        <x:v>各廠商合約&amp; 報價\MD檔案\20251106山源工程-清水模潑水劑報價單回傳.md</x:v>
      </x:c>
    </x:row>
    <x:row r="739">
      <x:c r="A739" s="69" t="str">
        <x:v>ITEM00735</x:v>
      </x:c>
      <x:c r="B739" s="69" t="str">
        <x:v>SRC048</x:v>
      </x:c>
      <x:c r="C739" s="69" t="str">
        <x:v>2025-2026</x:v>
      </x:c>
      <x:c r="D739" s="69" t="str">
        <x:v>detail</x:v>
      </x:c>
      <x:c r="E739" s="69" t="str">
        <x:v>文件未載明</x:v>
      </x:c>
      <x:c r="F739" s="71" t="str">
        <x:v>工程地點:後龍</x:v>
      </x:c>
      <x:c r="G739" s="71" t="str">
        <x:v>文件未載明</x:v>
      </x:c>
      <x:c r="H739" s="71" t="str">
        <x:v>文件未載明</x:v>
      </x:c>
      <x:c r="I739" s="72"/>
      <x:c r="J739" s="69" t="str">
        <x:v>文件未載明</x:v>
      </x:c>
      <x:c r="K739" s="70"/>
      <x:c r="L739" s="69" t="str">
        <x:v>文件未載明</x:v>
      </x:c>
      <x:c r="M739" s="70"/>
      <x:c r="N739" s="69" t="str">
        <x:v>文件未載明</x:v>
      </x:c>
      <x:c r="O739" s="71" t="str">
        <x:v>文件未載明</x:v>
      </x:c>
      <x:c r="P739" s="71" t="str">
        <x:v>HTML table 1 row 3</x:v>
      </x:c>
      <x:c r="Q739" s="71" t="str">
        <x:v>工程地點:後龍 | 日期:114年11月04日</x:v>
      </x:c>
      <x:c r="R739" s="71" t="str">
        <x:v>各廠商合約&amp; 報價\MD檔案\20251106山源工程-清水模潑水劑報價單回傳.md</x:v>
      </x:c>
    </x:row>
    <x:row r="740">
      <x:c r="A740" s="69" t="str">
        <x:v>ITEM00736</x:v>
      </x:c>
      <x:c r="B740" s="69" t="str">
        <x:v>SRC048</x:v>
      </x:c>
      <x:c r="C740" s="69" t="str">
        <x:v>2025-2026</x:v>
      </x:c>
      <x:c r="D740" s="69" t="str">
        <x:v>header</x:v>
      </x:c>
      <x:c r="E740" s="69" t="str">
        <x:v>項次</x:v>
      </x:c>
      <x:c r="F740" s="71" t="str">
        <x:v>工程項目</x:v>
      </x:c>
      <x:c r="G740" s="71" t="str">
        <x:v>規格</x:v>
      </x:c>
      <x:c r="H740" s="71" t="str">
        <x:v>文件未載明</x:v>
      </x:c>
      <x:c r="I740" s="72"/>
      <x:c r="J740" s="69" t="str">
        <x:v>數量</x:v>
      </x:c>
      <x:c r="K740" s="70"/>
      <x:c r="L740" s="69" t="str">
        <x:v>單價</x:v>
      </x:c>
      <x:c r="M740" s="70"/>
      <x:c r="N740" s="69" t="str">
        <x:v>複價</x:v>
      </x:c>
      <x:c r="O740" s="71" t="str">
        <x:v>備註</x:v>
      </x:c>
      <x:c r="P740" s="71" t="str">
        <x:v>HTML table 1 row 4</x:v>
      </x:c>
      <x:c r="Q740" s="71" t="str">
        <x:v>項次 | 工程項目 | 規格 | 數量 | 單價 | 複價 | 備註</x:v>
      </x:c>
      <x:c r="R740" s="71" t="str">
        <x:v>各廠商合約&amp; 報價\MD檔案\20251106山源工程-清水模潑水劑報價單回傳.md</x:v>
      </x:c>
    </x:row>
    <x:row r="741">
      <x:c r="A741" s="69" t="str">
        <x:v>ITEM00737</x:v>
      </x:c>
      <x:c r="B741" s="69" t="str">
        <x:v>SRC048</x:v>
      </x:c>
      <x:c r="C741" s="69" t="str">
        <x:v>2025-2026</x:v>
      </x:c>
      <x:c r="D741" s="69" t="str">
        <x:v>detail</x:v>
      </x:c>
      <x:c r="E741" s="69" t="str">
        <x:v>1</x:v>
      </x:c>
      <x:c r="F741" s="71" t="str">
        <x:v>清水模潑水劑塗佈</x:v>
      </x:c>
      <x:c r="G741" s="71" t="str">
        <x:v>m2</x:v>
      </x:c>
      <x:c r="H741" s="71" t="str">
        <x:v>文件未載明</x:v>
      </x:c>
      <x:c r="I741" s="72" t="n">
        <x:v>40</x:v>
      </x:c>
      <x:c r="J741" s="69" t="str">
        <x:v>40</x:v>
      </x:c>
      <x:c r="K741" s="70" t="n">
        <x:v>420</x:v>
      </x:c>
      <x:c r="L741" s="69" t="str">
        <x:v>420</x:v>
      </x:c>
      <x:c r="M741" s="70" t="n">
        <x:v>16800</x:v>
      </x:c>
      <x:c r="N741" s="69" t="str">
        <x:v>16,800</x:v>
      </x:c>
      <x:c r="O741" s="71" t="str">
        <x:v>文件未載明</x:v>
      </x:c>
      <x:c r="P741" s="71" t="str">
        <x:v>HTML table 1 row 5</x:v>
      </x:c>
      <x:c r="Q741" s="71" t="str">
        <x:v>1 | 清水模潑水劑塗佈 | m2 | 40 | 420 | 16,800 |</x:v>
      </x:c>
      <x:c r="R741" s="71" t="str">
        <x:v>各廠商合約&amp; 報價\MD檔案\20251106山源工程-清水模潑水劑報價單回傳.md</x:v>
      </x:c>
    </x:row>
    <x:row r="742">
      <x:c r="A742" s="69" t="str">
        <x:v>ITEM00738</x:v>
      </x:c>
      <x:c r="B742" s="69" t="str">
        <x:v>SRC048</x:v>
      </x:c>
      <x:c r="C742" s="69" t="str">
        <x:v>2025-2026</x:v>
      </x:c>
      <x:c r="D742" s="69" t="str">
        <x:v>detail</x:v>
      </x:c>
      <x:c r="E742" s="69" t="str">
        <x:v>文件未載明</x:v>
      </x:c>
      <x:c r="F742" s="71" t="str">
        <x:v>文件未載明</x:v>
      </x:c>
      <x:c r="G742" s="71" t="str">
        <x:v>文件未載明</x:v>
      </x:c>
      <x:c r="H742" s="71" t="str">
        <x:v>文件未載明</x:v>
      </x:c>
      <x:c r="I742" s="72"/>
      <x:c r="J742" s="69" t="str">
        <x:v>文件未載明</x:v>
      </x:c>
      <x:c r="K742" s="70" t="n">
        <x:v>400</x:v>
      </x:c>
      <x:c r="L742" s="69" t="str">
        <x:v>400</x:v>
      </x:c>
      <x:c r="M742" s="70"/>
      <x:c r="N742" s="69" t="str">
        <x:v>文件未載明</x:v>
      </x:c>
      <x:c r="O742" s="71" t="str">
        <x:v>文件未載明</x:v>
      </x:c>
      <x:c r="P742" s="71" t="str">
        <x:v>HTML table 1 row 6</x:v>
      </x:c>
      <x:c r="Q742" s="71" t="str">
        <x:v>| | | | 400 | |</x:v>
      </x:c>
      <x:c r="R742" s="71" t="str">
        <x:v>各廠商合約&amp; 報價\MD檔案\20251106山源工程-清水模潑水劑報價單回傳.md</x:v>
      </x:c>
    </x:row>
    <x:row r="743">
      <x:c r="A743" s="69" t="str">
        <x:v>ITEM00739</x:v>
      </x:c>
      <x:c r="B743" s="69" t="str">
        <x:v>SRC048</x:v>
      </x:c>
      <x:c r="C743" s="69" t="str">
        <x:v>2025-2026</x:v>
      </x:c>
      <x:c r="D743" s="69" t="str">
        <x:v>summary</x:v>
      </x:c>
      <x:c r="E743" s="69" t="str">
        <x:v>文件未載明</x:v>
      </x:c>
      <x:c r="F743" s="71" t="str">
        <x:v>小計</x:v>
      </x:c>
      <x:c r="G743" s="71" t="str">
        <x:v>文件未載明</x:v>
      </x:c>
      <x:c r="H743" s="71" t="str">
        <x:v>文件未載明</x:v>
      </x:c>
      <x:c r="I743" s="72"/>
      <x:c r="J743" s="69" t="str">
        <x:v>文件未載明</x:v>
      </x:c>
      <x:c r="K743" s="70"/>
      <x:c r="L743" s="69" t="str">
        <x:v>文件未載明</x:v>
      </x:c>
      <x:c r="M743" s="70"/>
      <x:c r="N743" s="69" t="str">
        <x:v>小計</x:v>
      </x:c>
      <x:c r="O743" s="71" t="str">
        <x:v>文件未載明</x:v>
      </x:c>
      <x:c r="P743" s="71" t="str">
        <x:v>HTML table 1 row 18</x:v>
      </x:c>
      <x:c r="Q743" s="71" t="str">
        <x:v>| | | | | 小計 |</x:v>
      </x:c>
      <x:c r="R743" s="71" t="str">
        <x:v>各廠商合約&amp; 報價\MD檔案\20251106山源工程-清水模潑水劑報價單回傳.md</x:v>
      </x:c>
    </x:row>
    <x:row r="744">
      <x:c r="A744" s="69" t="str">
        <x:v>ITEM00740</x:v>
      </x:c>
      <x:c r="B744" s="69" t="str">
        <x:v>SRC048</x:v>
      </x:c>
      <x:c r="C744" s="69" t="str">
        <x:v>2025-2026</x:v>
      </x:c>
      <x:c r="D744" s="69" t="str">
        <x:v>summary</x:v>
      </x:c>
      <x:c r="E744" s="69" t="str">
        <x:v>文件未載明</x:v>
      </x:c>
      <x:c r="F744" s="71" t="str">
        <x:v>稅金</x:v>
      </x:c>
      <x:c r="G744" s="71" t="str">
        <x:v>文件未載明</x:v>
      </x:c>
      <x:c r="H744" s="71" t="str">
        <x:v>文件未載明</x:v>
      </x:c>
      <x:c r="I744" s="72"/>
      <x:c r="J744" s="69" t="str">
        <x:v>文件未載明</x:v>
      </x:c>
      <x:c r="K744" s="70"/>
      <x:c r="L744" s="69" t="str">
        <x:v>文件未載明</x:v>
      </x:c>
      <x:c r="M744" s="70"/>
      <x:c r="N744" s="69" t="str">
        <x:v>稅金</x:v>
      </x:c>
      <x:c r="O744" s="71" t="str">
        <x:v>文件未載明</x:v>
      </x:c>
      <x:c r="P744" s="71" t="str">
        <x:v>HTML table 1 row 19</x:v>
      </x:c>
      <x:c r="Q744" s="71" t="str">
        <x:v>| | | | | 稅金 |</x:v>
      </x:c>
      <x:c r="R744" s="71" t="str">
        <x:v>各廠商合約&amp; 報價\MD檔案\20251106山源工程-清水模潑水劑報價單回傳.md</x:v>
      </x:c>
    </x:row>
    <x:row r="745">
      <x:c r="A745" s="69" t="str">
        <x:v>ITEM00741</x:v>
      </x:c>
      <x:c r="B745" s="69" t="str">
        <x:v>SRC048</x:v>
      </x:c>
      <x:c r="C745" s="69" t="str">
        <x:v>2025-2026</x:v>
      </x:c>
      <x:c r="D745" s="69" t="str">
        <x:v>summary</x:v>
      </x:c>
      <x:c r="E745" s="69" t="str">
        <x:v>文件未載明</x:v>
      </x:c>
      <x:c r="F745" s="71" t="str">
        <x:v>合計</x:v>
      </x:c>
      <x:c r="G745" s="71" t="str">
        <x:v>文件未載明</x:v>
      </x:c>
      <x:c r="H745" s="71" t="str">
        <x:v>文件未載明</x:v>
      </x:c>
      <x:c r="I745" s="72"/>
      <x:c r="J745" s="69" t="str">
        <x:v>文件未載明</x:v>
      </x:c>
      <x:c r="K745" s="70"/>
      <x:c r="L745" s="69" t="str">
        <x:v>文件未載明</x:v>
      </x:c>
      <x:c r="M745" s="70"/>
      <x:c r="N745" s="69" t="str">
        <x:v>合計</x:v>
      </x:c>
      <x:c r="O745" s="71" t="str">
        <x:v>16,800</x:v>
      </x:c>
      <x:c r="P745" s="71" t="str">
        <x:v>HTML table 1 row 20</x:v>
      </x:c>
      <x:c r="Q745" s="71" t="str">
        <x:v>| | | | | 合計 | 16,800</x:v>
      </x:c>
      <x:c r="R745" s="71" t="str">
        <x:v>各廠商合約&amp; 報價\MD檔案\20251106山源工程-清水模潑水劑報價單回傳.md</x:v>
      </x:c>
    </x:row>
    <x:row r="746">
      <x:c r="A746" s="69" t="str">
        <x:v>ITEM00742</x:v>
      </x:c>
      <x:c r="B746" s="69" t="str">
        <x:v>SRC048</x:v>
      </x:c>
      <x:c r="C746" s="69" t="str">
        <x:v>2025-2026</x:v>
      </x:c>
      <x:c r="D746" s="69" t="str">
        <x:v>detail</x:v>
      </x:c>
      <x:c r="E746" s="69" t="str">
        <x:v>文件未載明</x:v>
      </x:c>
      <x:c r="F746" s="71" t="str">
        <x:v>文件未載明</x:v>
      </x:c>
      <x:c r="G746" s="71" t="str">
        <x:v>文件未載明</x:v>
      </x:c>
      <x:c r="H746" s="71" t="str">
        <x:v>文件未載明</x:v>
      </x:c>
      <x:c r="I746" s="72"/>
      <x:c r="J746" s="69" t="str">
        <x:v>文件未載明</x:v>
      </x:c>
      <x:c r="K746" s="70"/>
      <x:c r="L746" s="69" t="str">
        <x:v>文件未載明</x:v>
      </x:c>
      <x:c r="M746" s="70"/>
      <x:c r="N746" s="69" t="str">
        <x:v>文件未載明</x:v>
      </x:c>
      <x:c r="O746" s="71" t="str">
        <x:v>16000</x:v>
      </x:c>
      <x:c r="P746" s="71" t="str">
        <x:v>HTML table 1 row 21</x:v>
      </x:c>
      <x:c r="Q746" s="71" t="str">
        <x:v>| | | | | | 16000</x:v>
      </x:c>
      <x:c r="R746" s="71" t="str">
        <x:v>各廠商合約&amp; 報價\MD檔案\20251106山源工程-清水模潑水劑報價單回傳.md</x:v>
      </x:c>
    </x:row>
    <x:row r="747">
      <x:c r="A747" s="69" t="str">
        <x:v>ITEM00743</x:v>
      </x:c>
      <x:c r="B747" s="69" t="str">
        <x:v>SRC048</x:v>
      </x:c>
      <x:c r="C747" s="69" t="str">
        <x:v>2025-2026</x:v>
      </x:c>
      <x:c r="D747" s="69" t="str">
        <x:v>note</x:v>
      </x:c>
      <x:c r="E747" s="69" t="str">
        <x:v>備註:</x:v>
      </x:c>
      <x:c r="F747" s="71" t="str">
        <x:v>客戶同意簽章</x:v>
      </x:c>
      <x:c r="G747" s="71" t="str">
        <x:v>文件未載明</x:v>
      </x:c>
      <x:c r="H747" s="71" t="str">
        <x:v>文件未載明</x:v>
      </x:c>
      <x:c r="I747" s="72"/>
      <x:c r="J747" s="69" t="str">
        <x:v>文件未載明</x:v>
      </x:c>
      <x:c r="K747" s="70"/>
      <x:c r="L747" s="69" t="str">
        <x:v>文件未載明</x:v>
      </x:c>
      <x:c r="M747" s="70"/>
      <x:c r="N747" s="69" t="str">
        <x:v>文件未載明</x:v>
      </x:c>
      <x:c r="O747" s="71" t="str">
        <x:v>文件未載明</x:v>
      </x:c>
      <x:c r="P747" s="71" t="str">
        <x:v>HTML table 1 row 23</x:v>
      </x:c>
      <x:c r="Q747" s="71" t="str">
        <x:v>備註: | 客戶同意簽章</x:v>
      </x:c>
      <x:c r="R747" s="71" t="str">
        <x:v>各廠商合約&amp; 報價\MD檔案\20251106山源工程-清水模潑水劑報價單回傳.md</x:v>
      </x:c>
    </x:row>
    <x:row r="748">
      <x:c r="A748" s="69" t="str">
        <x:v>ITEM00744</x:v>
      </x:c>
      <x:c r="B748" s="69" t="str">
        <x:v>SRC048</x:v>
      </x:c>
      <x:c r="C748" s="69" t="str">
        <x:v>2025-2026</x:v>
      </x:c>
      <x:c r="D748" s="69" t="str">
        <x:v>summary</x:v>
      </x:c>
      <x:c r="E748" s="69" t="str">
        <x:v>(1)以上報價金額不含稅金(如需發票5%稅金另計)。</x:v>
      </x:c>
      <x:c r="F748" s="71" t="str">
        <x:v>李仁青</x:v>
      </x:c>
      <x:c r="G748" s="71" t="str">
        <x:v>文件未載明</x:v>
      </x:c>
      <x:c r="H748" s="71" t="str">
        <x:v>文件未載明</x:v>
      </x:c>
      <x:c r="I748" s="72"/>
      <x:c r="J748" s="69" t="str">
        <x:v>文件未載明</x:v>
      </x:c>
      <x:c r="K748" s="70"/>
      <x:c r="L748" s="69" t="str">
        <x:v>文件未載明</x:v>
      </x:c>
      <x:c r="M748" s="70"/>
      <x:c r="N748" s="69" t="str">
        <x:v>文件未載明</x:v>
      </x:c>
      <x:c r="O748" s="71" t="str">
        <x:v>文件未載明</x:v>
      </x:c>
      <x:c r="P748" s="71" t="str">
        <x:v>HTML table 1 row 24</x:v>
      </x:c>
      <x:c r="Q748" s="71" t="str">
        <x:v>(1)以上報價金額不含稅金(如需發票5%稅金另計)。 | 李仁青</x:v>
      </x:c>
      <x:c r="R748" s="71" t="str">
        <x:v>各廠商合約&amp; 報價\MD檔案\20251106山源工程-清水模潑水劑報價單回傳.md</x:v>
      </x:c>
    </x:row>
    <x:row r="749">
      <x:c r="A749" s="69" t="str">
        <x:v>ITEM00745</x:v>
      </x:c>
      <x:c r="B749" s="69" t="str">
        <x:v>SRC048</x:v>
      </x:c>
      <x:c r="C749" s="69" t="str">
        <x:v>2025-2026</x:v>
      </x:c>
      <x:c r="D749" s="69" t="str">
        <x:v>party</x:v>
      </x:c>
      <x:c r="E749" s="69" t="str">
        <x:v>聯絡人:葉先生</x:v>
      </x:c>
      <x:c r="F749" s="71" t="str">
        <x:v>電話:0932-088-914</x:v>
      </x:c>
      <x:c r="G749" s="71" t="str">
        <x:v>負責人:苗栗</x:v>
      </x:c>
      <x:c r="H749" s="71" t="str">
        <x:v>文件未載明</x:v>
      </x:c>
      <x:c r="I749" s="72"/>
      <x:c r="J749" s="69" t="str">
        <x:v>文件未載明</x:v>
      </x:c>
      <x:c r="K749" s="70"/>
      <x:c r="L749" s="69" t="str">
        <x:v>文件未載明</x:v>
      </x:c>
      <x:c r="M749" s="70"/>
      <x:c r="N749" s="69" t="str">
        <x:v>文件未載明</x:v>
      </x:c>
      <x:c r="O749" s="71" t="str">
        <x:v>文件未載明</x:v>
      </x:c>
      <x:c r="P749" s="71" t="str">
        <x:v>HTML table 1 row 28</x:v>
      </x:c>
      <x:c r="Q749" s="71" t="str">
        <x:v>聯絡人:葉先生 | 電話:0932-088-914 | 負責人:苗栗</x:v>
      </x:c>
      <x:c r="R749" s="71" t="str">
        <x:v>各廠商合約&amp; 報價\MD檔案\20251106山源工程-清水模潑水劑報價單回傳.md</x:v>
      </x:c>
    </x:row>
    <x:row r="750">
      <x:c r="A750" s="69" t="str">
        <x:v>ITEM00746</x:v>
      </x:c>
      <x:c r="B750" s="69" t="str">
        <x:v>SRC048</x:v>
      </x:c>
      <x:c r="C750" s="69" t="str">
        <x:v>2025-2026</x:v>
      </x:c>
      <x:c r="D750" s="69" t="str">
        <x:v>detail</x:v>
      </x:c>
      <x:c r="E750" s="69" t="str">
        <x:v>公司地址:新北市中和區國光街103號</x:v>
      </x:c>
      <x:c r="F750" s="71" t="str">
        <x:v>電話:(02)2956-2673</x:v>
      </x:c>
      <x:c r="G750" s="71" t="str">
        <x:v>竹南鎮中港里中</x:v>
      </x:c>
      <x:c r="H750" s="71" t="str">
        <x:v>文件未載明</x:v>
      </x:c>
      <x:c r="I750" s="72"/>
      <x:c r="J750" s="69" t="str">
        <x:v>文件未載明</x:v>
      </x:c>
      <x:c r="K750" s="70"/>
      <x:c r="L750" s="69" t="str">
        <x:v>文件未載明</x:v>
      </x:c>
      <x:c r="M750" s="70"/>
      <x:c r="N750" s="69" t="str">
        <x:v>文件未載明</x:v>
      </x:c>
      <x:c r="O750" s="71" t="str">
        <x:v>文件未載明</x:v>
      </x:c>
      <x:c r="P750" s="71" t="str">
        <x:v>HTML table 1 row 29</x:v>
      </x:c>
      <x:c r="Q750" s="71" t="str">
        <x:v>公司地址:新北市中和區國光街103號 | 電話:(02)2956-2673 | 竹南鎮中港里中</x:v>
      </x:c>
      <x:c r="R750" s="71" t="str">
        <x:v>各廠商合約&amp; 報價\MD檔案\20251106山源工程-清水模潑水劑報價單回傳.md</x:v>
      </x:c>
    </x:row>
    <x:row r="751">
      <x:c r="A751" s="69" t="str">
        <x:v>ITEM00747</x:v>
      </x:c>
      <x:c r="B751" s="69" t="str">
        <x:v>SRC048</x:v>
      </x:c>
      <x:c r="C751" s="69" t="str">
        <x:v>2025-2026</x:v>
      </x:c>
      <x:c r="D751" s="69" t="str">
        <x:v>detail</x:v>
      </x:c>
      <x:c r="E751" s="69" t="str">
        <x:v>統編:17819498</x:v>
      </x:c>
      <x:c r="F751" s="71" t="str">
        <x:v>Mail:jinnjia1118@gmail.com</x:v>
      </x:c>
      <x:c r="G751" s="71" t="str">
        <x:v>文件未載明</x:v>
      </x:c>
      <x:c r="H751" s="71" t="str">
        <x:v>文件未載明</x:v>
      </x:c>
      <x:c r="I751" s="72"/>
      <x:c r="J751" s="69" t="str">
        <x:v>文件未載明</x:v>
      </x:c>
      <x:c r="K751" s="70"/>
      <x:c r="L751" s="69" t="str">
        <x:v>文件未載明</x:v>
      </x:c>
      <x:c r="M751" s="70"/>
      <x:c r="N751" s="69" t="str">
        <x:v>文件未載明</x:v>
      </x:c>
      <x:c r="O751" s="71" t="str">
        <x:v>文件未載明</x:v>
      </x:c>
      <x:c r="P751" s="71" t="str">
        <x:v>HTML table 1 row 30</x:v>
      </x:c>
      <x:c r="Q751" s="71" t="str">
        <x:v>統編:17819498 | Mail:jinnjia1118@gmail.com</x:v>
      </x:c>
      <x:c r="R751" s="71" t="str">
        <x:v>各廠商合約&amp; 報價\MD檔案\20251106山源工程-清水模潑水劑報價單回傳.md</x:v>
      </x:c>
    </x:row>
    <x:row r="752">
      <x:c r="A752" s="69" t="str">
        <x:v>ITEM00748</x:v>
      </x:c>
      <x:c r="B752" s="69" t="str">
        <x:v>SRC049</x:v>
      </x:c>
      <x:c r="C752" s="69" t="str">
        <x:v>2025-2026</x:v>
      </x:c>
      <x:c r="D752" s="69" t="str">
        <x:v>header</x:v>
      </x:c>
      <x:c r="E752" s="69" t="str">
        <x:v>序號</x:v>
      </x:c>
      <x:c r="F752" s="71" t="str">
        <x:v>品名</x:v>
      </x:c>
      <x:c r="G752" s="71" t="str">
        <x:v>文件未載明</x:v>
      </x:c>
      <x:c r="H752" s="71" t="str">
        <x:v>單位</x:v>
      </x:c>
      <x:c r="I752" s="72"/>
      <x:c r="J752" s="69" t="str">
        <x:v>數量</x:v>
      </x:c>
      <x:c r="K752" s="70"/>
      <x:c r="L752" s="69" t="str">
        <x:v>單價</x:v>
      </x:c>
      <x:c r="M752" s="70"/>
      <x:c r="N752" s="69" t="str">
        <x:v>複價</x:v>
      </x:c>
      <x:c r="O752" s="71" t="str">
        <x:v>備註</x:v>
      </x:c>
      <x:c r="P752" s="71" t="str">
        <x:v>HTML table 1 row 1</x:v>
      </x:c>
      <x:c r="Q752" s="71" t="str">
        <x:v>序號 | 品名 | 縱徑(mm) | 橫徑(mm) | 縱距(mm) | 横距(mm) | 長(M) | 寬(M) | 數量 | 單位 | 單價 | 計價單位 | 複價 | 備註</x:v>
      </x:c>
      <x:c r="R752" s="71" t="str">
        <x:v>各廠商合約&amp; 報價\MD檔案\20251106昶盛製網-鋼線網報價單回傳.md</x:v>
      </x:c>
    </x:row>
    <x:row r="753">
      <x:c r="A753" s="69" t="str">
        <x:v>ITEM00749</x:v>
      </x:c>
      <x:c r="B753" s="69" t="str">
        <x:v>SRC049</x:v>
      </x:c>
      <x:c r="C753" s="69" t="str">
        <x:v>2025-2026</x:v>
      </x:c>
      <x:c r="D753" s="69" t="str">
        <x:v>detail</x:v>
      </x:c>
      <x:c r="E753" s="69" t="str">
        <x:v>01</x:v>
      </x:c>
      <x:c r="F753" s="71" t="str">
        <x:v>點焊鋼線網</x:v>
      </x:c>
      <x:c r="G753" s="71" t="str">
        <x:v>文件未載明</x:v>
      </x:c>
      <x:c r="H753" s="71" t="str">
        <x:v>片</x:v>
      </x:c>
      <x:c r="I753" s="72"/>
      <x:c r="J753" s="69" t="str">
        <x:v>文件未載明</x:v>
      </x:c>
      <x:c r="K753" s="70" t="n">
        <x:v>230</x:v>
      </x:c>
      <x:c r="L753" s="69" t="str">
        <x:v>230</x:v>
      </x:c>
      <x:c r="M753" s="70"/>
      <x:c r="N753" s="69" t="str">
        <x:v>文件未載明</x:v>
      </x:c>
      <x:c r="O753" s="71" t="str">
        <x:v>文件未載明</x:v>
      </x:c>
      <x:c r="P753" s="71" t="str">
        <x:v>HTML table 1 row 2</x:v>
      </x:c>
      <x:c r="Q753" s="71" t="str">
        <x:v>01 | 點焊鋼線網 | 5 | 5 | 200 | 200 | 3 | 2 | | 片 | 230 | 元/片 | |</x:v>
      </x:c>
      <x:c r="R753" s="71" t="str">
        <x:v>各廠商合約&amp; 報價\MD檔案\20251106昶盛製網-鋼線網報價單回傳.md</x:v>
      </x:c>
    </x:row>
    <x:row r="754">
      <x:c r="A754" s="69" t="str">
        <x:v>ITEM00750</x:v>
      </x:c>
      <x:c r="B754" s="69" t="str">
        <x:v>SRC049</x:v>
      </x:c>
      <x:c r="C754" s="69" t="str">
        <x:v>2025-2026</x:v>
      </x:c>
      <x:c r="D754" s="69" t="str">
        <x:v>detail</x:v>
      </x:c>
      <x:c r="E754" s="69" t="str">
        <x:v>02</x:v>
      </x:c>
      <x:c r="F754" s="71" t="str">
        <x:v>點焊鋼線網</x:v>
      </x:c>
      <x:c r="G754" s="71" t="str">
        <x:v>文件未載明</x:v>
      </x:c>
      <x:c r="H754" s="71" t="str">
        <x:v>片</x:v>
      </x:c>
      <x:c r="I754" s="72"/>
      <x:c r="J754" s="69" t="str">
        <x:v>文件未載明</x:v>
      </x:c>
      <x:c r="K754" s="70" t="n">
        <x:v>320</x:v>
      </x:c>
      <x:c r="L754" s="69" t="str">
        <x:v>320</x:v>
      </x:c>
      <x:c r="M754" s="70"/>
      <x:c r="N754" s="69" t="str">
        <x:v>文件未載明</x:v>
      </x:c>
      <x:c r="O754" s="71" t="str">
        <x:v>文件未載明</x:v>
      </x:c>
      <x:c r="P754" s="71" t="str">
        <x:v>HTML table 1 row 3</x:v>
      </x:c>
      <x:c r="Q754" s="71" t="str">
        <x:v>02 | 點焊鋼線網 | 6 | 6 | 200 | 200 | 3 | 2 | | 片 | 320 | 元/片 | |</x:v>
      </x:c>
      <x:c r="R754" s="71" t="str">
        <x:v>各廠商合約&amp; 報價\MD檔案\20251106昶盛製網-鋼線網報價單回傳.md</x:v>
      </x:c>
    </x:row>
    <x:row r="755">
      <x:c r="A755" s="69" t="str">
        <x:v>ITEM00751</x:v>
      </x:c>
      <x:c r="B755" s="69" t="str">
        <x:v>SRC049</x:v>
      </x:c>
      <x:c r="C755" s="69" t="str">
        <x:v>2025-2026</x:v>
      </x:c>
      <x:c r="D755" s="69" t="str">
        <x:v>detail</x:v>
      </x:c>
      <x:c r="E755" s="69" t="str">
        <x:v>03</x:v>
      </x:c>
      <x:c r="F755" s="71" t="str">
        <x:v>運費</x:v>
      </x:c>
      <x:c r="G755" s="71" t="str">
        <x:v>文件未載明</x:v>
      </x:c>
      <x:c r="H755" s="71" t="str">
        <x:v>趟</x:v>
      </x:c>
      <x:c r="I755" s="72" t="n">
        <x:v>1</x:v>
      </x:c>
      <x:c r="J755" s="69" t="str">
        <x:v>1</x:v>
      </x:c>
      <x:c r="K755" s="70" t="n">
        <x:v>2000</x:v>
      </x:c>
      <x:c r="L755" s="69" t="str">
        <x:v>2000</x:v>
      </x:c>
      <x:c r="M755" s="70" t="n">
        <x:v>2000</x:v>
      </x:c>
      <x:c r="N755" s="69" t="str">
        <x:v>2,000</x:v>
      </x:c>
      <x:c r="O755" s="71" t="str">
        <x:v>文件未載明</x:v>
      </x:c>
      <x:c r="P755" s="71" t="str">
        <x:v>HTML table 1 row 4</x:v>
      </x:c>
      <x:c r="Q755" s="71" t="str">
        <x:v>03 | 運費 | | | | | | | 1 | 趟 | 2000 | 元/趟 | 2,000 |</x:v>
      </x:c>
      <x:c r="R755" s="71" t="str">
        <x:v>各廠商合約&amp; 報價\MD檔案\20251106昶盛製網-鋼線網報價單回傳.md</x:v>
      </x:c>
    </x:row>
    <x:row r="756">
      <x:c r="A756" s="69" t="str">
        <x:v>ITEM00752</x:v>
      </x:c>
      <x:c r="B756" s="69" t="str">
        <x:v>SRC049</x:v>
      </x:c>
      <x:c r="C756" s="69" t="str">
        <x:v>2025-2026</x:v>
      </x:c>
      <x:c r="D756" s="69" t="str">
        <x:v>detail</x:v>
      </x:c>
      <x:c r="E756" s="69" t="str">
        <x:v>04</x:v>
      </x:c>
      <x:c r="F756" s="71" t="str">
        <x:v>文件未載明</x:v>
      </x:c>
      <x:c r="G756" s="71" t="str">
        <x:v>文件未載明</x:v>
      </x:c>
      <x:c r="H756" s="71" t="str">
        <x:v>文件未載明</x:v>
      </x:c>
      <x:c r="I756" s="72"/>
      <x:c r="J756" s="69" t="str">
        <x:v>文件未載明</x:v>
      </x:c>
      <x:c r="K756" s="70"/>
      <x:c r="L756" s="69" t="str">
        <x:v>文件未載明</x:v>
      </x:c>
      <x:c r="M756" s="70"/>
      <x:c r="N756" s="69" t="str">
        <x:v>文件未載明</x:v>
      </x:c>
      <x:c r="O756" s="71" t="str">
        <x:v>文件未載明</x:v>
      </x:c>
      <x:c r="P756" s="71" t="str">
        <x:v>HTML table 1 row 5</x:v>
      </x:c>
      <x:c r="Q756" s="71" t="str">
        <x:v>04 | | | | | | | | | | | | |</x:v>
      </x:c>
      <x:c r="R756" s="71" t="str">
        <x:v>各廠商合約&amp; 報價\MD檔案\20251106昶盛製網-鋼線網報價單回傳.md</x:v>
      </x:c>
    </x:row>
    <x:row r="757">
      <x:c r="A757" s="69" t="str">
        <x:v>ITEM00753</x:v>
      </x:c>
      <x:c r="B757" s="69" t="str">
        <x:v>SRC049</x:v>
      </x:c>
      <x:c r="C757" s="69" t="str">
        <x:v>2025-2026</x:v>
      </x:c>
      <x:c r="D757" s="69" t="str">
        <x:v>detail</x:v>
      </x:c>
      <x:c r="E757" s="69" t="str">
        <x:v>05</x:v>
      </x:c>
      <x:c r="F757" s="71" t="str">
        <x:v>文件未載明</x:v>
      </x:c>
      <x:c r="G757" s="71" t="str">
        <x:v>文件未載明</x:v>
      </x:c>
      <x:c r="H757" s="71" t="str">
        <x:v>文件未載明</x:v>
      </x:c>
      <x:c r="I757" s="72"/>
      <x:c r="J757" s="69" t="str">
        <x:v>文件未載明</x:v>
      </x:c>
      <x:c r="K757" s="70"/>
      <x:c r="L757" s="69" t="str">
        <x:v>文件未載明</x:v>
      </x:c>
      <x:c r="M757" s="70"/>
      <x:c r="N757" s="69" t="str">
        <x:v>文件未載明</x:v>
      </x:c>
      <x:c r="O757" s="71" t="str">
        <x:v>文件未載明</x:v>
      </x:c>
      <x:c r="P757" s="71" t="str">
        <x:v>HTML table 1 row 6</x:v>
      </x:c>
      <x:c r="Q757" s="71" t="str">
        <x:v>05 | | | | | | | | | | | | |</x:v>
      </x:c>
      <x:c r="R757" s="71" t="str">
        <x:v>各廠商合約&amp; 報價\MD檔案\20251106昶盛製網-鋼線網報價單回傳.md</x:v>
      </x:c>
    </x:row>
    <x:row r="758">
      <x:c r="A758" s="69" t="str">
        <x:v>ITEM00754</x:v>
      </x:c>
      <x:c r="B758" s="69" t="str">
        <x:v>SRC049</x:v>
      </x:c>
      <x:c r="C758" s="69" t="str">
        <x:v>2025-2026</x:v>
      </x:c>
      <x:c r="D758" s="69" t="str">
        <x:v>detail</x:v>
      </x:c>
      <x:c r="E758" s="69" t="str">
        <x:v>06</x:v>
      </x:c>
      <x:c r="F758" s="71" t="str">
        <x:v>文件未載明</x:v>
      </x:c>
      <x:c r="G758" s="71" t="str">
        <x:v>文件未載明</x:v>
      </x:c>
      <x:c r="H758" s="71" t="str">
        <x:v>文件未載明</x:v>
      </x:c>
      <x:c r="I758" s="72"/>
      <x:c r="J758" s="69" t="str">
        <x:v>文件未載明</x:v>
      </x:c>
      <x:c r="K758" s="70"/>
      <x:c r="L758" s="69" t="str">
        <x:v>文件未載明</x:v>
      </x:c>
      <x:c r="M758" s="70"/>
      <x:c r="N758" s="69" t="str">
        <x:v>文件未載明</x:v>
      </x:c>
      <x:c r="O758" s="71" t="str">
        <x:v>文件未載明</x:v>
      </x:c>
      <x:c r="P758" s="71" t="str">
        <x:v>HTML table 1 row 7</x:v>
      </x:c>
      <x:c r="Q758" s="71" t="str">
        <x:v>06 | | | | | | | | | | | | |</x:v>
      </x:c>
      <x:c r="R758" s="71" t="str">
        <x:v>各廠商合約&amp; 報價\MD檔案\20251106昶盛製網-鋼線網報價單回傳.md</x:v>
      </x:c>
    </x:row>
    <x:row r="759">
      <x:c r="A759" s="69" t="str">
        <x:v>ITEM00755</x:v>
      </x:c>
      <x:c r="B759" s="69" t="str">
        <x:v>SRC049</x:v>
      </x:c>
      <x:c r="C759" s="69" t="str">
        <x:v>2025-2026</x:v>
      </x:c>
      <x:c r="D759" s="69" t="str">
        <x:v>detail</x:v>
      </x:c>
      <x:c r="E759" s="69" t="str">
        <x:v>07</x:v>
      </x:c>
      <x:c r="F759" s="71" t="str">
        <x:v>文件未載明</x:v>
      </x:c>
      <x:c r="G759" s="71" t="str">
        <x:v>文件未載明</x:v>
      </x:c>
      <x:c r="H759" s="71" t="str">
        <x:v>文件未載明</x:v>
      </x:c>
      <x:c r="I759" s="72"/>
      <x:c r="J759" s="69" t="str">
        <x:v>文件未載明</x:v>
      </x:c>
      <x:c r="K759" s="70"/>
      <x:c r="L759" s="69" t="str">
        <x:v>文件未載明</x:v>
      </x:c>
      <x:c r="M759" s="70"/>
      <x:c r="N759" s="69" t="str">
        <x:v>文件未載明</x:v>
      </x:c>
      <x:c r="O759" s="71" t="str">
        <x:v>文件未載明</x:v>
      </x:c>
      <x:c r="P759" s="71" t="str">
        <x:v>HTML table 1 row 8</x:v>
      </x:c>
      <x:c r="Q759" s="71" t="str">
        <x:v>07 | | | | | | | | | | | | |</x:v>
      </x:c>
      <x:c r="R759" s="71" t="str">
        <x:v>各廠商合約&amp; 報價\MD檔案\20251106昶盛製網-鋼線網報價單回傳.md</x:v>
      </x:c>
    </x:row>
    <x:row r="760">
      <x:c r="A760" s="69" t="str">
        <x:v>ITEM00756</x:v>
      </x:c>
      <x:c r="B760" s="69" t="str">
        <x:v>SRC049</x:v>
      </x:c>
      <x:c r="C760" s="69" t="str">
        <x:v>2025-2026</x:v>
      </x:c>
      <x:c r="D760" s="69" t="str">
        <x:v>detail</x:v>
      </x:c>
      <x:c r="E760" s="69" t="str">
        <x:v>08</x:v>
      </x:c>
      <x:c r="F760" s="71" t="str">
        <x:v>文件未載明</x:v>
      </x:c>
      <x:c r="G760" s="71" t="str">
        <x:v>文件未載明</x:v>
      </x:c>
      <x:c r="H760" s="71" t="str">
        <x:v>文件未載明</x:v>
      </x:c>
      <x:c r="I760" s="72"/>
      <x:c r="J760" s="69" t="str">
        <x:v>文件未載明</x:v>
      </x:c>
      <x:c r="K760" s="70"/>
      <x:c r="L760" s="69" t="str">
        <x:v>文件未載明</x:v>
      </x:c>
      <x:c r="M760" s="70"/>
      <x:c r="N760" s="69" t="str">
        <x:v>文件未載明</x:v>
      </x:c>
      <x:c r="O760" s="71" t="str">
        <x:v>文件未載明</x:v>
      </x:c>
      <x:c r="P760" s="71" t="str">
        <x:v>HTML table 1 row 9</x:v>
      </x:c>
      <x:c r="Q760" s="71" t="str">
        <x:v>08 | | | | | | | | | | | | |</x:v>
      </x:c>
      <x:c r="R760" s="71" t="str">
        <x:v>各廠商合約&amp; 報價\MD檔案\20251106昶盛製網-鋼線網報價單回傳.md</x:v>
      </x:c>
    </x:row>
    <x:row r="761">
      <x:c r="A761" s="69" t="str">
        <x:v>ITEM00757</x:v>
      </x:c>
      <x:c r="B761" s="69" t="str">
        <x:v>SRC049</x:v>
      </x:c>
      <x:c r="C761" s="69" t="str">
        <x:v>2025-2026</x:v>
      </x:c>
      <x:c r="D761" s="69" t="str">
        <x:v>detail</x:v>
      </x:c>
      <x:c r="E761" s="69" t="str">
        <x:v>09</x:v>
      </x:c>
      <x:c r="F761" s="71" t="str">
        <x:v>文件未載明</x:v>
      </x:c>
      <x:c r="G761" s="71" t="str">
        <x:v>文件未載明</x:v>
      </x:c>
      <x:c r="H761" s="71" t="str">
        <x:v>文件未載明</x:v>
      </x:c>
      <x:c r="I761" s="72"/>
      <x:c r="J761" s="69" t="str">
        <x:v>文件未載明</x:v>
      </x:c>
      <x:c r="K761" s="70"/>
      <x:c r="L761" s="69" t="str">
        <x:v>文件未載明</x:v>
      </x:c>
      <x:c r="M761" s="70"/>
      <x:c r="N761" s="69" t="str">
        <x:v>文件未載明</x:v>
      </x:c>
      <x:c r="O761" s="71" t="str">
        <x:v>文件未載明</x:v>
      </x:c>
      <x:c r="P761" s="71" t="str">
        <x:v>HTML table 1 row 10</x:v>
      </x:c>
      <x:c r="Q761" s="71" t="str">
        <x:v>09 | | | | | | | | | | | | |</x:v>
      </x:c>
      <x:c r="R761" s="71" t="str">
        <x:v>各廠商合約&amp; 報價\MD檔案\20251106昶盛製網-鋼線網報價單回傳.md</x:v>
      </x:c>
    </x:row>
    <x:row r="762">
      <x:c r="A762" s="69" t="str">
        <x:v>ITEM00758</x:v>
      </x:c>
      <x:c r="B762" s="69" t="str">
        <x:v>SRC049</x:v>
      </x:c>
      <x:c r="C762" s="69" t="str">
        <x:v>2025-2026</x:v>
      </x:c>
      <x:c r="D762" s="69" t="str">
        <x:v>detail</x:v>
      </x:c>
      <x:c r="E762" s="69" t="str">
        <x:v>10</x:v>
      </x:c>
      <x:c r="F762" s="71" t="str">
        <x:v>文件未載明</x:v>
      </x:c>
      <x:c r="G762" s="71" t="str">
        <x:v>文件未載明</x:v>
      </x:c>
      <x:c r="H762" s="71" t="str">
        <x:v>文件未載明</x:v>
      </x:c>
      <x:c r="I762" s="72"/>
      <x:c r="J762" s="69" t="str">
        <x:v>文件未載明</x:v>
      </x:c>
      <x:c r="K762" s="70"/>
      <x:c r="L762" s="69" t="str">
        <x:v>文件未載明</x:v>
      </x:c>
      <x:c r="M762" s="70"/>
      <x:c r="N762" s="69" t="str">
        <x:v>文件未載明</x:v>
      </x:c>
      <x:c r="O762" s="71" t="str">
        <x:v>文件未載明</x:v>
      </x:c>
      <x:c r="P762" s="71" t="str">
        <x:v>HTML table 1 row 11</x:v>
      </x:c>
      <x:c r="Q762" s="71" t="str">
        <x:v>10 | | | | | | | | | | | | |</x:v>
      </x:c>
      <x:c r="R762" s="71" t="str">
        <x:v>各廠商合約&amp; 報價\MD檔案\20251106昶盛製網-鋼線網報價單回傳.md</x:v>
      </x:c>
    </x:row>
    <x:row r="763">
      <x:c r="A763" s="69" t="str">
        <x:v>ITEM00759</x:v>
      </x:c>
      <x:c r="B763" s="69" t="str">
        <x:v>SRC049</x:v>
      </x:c>
      <x:c r="C763" s="69" t="str">
        <x:v>2025-2026</x:v>
      </x:c>
      <x:c r="D763" s="69" t="str">
        <x:v>summary</x:v>
      </x:c>
      <x:c r="E763" s="69" t="str">
        <x:v>文件未載明</x:v>
      </x:c>
      <x:c r="F763" s="71" t="str">
        <x:v>小計:</x:v>
      </x:c>
      <x:c r="G763" s="71" t="str">
        <x:v>文件未載明</x:v>
      </x:c>
      <x:c r="H763" s="71" t="str">
        <x:v>小計:</x:v>
      </x:c>
      <x:c r="I763" s="72"/>
      <x:c r="J763" s="69" t="str">
        <x:v>文件未載明</x:v>
      </x:c>
      <x:c r="K763" s="70"/>
      <x:c r="L763" s="69" t="str">
        <x:v>文件未載明</x:v>
      </x:c>
      <x:c r="M763" s="70" t="n">
        <x:v>2000</x:v>
      </x:c>
      <x:c r="N763" s="69" t="str">
        <x:v>2,000 元 (未稅)</x:v>
      </x:c>
      <x:c r="O763" s="71" t="str">
        <x:v>文件未載明</x:v>
      </x:c>
      <x:c r="P763" s="71" t="str">
        <x:v>HTML table 1 row 12</x:v>
      </x:c>
      <x:c r="Q763" s="71" t="str">
        <x:v>| | | | | | | | | 小計: | | | 2,000 元 (未稅) |</x:v>
      </x:c>
      <x:c r="R763" s="71" t="str">
        <x:v>各廠商合約&amp; 報價\MD檔案\20251106昶盛製網-鋼線網報價單回傳.md</x:v>
      </x:c>
    </x:row>
    <x:row r="764">
      <x:c r="A764" s="69" t="str">
        <x:v>ITEM00760</x:v>
      </x:c>
      <x:c r="B764" s="69" t="str">
        <x:v>SRC049</x:v>
      </x:c>
      <x:c r="C764" s="69" t="str">
        <x:v>2025-2026</x:v>
      </x:c>
      <x:c r="D764" s="69" t="str">
        <x:v>summary</x:v>
      </x:c>
      <x:c r="E764" s="69" t="str">
        <x:v>文件未載明</x:v>
      </x:c>
      <x:c r="F764" s="71" t="str">
        <x:v>小計:</x:v>
      </x:c>
      <x:c r="G764" s="71" t="str">
        <x:v>文件未載明</x:v>
      </x:c>
      <x:c r="H764" s="71" t="str">
        <x:v>小計:</x:v>
      </x:c>
      <x:c r="I764" s="72"/>
      <x:c r="J764" s="69" t="str">
        <x:v>文件未載明</x:v>
      </x:c>
      <x:c r="K764" s="70"/>
      <x:c r="L764" s="69" t="str">
        <x:v>文件未載明</x:v>
      </x:c>
      <x:c r="M764" s="70" t="n">
        <x:v>2100</x:v>
      </x:c>
      <x:c r="N764" s="69" t="str">
        <x:v>2,100 元 (含稅)</x:v>
      </x:c>
      <x:c r="O764" s="71" t="str">
        <x:v>文件未載明</x:v>
      </x:c>
      <x:c r="P764" s="71" t="str">
        <x:v>HTML table 1 row 13</x:v>
      </x:c>
      <x:c r="Q764" s="71" t="str">
        <x:v>| | | | | | | | | 小計: | | | 2,100 元 (含稅) |</x:v>
      </x:c>
      <x:c r="R764" s="71" t="str">
        <x:v>各廠商合約&amp; 報價\MD檔案\20251106昶盛製網-鋼線網報價單回傳.md</x:v>
      </x:c>
    </x:row>
    <x:row r="765">
      <x:c r="A765" s="69" t="str">
        <x:v>ITEM00761</x:v>
      </x:c>
      <x:c r="B765" s="69" t="str">
        <x:v>SRC050</x:v>
      </x:c>
      <x:c r="C765" s="69" t="str">
        <x:v>2025-2026</x:v>
      </x:c>
      <x:c r="D765" s="69" t="str">
        <x:v>header</x:v>
      </x:c>
      <x:c r="E765" s="69" t="str">
        <x:v>項次</x:v>
      </x:c>
      <x:c r="F765" s="71" t="str">
        <x:v>項目</x:v>
      </x:c>
      <x:c r="G765" s="71" t="str">
        <x:v>文件未載明</x:v>
      </x:c>
      <x:c r="H765" s="71" t="str">
        <x:v>單位</x:v>
      </x:c>
      <x:c r="I765" s="72"/>
      <x:c r="J765" s="69" t="str">
        <x:v>數量</x:v>
      </x:c>
      <x:c r="K765" s="70"/>
      <x:c r="L765" s="69" t="str">
        <x:v>單價</x:v>
      </x:c>
      <x:c r="M765" s="70"/>
      <x:c r="N765" s="69" t="str">
        <x:v>金額</x:v>
      </x:c>
      <x:c r="O765" s="71" t="str">
        <x:v>備註</x:v>
      </x:c>
      <x:c r="P765" s="71" t="str">
        <x:v>HTML table 1 row 1</x:v>
      </x:c>
      <x:c r="Q765" s="71" t="str">
        <x:v>項次 | 項目 | 單位 | 數量 | 單價 | 金額 | 備註</x:v>
      </x:c>
      <x:c r="R765" s="71" t="str">
        <x:v>各廠商合約&amp; 報價\MD檔案\20251110晏成工程-鷹架報價單回傳.md</x:v>
      </x:c>
    </x:row>
    <x:row r="766">
      <x:c r="A766" s="69" t="str">
        <x:v>ITEM00762</x:v>
      </x:c>
      <x:c r="B766" s="69" t="str">
        <x:v>SRC050</x:v>
      </x:c>
      <x:c r="C766" s="69" t="str">
        <x:v>2025-2026</x:v>
      </x:c>
      <x:c r="D766" s="69" t="str">
        <x:v>detail</x:v>
      </x:c>
      <x:c r="E766" s="69" t="str">
        <x:v>1</x:v>
      </x:c>
      <x:c r="F766" s="71" t="str">
        <x:v>鋼管鷹架(非CNS4750)</x:v>
      </x:c>
      <x:c r="G766" s="71" t="str">
        <x:v>文件未載明</x:v>
      </x:c>
      <x:c r="H766" s="71" t="str">
        <x:v>m2</x:v>
      </x:c>
      <x:c r="I766" s="72" t="n">
        <x:v>673</x:v>
      </x:c>
      <x:c r="J766" s="69" t="str">
        <x:v>673.00</x:v>
      </x:c>
      <x:c r="K766" s="70" t="n">
        <x:v>230</x:v>
      </x:c>
      <x:c r="L766" s="69" t="str">
        <x:v>230</x:v>
      </x:c>
      <x:c r="M766" s="70" t="n">
        <x:v>154790</x:v>
      </x:c>
      <x:c r="N766" s="69" t="str">
        <x:v>154,790</x:v>
      </x:c>
      <x:c r="O766" s="71" t="str">
        <x:v>含內外側交叉拉桿、內外側中欄杆</x:v>
      </x:c>
      <x:c r="P766" s="71" t="str">
        <x:v>HTML table 1 row 2</x:v>
      </x:c>
      <x:c r="Q766" s="71" t="str">
        <x:v>1 | 鋼管鷹架(非CNS4750) | m2 | 673.00 | 230 | 154,790 | 含內外側交叉拉桿、內外側中欄杆</x:v>
      </x:c>
      <x:c r="R766" s="71" t="str">
        <x:v>各廠商合約&amp; 報價\MD檔案\20251110晏成工程-鷹架報價單回傳.md</x:v>
      </x:c>
    </x:row>
    <x:row r="767">
      <x:c r="A767" s="69" t="str">
        <x:v>ITEM00763</x:v>
      </x:c>
      <x:c r="B767" s="69" t="str">
        <x:v>SRC050</x:v>
      </x:c>
      <x:c r="C767" s="69" t="str">
        <x:v>2025-2026</x:v>
      </x:c>
      <x:c r="D767" s="69" t="str">
        <x:v>detail</x:v>
      </x:c>
      <x:c r="E767" s="69" t="str">
        <x:v>2</x:v>
      </x:c>
      <x:c r="F767" s="71" t="str">
        <x:v>防塵網(0針)</x:v>
      </x:c>
      <x:c r="G767" s="71" t="str">
        <x:v>文件未載明</x:v>
      </x:c>
      <x:c r="H767" s="71" t="str">
        <x:v>m2</x:v>
      </x:c>
      <x:c r="I767" s="72" t="n">
        <x:v>525</x:v>
      </x:c>
      <x:c r="J767" s="69" t="str">
        <x:v>525.00</x:v>
      </x:c>
      <x:c r="K767" s="70" t="n">
        <x:v>45</x:v>
      </x:c>
      <x:c r="L767" s="69" t="str">
        <x:v>45</x:v>
      </x:c>
      <x:c r="M767" s="70" t="n">
        <x:v>23625</x:v>
      </x:c>
      <x:c r="N767" s="69" t="str">
        <x:v>23,625</x:v>
      </x:c>
      <x:c r="O767" s="71" t="str">
        <x:v>文件未載明</x:v>
      </x:c>
      <x:c r="P767" s="71" t="str">
        <x:v>HTML table 1 row 3</x:v>
      </x:c>
      <x:c r="Q767" s="71" t="str">
        <x:v>2 | 防塵網(0針) | m2 | 525.00 | 45 | 23,625 |</x:v>
      </x:c>
      <x:c r="R767" s="71" t="str">
        <x:v>各廠商合約&amp; 報價\MD檔案\20251110晏成工程-鷹架報價單回傳.md</x:v>
      </x:c>
    </x:row>
    <x:row r="768">
      <x:c r="A768" s="69" t="str">
        <x:v>ITEM00764</x:v>
      </x:c>
      <x:c r="B768" s="69" t="str">
        <x:v>SRC050</x:v>
      </x:c>
      <x:c r="C768" s="69" t="str">
        <x:v>2025-2026</x:v>
      </x:c>
      <x:c r="D768" s="69" t="str">
        <x:v>detail</x:v>
      </x:c>
      <x:c r="E768" s="69" t="str">
        <x:v>3</x:v>
      </x:c>
      <x:c r="F768" s="71" t="str">
        <x:v>防塵網(18針)</x:v>
      </x:c>
      <x:c r="G768" s="71" t="str">
        <x:v>文件未載明</x:v>
      </x:c>
      <x:c r="H768" s="71" t="str">
        <x:v>m2</x:v>
      </x:c>
      <x:c r="I768" s="72"/>
      <x:c r="J768" s="69" t="str">
        <x:v>文件未載明</x:v>
      </x:c>
      <x:c r="K768" s="70" t="n">
        <x:v>70</x:v>
      </x:c>
      <x:c r="L768" s="69" t="str">
        <x:v>70</x:v>
      </x:c>
      <x:c r="M768" s="70" t="n">
        <x:v>0</x:v>
      </x:c>
      <x:c r="N768" s="69" t="str">
        <x:v>0</x:v>
      </x:c>
      <x:c r="O768" s="71" t="str">
        <x:v>文件未載明</x:v>
      </x:c>
      <x:c r="P768" s="71" t="str">
        <x:v>HTML table 1 row 4</x:v>
      </x:c>
      <x:c r="Q768" s="71" t="str">
        <x:v>3 | 防塵網(18針) | m2 | | 70 | 0 |</x:v>
      </x:c>
      <x:c r="R768" s="71" t="str">
        <x:v>各廠商合約&amp; 報價\MD檔案\20251110晏成工程-鷹架報價單回傳.md</x:v>
      </x:c>
    </x:row>
    <x:row r="769">
      <x:c r="A769" s="69" t="str">
        <x:v>ITEM00765</x:v>
      </x:c>
      <x:c r="B769" s="69" t="str">
        <x:v>SRC050</x:v>
      </x:c>
      <x:c r="C769" s="69" t="str">
        <x:v>2025-2026</x:v>
      </x:c>
      <x:c r="D769" s="69" t="str">
        <x:v>detail</x:v>
      </x:c>
      <x:c r="E769" s="69" t="str">
        <x:v>4</x:v>
      </x:c>
      <x:c r="F769" s="71" t="str">
        <x:v>帆布網(鄰房處)</x:v>
      </x:c>
      <x:c r="G769" s="71" t="str">
        <x:v>文件未載明</x:v>
      </x:c>
      <x:c r="H769" s="71" t="str">
        <x:v>m2</x:v>
      </x:c>
      <x:c r="I769" s="72"/>
      <x:c r="J769" s="69" t="str">
        <x:v>文件未載明</x:v>
      </x:c>
      <x:c r="K769" s="70" t="n">
        <x:v>75</x:v>
      </x:c>
      <x:c r="L769" s="69" t="str">
        <x:v>75</x:v>
      </x:c>
      <x:c r="M769" s="70" t="n">
        <x:v>0</x:v>
      </x:c>
      <x:c r="N769" s="69" t="str">
        <x:v>0</x:v>
      </x:c>
      <x:c r="O769" s="71" t="str">
        <x:v>文件未載明</x:v>
      </x:c>
      <x:c r="P769" s="71" t="str">
        <x:v>HTML table 1 row 5</x:v>
      </x:c>
      <x:c r="Q769" s="71" t="str">
        <x:v>4 | 帆布網(鄰房處) | m2 | | 75 | 0 |</x:v>
      </x:c>
      <x:c r="R769" s="71" t="str">
        <x:v>各廠商合約&amp; 報價\MD檔案\20251110晏成工程-鷹架報價單回傳.md</x:v>
      </x:c>
    </x:row>
    <x:row r="770">
      <x:c r="A770" s="69" t="str">
        <x:v>ITEM00766</x:v>
      </x:c>
      <x:c r="B770" s="69" t="str">
        <x:v>SRC050</x:v>
      </x:c>
      <x:c r="C770" s="69" t="str">
        <x:v>2025-2026</x:v>
      </x:c>
      <x:c r="D770" s="69" t="str">
        <x:v>detail</x:v>
      </x:c>
      <x:c r="E770" s="69" t="str">
        <x:v>5</x:v>
      </x:c>
      <x:c r="F770" s="71" t="str">
        <x:v>鐵爬梯</x:v>
      </x:c>
      <x:c r="G770" s="71" t="str">
        <x:v>文件未載明</x:v>
      </x:c>
      <x:c r="H770" s="71" t="str">
        <x:v>支</x:v>
      </x:c>
      <x:c r="I770" s="72" t="n">
        <x:v>6</x:v>
      </x:c>
      <x:c r="J770" s="69" t="str">
        <x:v>6</x:v>
      </x:c>
      <x:c r="K770" s="70" t="n">
        <x:v>600</x:v>
      </x:c>
      <x:c r="L770" s="69" t="str">
        <x:v>600</x:v>
      </x:c>
      <x:c r="M770" s="70" t="n">
        <x:v>3600</x:v>
      </x:c>
      <x:c r="N770" s="69" t="str">
        <x:v>3,600</x:v>
      </x:c>
      <x:c r="O770" s="71" t="str">
        <x:v>文件未載明</x:v>
      </x:c>
      <x:c r="P770" s="71" t="str">
        <x:v>HTML table 1 row 6</x:v>
      </x:c>
      <x:c r="Q770" s="71" t="str">
        <x:v>5 | 鐵爬梯 | 支 | 6 | 600 | 3,600 |</x:v>
      </x:c>
      <x:c r="R770" s="71" t="str">
        <x:v>各廠商合約&amp; 報價\MD檔案\20251110晏成工程-鷹架報價單回傳.md</x:v>
      </x:c>
    </x:row>
    <x:row r="771">
      <x:c r="A771" s="69" t="str">
        <x:v>ITEM00767</x:v>
      </x:c>
      <x:c r="B771" s="69" t="str">
        <x:v>SRC050</x:v>
      </x:c>
      <x:c r="C771" s="69" t="str">
        <x:v>2025-2026</x:v>
      </x:c>
      <x:c r="D771" s="69" t="str">
        <x:v>detail</x:v>
      </x:c>
      <x:c r="E771" s="69" t="str">
        <x:v>6</x:v>
      </x:c>
      <x:c r="F771" s="71" t="str">
        <x:v>壁拉桿CNS4750</x:v>
      </x:c>
      <x:c r="G771" s="71" t="str">
        <x:v>文件未載明</x:v>
      </x:c>
      <x:c r="H771" s="71" t="str">
        <x:v>支</x:v>
      </x:c>
      <x:c r="I771" s="72"/>
      <x:c r="J771" s="69" t="str">
        <x:v>文件未載明</x:v>
      </x:c>
      <x:c r="K771" s="70" t="n">
        <x:v>350</x:v>
      </x:c>
      <x:c r="L771" s="69" t="str">
        <x:v>350</x:v>
      </x:c>
      <x:c r="M771" s="70" t="n">
        <x:v>0</x:v>
      </x:c>
      <x:c r="N771" s="69" t="str">
        <x:v>0</x:v>
      </x:c>
      <x:c r="O771" s="71" t="str">
        <x:v>文件未載明</x:v>
      </x:c>
      <x:c r="P771" s="71" t="str">
        <x:v>HTML table 1 row 7</x:v>
      </x:c>
      <x:c r="Q771" s="71" t="str">
        <x:v>6 | 壁拉桿CNS4750 | 支 | | 350 | 0 |</x:v>
      </x:c>
      <x:c r="R771" s="71" t="str">
        <x:v>各廠商合約&amp; 報價\MD檔案\20251110晏成工程-鷹架報價單回傳.md</x:v>
      </x:c>
    </x:row>
    <x:row r="772">
      <x:c r="A772" s="69" t="str">
        <x:v>ITEM00768</x:v>
      </x:c>
      <x:c r="B772" s="69" t="str">
        <x:v>SRC050</x:v>
      </x:c>
      <x:c r="C772" s="69" t="str">
        <x:v>2025-2026</x:v>
      </x:c>
      <x:c r="D772" s="69" t="str">
        <x:v>detail</x:v>
      </x:c>
      <x:c r="E772" s="69" t="str">
        <x:v>7</x:v>
      </x:c>
      <x:c r="F772" s="71" t="str">
        <x:v>鋪板(含3R管)</x:v>
      </x:c>
      <x:c r="G772" s="71" t="str">
        <x:v>文件未載明</x:v>
      </x:c>
      <x:c r="H772" s="71" t="str">
        <x:v>m</x:v>
      </x:c>
      <x:c r="I772" s="72"/>
      <x:c r="J772" s="69" t="str">
        <x:v>文件未載明</x:v>
      </x:c>
      <x:c r="K772" s="70" t="n">
        <x:v>600</x:v>
      </x:c>
      <x:c r="L772" s="69" t="str">
        <x:v>600</x:v>
      </x:c>
      <x:c r="M772" s="70" t="n">
        <x:v>0</x:v>
      </x:c>
      <x:c r="N772" s="69" t="str">
        <x:v>0</x:v>
      </x:c>
      <x:c r="O772" s="71" t="str">
        <x:v>文件未載明</x:v>
      </x:c>
      <x:c r="P772" s="71" t="str">
        <x:v>HTML table 1 row 8</x:v>
      </x:c>
      <x:c r="Q772" s="71" t="str">
        <x:v>7 | 鋪板(含3R管) | m | | 600 | 0 |</x:v>
      </x:c>
      <x:c r="R772" s="71" t="str">
        <x:v>各廠商合約&amp; 報價\MD檔案\20251110晏成工程-鷹架報價單回傳.md</x:v>
      </x:c>
    </x:row>
    <x:row r="773">
      <x:c r="A773" s="69" t="str">
        <x:v>ITEM00769</x:v>
      </x:c>
      <x:c r="B773" s="69" t="str">
        <x:v>SRC050</x:v>
      </x:c>
      <x:c r="C773" s="69" t="str">
        <x:v>2025-2026</x:v>
      </x:c>
      <x:c r="D773" s="69" t="str">
        <x:v>detail</x:v>
      </x:c>
      <x:c r="E773" s="69" t="str">
        <x:v>8</x:v>
      </x:c>
      <x:c r="F773" s="71" t="str">
        <x:v>踢腳板</x:v>
      </x:c>
      <x:c r="G773" s="71" t="str">
        <x:v>文件未載明</x:v>
      </x:c>
      <x:c r="H773" s="71" t="str">
        <x:v>m</x:v>
      </x:c>
      <x:c r="I773" s="72"/>
      <x:c r="J773" s="69" t="str">
        <x:v>文件未載明</x:v>
      </x:c>
      <x:c r="K773" s="70" t="n">
        <x:v>100</x:v>
      </x:c>
      <x:c r="L773" s="69" t="str">
        <x:v>100</x:v>
      </x:c>
      <x:c r="M773" s="70" t="n">
        <x:v>0</x:v>
      </x:c>
      <x:c r="N773" s="69" t="str">
        <x:v>0</x:v>
      </x:c>
      <x:c r="O773" s="71" t="str">
        <x:v>文件未載明</x:v>
      </x:c>
      <x:c r="P773" s="71" t="str">
        <x:v>HTML table 1 row 9</x:v>
      </x:c>
      <x:c r="Q773" s="71" t="str">
        <x:v>8 | 踢腳板 | m | | 100 | 0 |</x:v>
      </x:c>
      <x:c r="R773" s="71" t="str">
        <x:v>各廠商合約&amp; 報價\MD檔案\20251110晏成工程-鷹架報價單回傳.md</x:v>
      </x:c>
    </x:row>
    <x:row r="774">
      <x:c r="A774" s="69" t="str">
        <x:v>ITEM00770</x:v>
      </x:c>
      <x:c r="B774" s="69" t="str">
        <x:v>SRC050</x:v>
      </x:c>
      <x:c r="C774" s="69" t="str">
        <x:v>2025-2026</x:v>
      </x:c>
      <x:c r="D774" s="69" t="str">
        <x:v>detail</x:v>
      </x:c>
      <x:c r="E774" s="69" t="str">
        <x:v>9</x:v>
      </x:c>
      <x:c r="F774" s="71" t="str">
        <x:v>安全母索</x:v>
      </x:c>
      <x:c r="G774" s="71" t="str">
        <x:v>文件未載明</x:v>
      </x:c>
      <x:c r="H774" s="71" t="str">
        <x:v>m2</x:v>
      </x:c>
      <x:c r="I774" s="72"/>
      <x:c r="J774" s="69" t="str">
        <x:v>文件未載明</x:v>
      </x:c>
      <x:c r="K774" s="70" t="n">
        <x:v>15</x:v>
      </x:c>
      <x:c r="L774" s="69" t="str">
        <x:v>15</x:v>
      </x:c>
      <x:c r="M774" s="70" t="n">
        <x:v>0</x:v>
      </x:c>
      <x:c r="N774" s="69" t="str">
        <x:v>0</x:v>
      </x:c>
      <x:c r="O774" s="71" t="str">
        <x:v>文件未載明</x:v>
      </x:c>
      <x:c r="P774" s="71" t="str">
        <x:v>HTML table 1 row 10</x:v>
      </x:c>
      <x:c r="Q774" s="71" t="str">
        <x:v>9 | 安全母索 | m2 | | 15 | 0 |</x:v>
      </x:c>
      <x:c r="R774" s="71" t="str">
        <x:v>各廠商合約&amp; 報價\MD檔案\20251110晏成工程-鷹架報價單回傳.md</x:v>
      </x:c>
    </x:row>
    <x:row r="775">
      <x:c r="A775" s="69" t="str">
        <x:v>ITEM00771</x:v>
      </x:c>
      <x:c r="B775" s="69" t="str">
        <x:v>SRC050</x:v>
      </x:c>
      <x:c r="C775" s="69" t="str">
        <x:v>2025-2026</x:v>
      </x:c>
      <x:c r="D775" s="69" t="str">
        <x:v>detail</x:v>
      </x:c>
      <x:c r="E775" s="69" t="str">
        <x:v>10</x:v>
      </x:c>
      <x:c r="F775" s="71" t="str">
        <x:v>延伸架(含30 cm水平踏板)</x:v>
      </x:c>
      <x:c r="G775" s="71" t="str">
        <x:v>文件未載明</x:v>
      </x:c>
      <x:c r="H775" s="71" t="str">
        <x:v>m</x:v>
      </x:c>
      <x:c r="I775" s="72" t="n">
        <x:v>44.5</x:v>
      </x:c>
      <x:c r="J775" s="69" t="str">
        <x:v>44.50</x:v>
      </x:c>
      <x:c r="K775" s="70" t="n">
        <x:v>250</x:v>
      </x:c>
      <x:c r="L775" s="69" t="str">
        <x:v>250</x:v>
      </x:c>
      <x:c r="M775" s="70" t="n">
        <x:v>11125</x:v>
      </x:c>
      <x:c r="N775" s="69" t="str">
        <x:v>11,125</x:v>
      </x:c>
      <x:c r="O775" s="71" t="str">
        <x:v>文件未載明</x:v>
      </x:c>
      <x:c r="P775" s="71" t="str">
        <x:v>HTML table 1 row 11</x:v>
      </x:c>
      <x:c r="Q775" s="71" t="str">
        <x:v>10 | 延伸架(含30 cm水平踏板) | m | 44.50 | 250 | 11,125 |</x:v>
      </x:c>
      <x:c r="R775" s="71" t="str">
        <x:v>各廠商合約&amp; 報價\MD檔案\20251110晏成工程-鷹架報價單回傳.md</x:v>
      </x:c>
    </x:row>
    <x:row r="776">
      <x:c r="A776" s="69" t="str">
        <x:v>ITEM00772</x:v>
      </x:c>
      <x:c r="B776" s="69" t="str">
        <x:v>SRC050</x:v>
      </x:c>
      <x:c r="C776" s="69" t="str">
        <x:v>2025-2026</x:v>
      </x:c>
      <x:c r="D776" s="69" t="str">
        <x:v>detail</x:v>
      </x:c>
      <x:c r="E776" s="69" t="str">
        <x:v>11</x:v>
      </x:c>
      <x:c r="F776" s="71" t="str">
        <x:v>可掀式防墜網</x:v>
      </x:c>
      <x:c r="G776" s="71" t="str">
        <x:v>文件未載明</x:v>
      </x:c>
      <x:c r="H776" s="71" t="str">
        <x:v>m</x:v>
      </x:c>
      <x:c r="I776" s="72"/>
      <x:c r="J776" s="69" t="str">
        <x:v>文件未載明</x:v>
      </x:c>
      <x:c r="K776" s="70" t="n">
        <x:v>140</x:v>
      </x:c>
      <x:c r="L776" s="69" t="str">
        <x:v>140</x:v>
      </x:c>
      <x:c r="M776" s="70" t="n">
        <x:v>0</x:v>
      </x:c>
      <x:c r="N776" s="69" t="str">
        <x:v>0</x:v>
      </x:c>
      <x:c r="O776" s="71" t="str">
        <x:v>文件未載明</x:v>
      </x:c>
      <x:c r="P776" s="71" t="str">
        <x:v>HTML table 1 row 12</x:v>
      </x:c>
      <x:c r="Q776" s="71" t="str">
        <x:v>11 | 可掀式防墜網 | m | | 140 | 0 |</x:v>
      </x:c>
      <x:c r="R776" s="71" t="str">
        <x:v>各廠商合約&amp; 報價\MD檔案\20251110晏成工程-鷹架報價單回傳.md</x:v>
      </x:c>
    </x:row>
    <x:row r="777">
      <x:c r="A777" s="69" t="str">
        <x:v>ITEM00773</x:v>
      </x:c>
      <x:c r="B777" s="69" t="str">
        <x:v>SRC050</x:v>
      </x:c>
      <x:c r="C777" s="69" t="str">
        <x:v>2025-2026</x:v>
      </x:c>
      <x:c r="D777" s="69" t="str">
        <x:v>detail</x:v>
      </x:c>
      <x:c r="E777" s="69" t="str">
        <x:v>12</x:v>
      </x:c>
      <x:c r="F777" s="71" t="str">
        <x:v>滿堂架</x:v>
      </x:c>
      <x:c r="G777" s="71" t="str">
        <x:v>文件未載明</x:v>
      </x:c>
      <x:c r="H777" s="71" t="str">
        <x:v>m3</x:v>
      </x:c>
      <x:c r="I777" s="72"/>
      <x:c r="J777" s="69" t="str">
        <x:v>文件未載明</x:v>
      </x:c>
      <x:c r="K777" s="70" t="n">
        <x:v>150</x:v>
      </x:c>
      <x:c r="L777" s="69" t="str">
        <x:v>150</x:v>
      </x:c>
      <x:c r="M777" s="70" t="n">
        <x:v>0</x:v>
      </x:c>
      <x:c r="N777" s="69" t="str">
        <x:v>0</x:v>
      </x:c>
      <x:c r="O777" s="71" t="str">
        <x:v>文件未載明</x:v>
      </x:c>
      <x:c r="P777" s="71" t="str">
        <x:v>HTML table 1 row 13</x:v>
      </x:c>
      <x:c r="Q777" s="71" t="str">
        <x:v>12 | 滿堂架 | m3 | | 150 | 0 |</x:v>
      </x:c>
      <x:c r="R777" s="71" t="str">
        <x:v>各廠商合約&amp; 報價\MD檔案\20251110晏成工程-鷹架報價單回傳.md</x:v>
      </x:c>
    </x:row>
    <x:row r="778">
      <x:c r="A778" s="69" t="str">
        <x:v>ITEM00774</x:v>
      </x:c>
      <x:c r="B778" s="69" t="str">
        <x:v>SRC050</x:v>
      </x:c>
      <x:c r="C778" s="69" t="str">
        <x:v>2025-2026</x:v>
      </x:c>
      <x:c r="D778" s="69" t="str">
        <x:v>detail</x:v>
      </x:c>
      <x:c r="E778" s="69" t="str">
        <x:v>13</x:v>
      </x:c>
      <x:c r="F778" s="71" t="str">
        <x:v>三角架(L=1.3~1.5 m)</x:v>
      </x:c>
      <x:c r="G778" s="71" t="str">
        <x:v>文件未載明</x:v>
      </x:c>
      <x:c r="H778" s="71" t="str">
        <x:v>支</x:v>
      </x:c>
      <x:c r="I778" s="72"/>
      <x:c r="J778" s="69" t="str">
        <x:v>文件未載明</x:v>
      </x:c>
      <x:c r="K778" s="70" t="n">
        <x:v>400</x:v>
      </x:c>
      <x:c r="L778" s="69" t="str">
        <x:v>400</x:v>
      </x:c>
      <x:c r="M778" s="70" t="n">
        <x:v>0</x:v>
      </x:c>
      <x:c r="N778" s="69" t="str">
        <x:v>0</x:v>
      </x:c>
      <x:c r="O778" s="71" t="str">
        <x:v>文件未載明</x:v>
      </x:c>
      <x:c r="P778" s="71" t="str">
        <x:v>HTML table 1 row 14</x:v>
      </x:c>
      <x:c r="Q778" s="71" t="str">
        <x:v>13 | 三角架(L=1.3~1.5 m) | 支 | | 400 | 0 |</x:v>
      </x:c>
      <x:c r="R778" s="71" t="str">
        <x:v>各廠商合約&amp; 報價\MD檔案\20251110晏成工程-鷹架報價單回傳.md</x:v>
      </x:c>
    </x:row>
    <x:row r="779">
      <x:c r="A779" s="69" t="str">
        <x:v>ITEM00775</x:v>
      </x:c>
      <x:c r="B779" s="69" t="str">
        <x:v>SRC050</x:v>
      </x:c>
      <x:c r="C779" s="69" t="str">
        <x:v>2025-2026</x:v>
      </x:c>
      <x:c r="D779" s="69" t="str">
        <x:v>detail</x:v>
      </x:c>
      <x:c r="E779" s="69" t="str">
        <x:v>14</x:v>
      </x:c>
      <x:c r="F779" s="71" t="str">
        <x:v>三角架(L=1.6~2 m)</x:v>
      </x:c>
      <x:c r="G779" s="71" t="str">
        <x:v>文件未載明</x:v>
      </x:c>
      <x:c r="H779" s="71" t="str">
        <x:v>支</x:v>
      </x:c>
      <x:c r="I779" s="72"/>
      <x:c r="J779" s="69" t="str">
        <x:v>文件未載明</x:v>
      </x:c>
      <x:c r="K779" s="70" t="n">
        <x:v>600</x:v>
      </x:c>
      <x:c r="L779" s="69" t="str">
        <x:v>600</x:v>
      </x:c>
      <x:c r="M779" s="70" t="n">
        <x:v>0</x:v>
      </x:c>
      <x:c r="N779" s="69" t="str">
        <x:v>0</x:v>
      </x:c>
      <x:c r="O779" s="71" t="str">
        <x:v>文件未載明</x:v>
      </x:c>
      <x:c r="P779" s="71" t="str">
        <x:v>HTML table 1 row 15</x:v>
      </x:c>
      <x:c r="Q779" s="71" t="str">
        <x:v>14 | 三角架(L=1.6~2 m) | 支 | | 600 | 0 |</x:v>
      </x:c>
      <x:c r="R779" s="71" t="str">
        <x:v>各廠商合約&amp; 報價\MD檔案\20251110晏成工程-鷹架報價單回傳.md</x:v>
      </x:c>
    </x:row>
    <x:row r="780">
      <x:c r="A780" s="69" t="str">
        <x:v>ITEM00776</x:v>
      </x:c>
      <x:c r="B780" s="69" t="str">
        <x:v>SRC050</x:v>
      </x:c>
      <x:c r="C780" s="69" t="str">
        <x:v>2025-2026</x:v>
      </x:c>
      <x:c r="D780" s="69" t="str">
        <x:v>detail</x:v>
      </x:c>
      <x:c r="E780" s="69" t="str">
        <x:v>15</x:v>
      </x:c>
      <x:c r="F780" s="71" t="str">
        <x:v>三角架(L=2.1~2.5 m)</x:v>
      </x:c>
      <x:c r="G780" s="71" t="str">
        <x:v>文件未載明</x:v>
      </x:c>
      <x:c r="H780" s="71" t="str">
        <x:v>支</x:v>
      </x:c>
      <x:c r="I780" s="72"/>
      <x:c r="J780" s="69" t="str">
        <x:v>文件未載明</x:v>
      </x:c>
      <x:c r="K780" s="70" t="n">
        <x:v>1100</x:v>
      </x:c>
      <x:c r="L780" s="69" t="str">
        <x:v>1,100</x:v>
      </x:c>
      <x:c r="M780" s="70" t="n">
        <x:v>0</x:v>
      </x:c>
      <x:c r="N780" s="69" t="str">
        <x:v>0</x:v>
      </x:c>
      <x:c r="O780" s="71" t="str">
        <x:v>文件未載明</x:v>
      </x:c>
      <x:c r="P780" s="71" t="str">
        <x:v>HTML table 1 row 16</x:v>
      </x:c>
      <x:c r="Q780" s="71" t="str">
        <x:v>15 | 三角架(L=2.1~2.5 m) | 支 | | 1,100 | 0 |</x:v>
      </x:c>
      <x:c r="R780" s="71" t="str">
        <x:v>各廠商合約&amp; 報價\MD檔案\20251110晏成工程-鷹架報價單回傳.md</x:v>
      </x:c>
    </x:row>
    <x:row r="781">
      <x:c r="A781" s="69" t="str">
        <x:v>ITEM00777</x:v>
      </x:c>
      <x:c r="B781" s="69" t="str">
        <x:v>SRC050</x:v>
      </x:c>
      <x:c r="C781" s="69" t="str">
        <x:v>2025-2026</x:v>
      </x:c>
      <x:c r="D781" s="69" t="str">
        <x:v>detail</x:v>
      </x:c>
      <x:c r="E781" s="69" t="str">
        <x:v>16</x:v>
      </x:c>
      <x:c r="F781" s="71" t="str">
        <x:v>三角架(L=3 m)</x:v>
      </x:c>
      <x:c r="G781" s="71" t="str">
        <x:v>文件未載明</x:v>
      </x:c>
      <x:c r="H781" s="71" t="str">
        <x:v>支</x:v>
      </x:c>
      <x:c r="I781" s="72"/>
      <x:c r="J781" s="69" t="str">
        <x:v>文件未載明</x:v>
      </x:c>
      <x:c r="K781" s="70" t="n">
        <x:v>1500</x:v>
      </x:c>
      <x:c r="L781" s="69" t="str">
        <x:v>1,500</x:v>
      </x:c>
      <x:c r="M781" s="70" t="n">
        <x:v>0</x:v>
      </x:c>
      <x:c r="N781" s="69" t="str">
        <x:v>0</x:v>
      </x:c>
      <x:c r="O781" s="71" t="str">
        <x:v>文件未載明</x:v>
      </x:c>
      <x:c r="P781" s="71" t="str">
        <x:v>HTML table 1 row 17</x:v>
      </x:c>
      <x:c r="Q781" s="71" t="str">
        <x:v>16 | 三角架(L=3 m) | 支 | | 1,500 | 0 |</x:v>
      </x:c>
      <x:c r="R781" s="71" t="str">
        <x:v>各廠商合約&amp; 報價\MD檔案\20251110晏成工程-鷹架報價單回傳.md</x:v>
      </x:c>
    </x:row>
    <x:row r="782">
      <x:c r="A782" s="69" t="str">
        <x:v>ITEM00778</x:v>
      </x:c>
      <x:c r="B782" s="69" t="str">
        <x:v>SRC050</x:v>
      </x:c>
      <x:c r="C782" s="69" t="str">
        <x:v>2025-2026</x:v>
      </x:c>
      <x:c r="D782" s="69" t="str">
        <x:v>detail</x:v>
      </x:c>
      <x:c r="E782" s="69" t="str">
        <x:v>17</x:v>
      </x:c>
      <x:c r="F782" s="71" t="str">
        <x:v>安全斜籬</x:v>
      </x:c>
      <x:c r="G782" s="71" t="str">
        <x:v>文件未載明</x:v>
      </x:c>
      <x:c r="H782" s="71" t="str">
        <x:v>m</x:v>
      </x:c>
      <x:c r="I782" s="72"/>
      <x:c r="J782" s="69" t="str">
        <x:v>文件未載明</x:v>
      </x:c>
      <x:c r="K782" s="70" t="n">
        <x:v>600</x:v>
      </x:c>
      <x:c r="L782" s="69" t="str">
        <x:v>600</x:v>
      </x:c>
      <x:c r="M782" s="70" t="n">
        <x:v>0</x:v>
      </x:c>
      <x:c r="N782" s="69" t="str">
        <x:v>0</x:v>
      </x:c>
      <x:c r="O782" s="71" t="str">
        <x:v>文件未載明</x:v>
      </x:c>
      <x:c r="P782" s="71" t="str">
        <x:v>HTML table 1 row 18</x:v>
      </x:c>
      <x:c r="Q782" s="71" t="str">
        <x:v>17 | 安全斜籬 | m | | 600 | 0 |</x:v>
      </x:c>
      <x:c r="R782" s="71" t="str">
        <x:v>各廠商合約&amp; 報價\MD檔案\20251110晏成工程-鷹架報價單回傳.md</x:v>
      </x:c>
    </x:row>
    <x:row r="783">
      <x:c r="A783" s="69" t="str">
        <x:v>ITEM00779</x:v>
      </x:c>
      <x:c r="B783" s="69" t="str">
        <x:v>SRC050</x:v>
      </x:c>
      <x:c r="C783" s="69" t="str">
        <x:v>2025-2026</x:v>
      </x:c>
      <x:c r="D783" s="69" t="str">
        <x:v>detail</x:v>
      </x:c>
      <x:c r="E783" s="69" t="str">
        <x:v>18</x:v>
      </x:c>
      <x:c r="F783" s="71" t="str">
        <x:v>單側扶手先行</x:v>
      </x:c>
      <x:c r="G783" s="71" t="str">
        <x:v>文件未載明</x:v>
      </x:c>
      <x:c r="H783" s="71" t="str">
        <x:v>m2</x:v>
      </x:c>
      <x:c r="I783" s="72"/>
      <x:c r="J783" s="69" t="str">
        <x:v>文件未載明</x:v>
      </x:c>
      <x:c r="K783" s="70" t="n">
        <x:v>40</x:v>
      </x:c>
      <x:c r="L783" s="69" t="str">
        <x:v>40</x:v>
      </x:c>
      <x:c r="M783" s="70" t="n">
        <x:v>0</x:v>
      </x:c>
      <x:c r="N783" s="69" t="str">
        <x:v>0</x:v>
      </x:c>
      <x:c r="O783" s="71" t="str">
        <x:v>文件未載明</x:v>
      </x:c>
      <x:c r="P783" s="71" t="str">
        <x:v>HTML table 1 row 19</x:v>
      </x:c>
      <x:c r="Q783" s="71" t="str">
        <x:v>18 | 單側扶手先行 | m2 | | 40 | 0 |</x:v>
      </x:c>
      <x:c r="R783" s="71" t="str">
        <x:v>各廠商合約&amp; 報價\MD檔案\20251110晏成工程-鷹架報價單回傳.md</x:v>
      </x:c>
    </x:row>
    <x:row r="784">
      <x:c r="A784" s="69" t="str">
        <x:v>ITEM00780</x:v>
      </x:c>
      <x:c r="B784" s="69" t="str">
        <x:v>SRC050</x:v>
      </x:c>
      <x:c r="C784" s="69" t="str">
        <x:v>2025-2026</x:v>
      </x:c>
      <x:c r="D784" s="69" t="str">
        <x:v>detail</x:v>
      </x:c>
      <x:c r="E784" s="69" t="str">
        <x:v>19</x:v>
      </x:c>
      <x:c r="F784" s="71" t="str">
        <x:v>遮斷平台</x:v>
      </x:c>
      <x:c r="G784" s="71" t="str">
        <x:v>文件未載明</x:v>
      </x:c>
      <x:c r="H784" s="71" t="str">
        <x:v>m</x:v>
      </x:c>
      <x:c r="I784" s="72"/>
      <x:c r="J784" s="69" t="str">
        <x:v>文件未載明</x:v>
      </x:c>
      <x:c r="K784" s="70" t="n">
        <x:v>500</x:v>
      </x:c>
      <x:c r="L784" s="69" t="str">
        <x:v>500</x:v>
      </x:c>
      <x:c r="M784" s="70" t="n">
        <x:v>0</x:v>
      </x:c>
      <x:c r="N784" s="69" t="str">
        <x:v>0</x:v>
      </x:c>
      <x:c r="O784" s="71" t="str">
        <x:v>文件未載明</x:v>
      </x:c>
      <x:c r="P784" s="71" t="str">
        <x:v>HTML table 1 row 20</x:v>
      </x:c>
      <x:c r="Q784" s="71" t="str">
        <x:v>19 | 遮斷平台 | m | | 500 | 0 |</x:v>
      </x:c>
      <x:c r="R784" s="71" t="str">
        <x:v>各廠商合約&amp; 報價\MD檔案\20251110晏成工程-鷹架報價單回傳.md</x:v>
      </x:c>
    </x:row>
    <x:row r="785">
      <x:c r="A785" s="69" t="str">
        <x:v>ITEM00781</x:v>
      </x:c>
      <x:c r="B785" s="69" t="str">
        <x:v>SRC050</x:v>
      </x:c>
      <x:c r="C785" s="69" t="str">
        <x:v>2025-2026</x:v>
      </x:c>
      <x:c r="D785" s="69" t="str">
        <x:v>detail</x:v>
      </x:c>
      <x:c r="E785" s="69" t="str">
        <x:v>20</x:v>
      </x:c>
      <x:c r="F785" s="71" t="str">
        <x:v>遮斷斜板</x:v>
      </x:c>
      <x:c r="G785" s="71" t="str">
        <x:v>文件未載明</x:v>
      </x:c>
      <x:c r="H785" s="71" t="str">
        <x:v>m</x:v>
      </x:c>
      <x:c r="I785" s="72"/>
      <x:c r="J785" s="69" t="str">
        <x:v>文件未載明</x:v>
      </x:c>
      <x:c r="K785" s="70" t="n">
        <x:v>250</x:v>
      </x:c>
      <x:c r="L785" s="69" t="str">
        <x:v>250</x:v>
      </x:c>
      <x:c r="M785" s="70" t="n">
        <x:v>0</x:v>
      </x:c>
      <x:c r="N785" s="69" t="str">
        <x:v>0</x:v>
      </x:c>
      <x:c r="O785" s="71" t="str">
        <x:v>文件未載明</x:v>
      </x:c>
      <x:c r="P785" s="71" t="str">
        <x:v>HTML table 1 row 21</x:v>
      </x:c>
      <x:c r="Q785" s="71" t="str">
        <x:v>20 | 遮斷斜板 | m | | 250 | 0 |</x:v>
      </x:c>
      <x:c r="R785" s="71" t="str">
        <x:v>各廠商合約&amp; 報價\MD檔案\20251110晏成工程-鷹架報價單回傳.md</x:v>
      </x:c>
    </x:row>
    <x:row r="786">
      <x:c r="A786" s="69" t="str">
        <x:v>ITEM00782</x:v>
      </x:c>
      <x:c r="B786" s="69" t="str">
        <x:v>SRC050</x:v>
      </x:c>
      <x:c r="C786" s="69" t="str">
        <x:v>2025-2026</x:v>
      </x:c>
      <x:c r="D786" s="69" t="str">
        <x:v>detail</x:v>
      </x:c>
      <x:c r="E786" s="69" t="str">
        <x:v>21</x:v>
      </x:c>
      <x:c r="F786" s="71" t="str">
        <x:v>遮斷帆布</x:v>
      </x:c>
      <x:c r="G786" s="71" t="str">
        <x:v>文件未載明</x:v>
      </x:c>
      <x:c r="H786" s="71" t="str">
        <x:v>m</x:v>
      </x:c>
      <x:c r="I786" s="72"/>
      <x:c r="J786" s="69" t="str">
        <x:v>文件未載明</x:v>
      </x:c>
      <x:c r="K786" s="70" t="n">
        <x:v>250</x:v>
      </x:c>
      <x:c r="L786" s="69" t="str">
        <x:v>250</x:v>
      </x:c>
      <x:c r="M786" s="70" t="n">
        <x:v>0</x:v>
      </x:c>
      <x:c r="N786" s="69" t="str">
        <x:v>0</x:v>
      </x:c>
      <x:c r="O786" s="71" t="str">
        <x:v>文件未載明</x:v>
      </x:c>
      <x:c r="P786" s="71" t="str">
        <x:v>HTML table 1 row 22</x:v>
      </x:c>
      <x:c r="Q786" s="71" t="str">
        <x:v>21 | 遮斷帆布 | m | | 250 | 0 |</x:v>
      </x:c>
      <x:c r="R786" s="71" t="str">
        <x:v>各廠商合約&amp; 報價\MD檔案\20251110晏成工程-鷹架報價單回傳.md</x:v>
      </x:c>
    </x:row>
    <x:row r="787">
      <x:c r="A787" s="69" t="str">
        <x:v>ITEM00783</x:v>
      </x:c>
      <x:c r="B787" s="69" t="str">
        <x:v>SRC050</x:v>
      </x:c>
      <x:c r="C787" s="69" t="str">
        <x:v>2025-2026</x:v>
      </x:c>
      <x:c r="D787" s="69" t="str">
        <x:v>detail</x:v>
      </x:c>
      <x:c r="E787" s="69" t="str">
        <x:v>22</x:v>
      </x:c>
      <x:c r="F787" s="71" t="str">
        <x:v>加長型壁拉桿</x:v>
      </x:c>
      <x:c r="G787" s="71" t="str">
        <x:v>文件未載明</x:v>
      </x:c>
      <x:c r="H787" s="71" t="str">
        <x:v>支</x:v>
      </x:c>
      <x:c r="I787" s="72"/>
      <x:c r="J787" s="69" t="str">
        <x:v>文件未載明</x:v>
      </x:c>
      <x:c r="K787" s="70" t="n">
        <x:v>500</x:v>
      </x:c>
      <x:c r="L787" s="69" t="str">
        <x:v>500</x:v>
      </x:c>
      <x:c r="M787" s="70" t="n">
        <x:v>0</x:v>
      </x:c>
      <x:c r="N787" s="69" t="str">
        <x:v>0</x:v>
      </x:c>
      <x:c r="O787" s="71" t="str">
        <x:v>文件未載明</x:v>
      </x:c>
      <x:c r="P787" s="71" t="str">
        <x:v>HTML table 1 row 23</x:v>
      </x:c>
      <x:c r="Q787" s="71" t="str">
        <x:v>22 | 加長型壁拉桿 | 支 | | 500 | 0 |</x:v>
      </x:c>
      <x:c r="R787" s="71" t="str">
        <x:v>各廠商合約&amp; 報價\MD檔案\20251110晏成工程-鷹架報價單回傳.md</x:v>
      </x:c>
    </x:row>
    <x:row r="788">
      <x:c r="A788" s="69" t="str">
        <x:v>ITEM00784</x:v>
      </x:c>
      <x:c r="B788" s="69" t="str">
        <x:v>SRC050</x:v>
      </x:c>
      <x:c r="C788" s="69" t="str">
        <x:v>2025-2026</x:v>
      </x:c>
      <x:c r="D788" s="69" t="str">
        <x:v>detail</x:v>
      </x:c>
      <x:c r="E788" s="69" t="str">
        <x:v>23</x:v>
      </x:c>
      <x:c r="F788" s="71" t="str">
        <x:v>大斜撑</x:v>
      </x:c>
      <x:c r="G788" s="71" t="str">
        <x:v>文件未載明</x:v>
      </x:c>
      <x:c r="H788" s="71" t="str">
        <x:v>支</x:v>
      </x:c>
      <x:c r="I788" s="72" t="n">
        <x:v>30</x:v>
      </x:c>
      <x:c r="J788" s="69" t="str">
        <x:v>30</x:v>
      </x:c>
      <x:c r="K788" s="70" t="n">
        <x:v>700</x:v>
      </x:c>
      <x:c r="L788" s="69" t="str">
        <x:v>700</x:v>
      </x:c>
      <x:c r="M788" s="70" t="n">
        <x:v>21000</x:v>
      </x:c>
      <x:c r="N788" s="69" t="str">
        <x:v>21,000</x:v>
      </x:c>
      <x:c r="O788" s="71" t="str">
        <x:v>文件未載明</x:v>
      </x:c>
      <x:c r="P788" s="71" t="str">
        <x:v>HTML table 1 row 24</x:v>
      </x:c>
      <x:c r="Q788" s="71" t="str">
        <x:v>23 | 大斜撑 | 支 | 30 | 700 | 21,000 |</x:v>
      </x:c>
      <x:c r="R788" s="71" t="str">
        <x:v>各廠商合約&amp; 報價\MD檔案\20251110晏成工程-鷹架報價單回傳.md</x:v>
      </x:c>
    </x:row>
    <x:row r="789">
      <x:c r="A789" s="69" t="str">
        <x:v>ITEM00785</x:v>
      </x:c>
      <x:c r="B789" s="69" t="str">
        <x:v>SRC050</x:v>
      </x:c>
      <x:c r="C789" s="69" t="str">
        <x:v>2025-2026</x:v>
      </x:c>
      <x:c r="D789" s="69" t="str">
        <x:v>detail</x:v>
      </x:c>
      <x:c r="E789" s="69" t="str">
        <x:v>24</x:v>
      </x:c>
      <x:c r="F789" s="71" t="str">
        <x:v>活動式施工架</x:v>
      </x:c>
      <x:c r="G789" s="71" t="str">
        <x:v>文件未載明</x:v>
      </x:c>
      <x:c r="H789" s="71" t="str">
        <x:v>組</x:v>
      </x:c>
      <x:c r="I789" s="72"/>
      <x:c r="J789" s="69" t="str">
        <x:v>文件未載明</x:v>
      </x:c>
      <x:c r="K789" s="70" t="n">
        <x:v>10000</x:v>
      </x:c>
      <x:c r="L789" s="69" t="str">
        <x:v>10,000</x:v>
      </x:c>
      <x:c r="M789" s="70" t="n">
        <x:v>0</x:v>
      </x:c>
      <x:c r="N789" s="69" t="str">
        <x:v>0</x:v>
      </x:c>
      <x:c r="O789" s="71" t="str">
        <x:v>文件未載明</x:v>
      </x:c>
      <x:c r="P789" s="71" t="str">
        <x:v>HTML table 1 row 25</x:v>
      </x:c>
      <x:c r="Q789" s="71" t="str">
        <x:v>24 | 活動式施工架 | 組 | | 10,000 | 0 |</x:v>
      </x:c>
      <x:c r="R789" s="71" t="str">
        <x:v>各廠商合約&amp; 報價\MD檔案\20251110晏成工程-鷹架報價單回傳.md</x:v>
      </x:c>
    </x:row>
    <x:row r="790">
      <x:c r="A790" s="69" t="str">
        <x:v>ITEM00786</x:v>
      </x:c>
      <x:c r="B790" s="69" t="str">
        <x:v>SRC050</x:v>
      </x:c>
      <x:c r="C790" s="69" t="str">
        <x:v>2025-2026</x:v>
      </x:c>
      <x:c r="D790" s="69" t="str">
        <x:v>detail</x:v>
      </x:c>
      <x:c r="E790" s="69" t="str">
        <x:v>25</x:v>
      </x:c>
      <x:c r="F790" s="71" t="str">
        <x:v>桁架</x:v>
      </x:c>
      <x:c r="G790" s="71" t="str">
        <x:v>文件未載明</x:v>
      </x:c>
      <x:c r="H790" s="71" t="str">
        <x:v>支</x:v>
      </x:c>
      <x:c r="I790" s="72"/>
      <x:c r="J790" s="69" t="str">
        <x:v>文件未載明</x:v>
      </x:c>
      <x:c r="K790" s="70" t="n">
        <x:v>2000</x:v>
      </x:c>
      <x:c r="L790" s="69" t="str">
        <x:v>2,000</x:v>
      </x:c>
      <x:c r="M790" s="70" t="n">
        <x:v>0</x:v>
      </x:c>
      <x:c r="N790" s="69" t="str">
        <x:v>0</x:v>
      </x:c>
      <x:c r="O790" s="71" t="str">
        <x:v>文件未載明</x:v>
      </x:c>
      <x:c r="P790" s="71" t="str">
        <x:v>HTML table 1 row 26</x:v>
      </x:c>
      <x:c r="Q790" s="71" t="str">
        <x:v>25 | 桁架 | 支 | | 2,000 | 0 |</x:v>
      </x:c>
      <x:c r="R790" s="71" t="str">
        <x:v>各廠商合約&amp; 報價\MD檔案\20251110晏成工程-鷹架報價單回傳.md</x:v>
      </x:c>
    </x:row>
    <x:row r="791">
      <x:c r="A791" s="69" t="str">
        <x:v>ITEM00787</x:v>
      </x:c>
      <x:c r="B791" s="69" t="str">
        <x:v>SRC050</x:v>
      </x:c>
      <x:c r="C791" s="69" t="str">
        <x:v>2025-2026</x:v>
      </x:c>
      <x:c r="D791" s="69" t="str">
        <x:v>detail</x:v>
      </x:c>
      <x:c r="E791" s="69" t="str">
        <x:v>26</x:v>
      </x:c>
      <x:c r="F791" s="71" t="str">
        <x:v>支撐排架</x:v>
      </x:c>
      <x:c r="G791" s="71" t="str">
        <x:v>文件未載明</x:v>
      </x:c>
      <x:c r="H791" s="71" t="str">
        <x:v>m3</x:v>
      </x:c>
      <x:c r="I791" s="72"/>
      <x:c r="J791" s="69" t="str">
        <x:v>文件未載明</x:v>
      </x:c>
      <x:c r="K791" s="70" t="n">
        <x:v>160</x:v>
      </x:c>
      <x:c r="L791" s="69" t="str">
        <x:v>160</x:v>
      </x:c>
      <x:c r="M791" s="70" t="n">
        <x:v>0</x:v>
      </x:c>
      <x:c r="N791" s="69" t="str">
        <x:v>0</x:v>
      </x:c>
      <x:c r="O791" s="71" t="str">
        <x:v>文件未載明</x:v>
      </x:c>
      <x:c r="P791" s="71" t="str">
        <x:v>HTML table 1 row 27</x:v>
      </x:c>
      <x:c r="Q791" s="71" t="str">
        <x:v>26 | 支撐排架 | m3 | | 160 | 0 |</x:v>
      </x:c>
      <x:c r="R791" s="71" t="str">
        <x:v>各廠商合約&amp; 報價\MD檔案\20251110晏成工程-鷹架報價單回傳.md</x:v>
      </x:c>
    </x:row>
    <x:row r="792">
      <x:c r="A792" s="69" t="str">
        <x:v>ITEM00788</x:v>
      </x:c>
      <x:c r="B792" s="69" t="str">
        <x:v>SRC050</x:v>
      </x:c>
      <x:c r="C792" s="69" t="str">
        <x:v>2025-2026</x:v>
      </x:c>
      <x:c r="D792" s="69" t="str">
        <x:v>detail</x:v>
      </x:c>
      <x:c r="E792" s="69" t="str">
        <x:v>27</x:v>
      </x:c>
      <x:c r="F792" s="71" t="str">
        <x:v>排架滿鋪</x:v>
      </x:c>
      <x:c r="G792" s="71" t="str">
        <x:v>文件未載明</x:v>
      </x:c>
      <x:c r="H792" s="71" t="str">
        <x:v>m2</x:v>
      </x:c>
      <x:c r="I792" s="72"/>
      <x:c r="J792" s="69" t="str">
        <x:v>文件未載明</x:v>
      </x:c>
      <x:c r="K792" s="70" t="n">
        <x:v>250</x:v>
      </x:c>
      <x:c r="L792" s="69" t="str">
        <x:v>250</x:v>
      </x:c>
      <x:c r="M792" s="70" t="n">
        <x:v>0</x:v>
      </x:c>
      <x:c r="N792" s="69" t="str">
        <x:v>0</x:v>
      </x:c>
      <x:c r="O792" s="71" t="str">
        <x:v>文件未載明</x:v>
      </x:c>
      <x:c r="P792" s="71" t="str">
        <x:v>HTML table 1 row 28</x:v>
      </x:c>
      <x:c r="Q792" s="71" t="str">
        <x:v>27 | 排架滿鋪 | m2 | | 250 | 0 |</x:v>
      </x:c>
      <x:c r="R792" s="71" t="str">
        <x:v>各廠商合約&amp; 報價\MD檔案\20251110晏成工程-鷹架報價單回傳.md</x:v>
      </x:c>
    </x:row>
    <x:row r="793">
      <x:c r="A793" s="69" t="str">
        <x:v>ITEM00789</x:v>
      </x:c>
      <x:c r="B793" s="69" t="str">
        <x:v>SRC050</x:v>
      </x:c>
      <x:c r="C793" s="69" t="str">
        <x:v>2025-2026</x:v>
      </x:c>
      <x:c r="D793" s="69" t="str">
        <x:v>detail</x:v>
      </x:c>
      <x:c r="E793" s="69" t="str">
        <x:v>28</x:v>
      </x:c>
      <x:c r="F793" s="71" t="str">
        <x:v>點工</x:v>
      </x:c>
      <x:c r="G793" s="71" t="str">
        <x:v>文件未載明</x:v>
      </x:c>
      <x:c r="H793" s="71" t="str">
        <x:v>工</x:v>
      </x:c>
      <x:c r="I793" s="72"/>
      <x:c r="J793" s="69" t="str">
        <x:v>文件未載明</x:v>
      </x:c>
      <x:c r="K793" s="70" t="n">
        <x:v>3200</x:v>
      </x:c>
      <x:c r="L793" s="69" t="str">
        <x:v>3,200</x:v>
      </x:c>
      <x:c r="M793" s="70" t="n">
        <x:v>0</x:v>
      </x:c>
      <x:c r="N793" s="69" t="str">
        <x:v>0</x:v>
      </x:c>
      <x:c r="O793" s="71" t="str">
        <x:v>文件未載明</x:v>
      </x:c>
      <x:c r="P793" s="71" t="str">
        <x:v>HTML table 1 row 29</x:v>
      </x:c>
      <x:c r="Q793" s="71" t="str">
        <x:v>28 | 點工 | 工 | | 3,200 | 0 |</x:v>
      </x:c>
      <x:c r="R793" s="71" t="str">
        <x:v>各廠商合約&amp; 報價\MD檔案\20251110晏成工程-鷹架報價單回傳.md</x:v>
      </x:c>
    </x:row>
    <x:row r="794">
      <x:c r="A794" s="69" t="str">
        <x:v>ITEM00790</x:v>
      </x:c>
      <x:c r="B794" s="69" t="str">
        <x:v>SRC050</x:v>
      </x:c>
      <x:c r="C794" s="69" t="str">
        <x:v>2025-2026</x:v>
      </x:c>
      <x:c r="D794" s="69" t="str">
        <x:v>summary</x:v>
      </x:c>
      <x:c r="E794" s="69" t="str">
        <x:v>文件未載明</x:v>
      </x:c>
      <x:c r="F794" s="71" t="str">
        <x:v>以上金額不含稅</x:v>
      </x:c>
      <x:c r="G794" s="71" t="str">
        <x:v>文件未載明</x:v>
      </x:c>
      <x:c r="H794" s="71" t="str">
        <x:v>文件未載明</x:v>
      </x:c>
      <x:c r="I794" s="72"/>
      <x:c r="J794" s="69" t="str">
        <x:v>文件未載明</x:v>
      </x:c>
      <x:c r="K794" s="70"/>
      <x:c r="L794" s="69" t="str">
        <x:v>文件未載明</x:v>
      </x:c>
      <x:c r="M794" s="70"/>
      <x:c r="N794" s="69" t="str">
        <x:v>文件未載明</x:v>
      </x:c>
      <x:c r="O794" s="71" t="str">
        <x:v>文件未載明</x:v>
      </x:c>
      <x:c r="P794" s="71" t="str">
        <x:v>HTML table 1 row 30</x:v>
      </x:c>
      <x:c r="Q794" s="71" t="str">
        <x:v>| 以上金額不含稅 | | | | |</x:v>
      </x:c>
      <x:c r="R794" s="71" t="str">
        <x:v>各廠商合約&amp; 報價\MD檔案\20251110晏成工程-鷹架報價單回傳.md</x:v>
      </x:c>
    </x:row>
    <x:row r="795">
      <x:c r="A795" s="69" t="str">
        <x:v>ITEM00791</x:v>
      </x:c>
      <x:c r="B795" s="69" t="str">
        <x:v>SRC050</x:v>
      </x:c>
      <x:c r="C795" s="69" t="str">
        <x:v>2025-2026</x:v>
      </x:c>
      <x:c r="D795" s="69" t="str">
        <x:v>summary</x:v>
      </x:c>
      <x:c r="E795" s="69" t="str">
        <x:v>小計</x:v>
      </x:c>
      <x:c r="F795" s="71" t="str">
        <x:v>214,140</x:v>
      </x:c>
      <x:c r="G795" s="71" t="str">
        <x:v>文件未載明</x:v>
      </x:c>
      <x:c r="H795" s="71" t="str">
        <x:v>文件未載明</x:v>
      </x:c>
      <x:c r="I795" s="72"/>
      <x:c r="J795" s="69" t="str">
        <x:v>文件未載明</x:v>
      </x:c>
      <x:c r="K795" s="70"/>
      <x:c r="L795" s="69" t="str">
        <x:v>文件未載明</x:v>
      </x:c>
      <x:c r="M795" s="70"/>
      <x:c r="N795" s="69" t="str">
        <x:v>文件未載明</x:v>
      </x:c>
      <x:c r="O795" s="71" t="str">
        <x:v>文件未載明</x:v>
      </x:c>
      <x:c r="P795" s="71" t="str">
        <x:v>HTML table 1 row 31</x:v>
      </x:c>
      <x:c r="Q795" s="71" t="str">
        <x:v>小計 | 214,140 |</x:v>
      </x:c>
      <x:c r="R795" s="71" t="str">
        <x:v>各廠商合約&amp; 報價\MD檔案\20251110晏成工程-鷹架報價單回傳.md</x:v>
      </x:c>
    </x:row>
    <x:row r="796">
      <x:c r="A796" s="69" t="str">
        <x:v>ITEM00792</x:v>
      </x:c>
      <x:c r="B796" s="69" t="str">
        <x:v>SRC050</x:v>
      </x:c>
      <x:c r="C796" s="69" t="str">
        <x:v>2025-2026</x:v>
      </x:c>
      <x:c r="D796" s="69" t="str">
        <x:v>summary</x:v>
      </x:c>
      <x:c r="E796" s="69" t="str">
        <x:v>營業稅</x:v>
      </x:c>
      <x:c r="F796" s="71" t="str">
        <x:v>10,707</x:v>
      </x:c>
      <x:c r="G796" s="71" t="str">
        <x:v>文件未載明</x:v>
      </x:c>
      <x:c r="H796" s="71" t="str">
        <x:v>向上建設股份有限公司統一發票專用統一編號</x:v>
      </x:c>
      <x:c r="I796" s="72"/>
      <x:c r="J796" s="69" t="str">
        <x:v>文件未載明</x:v>
      </x:c>
      <x:c r="K796" s="70"/>
      <x:c r="L796" s="69" t="str">
        <x:v>文件未載明</x:v>
      </x:c>
      <x:c r="M796" s="70"/>
      <x:c r="N796" s="69" t="str">
        <x:v>文件未載明</x:v>
      </x:c>
      <x:c r="O796" s="71" t="str">
        <x:v>文件未載明</x:v>
      </x:c>
      <x:c r="P796" s="71" t="str">
        <x:v>HTML table 1 row 32</x:v>
      </x:c>
      <x:c r="Q796" s="71" t="str">
        <x:v>營業稅 | 10,707 | 向上建設股份有限公司統一發票專用統一編號</x:v>
      </x:c>
      <x:c r="R796" s="71" t="str">
        <x:v>各廠商合約&amp; 報價\MD檔案\20251110晏成工程-鷹架報價單回傳.md</x:v>
      </x:c>
    </x:row>
    <x:row r="797">
      <x:c r="A797" s="69" t="str">
        <x:v>ITEM00793</x:v>
      </x:c>
      <x:c r="B797" s="69" t="str">
        <x:v>SRC050</x:v>
      </x:c>
      <x:c r="C797" s="69" t="str">
        <x:v>2025-2026</x:v>
      </x:c>
      <x:c r="D797" s="69" t="str">
        <x:v>summary</x:v>
      </x:c>
      <x:c r="E797" s="69" t="str">
        <x:v>合計</x:v>
      </x:c>
      <x:c r="F797" s="71" t="str">
        <x:v>224,847</x:v>
      </x:c>
      <x:c r="G797" s="71" t="str">
        <x:v>文件未載明</x:v>
      </x:c>
      <x:c r="H797" s="71" t="str">
        <x:v>文件未載明</x:v>
      </x:c>
      <x:c r="I797" s="72"/>
      <x:c r="J797" s="69" t="str">
        <x:v>文件未載明</x:v>
      </x:c>
      <x:c r="K797" s="70"/>
      <x:c r="L797" s="69" t="str">
        <x:v>文件未載明</x:v>
      </x:c>
      <x:c r="M797" s="70"/>
      <x:c r="N797" s="69" t="str">
        <x:v>文件未載明</x:v>
      </x:c>
      <x:c r="O797" s="71" t="str">
        <x:v>文件未載明</x:v>
      </x:c>
      <x:c r="P797" s="71" t="str">
        <x:v>HTML table 1 row 33</x:v>
      </x:c>
      <x:c r="Q797" s="71" t="str">
        <x:v>合計 | 224,847</x:v>
      </x:c>
      <x:c r="R797" s="71" t="str">
        <x:v>各廠商合約&amp; 報價\MD檔案\20251110晏成工程-鷹架報價單回傳.md</x:v>
      </x:c>
    </x:row>
    <x:row r="798">
      <x:c r="A798" s="69" t="str">
        <x:v>ITEM00794</x:v>
      </x:c>
      <x:c r="B798" s="69" t="str">
        <x:v>SRC050</x:v>
      </x:c>
      <x:c r="C798" s="69" t="str">
        <x:v>2025-2026</x:v>
      </x:c>
      <x:c r="D798" s="69" t="str">
        <x:v>party</x:v>
      </x:c>
      <x:c r="E798" s="69" t="str">
        <x:v>備註</x:v>
      </x:c>
      <x:c r="F798" s="71" t="str">
        <x:v>1).本次報價非CNS-4750。2).此次交易實做實算,其他未盡事宜雙方得另行協議之。3).若同意此報價,請簽名回傳。4).依現場數量實做實算吳成工程有限公司負責人:吳和宗 0935-166504</x:v>
      </x:c>
      <x:c r="G798" s="71" t="str">
        <x:v>文件未載明</x:v>
      </x:c>
      <x:c r="H798" s="71" t="str">
        <x:v>文件未載明</x:v>
      </x:c>
      <x:c r="I798" s="72" t="n">
        <x:v>9005710</x:v>
      </x:c>
      <x:c r="J798" s="69" t="str">
        <x:v>9005710TEL:037-7758負責人:洪建苗栗縣竹南鎮中港里中正路報價日期:114年11月7日</x:v>
      </x:c>
      <x:c r="K798" s="70"/>
      <x:c r="L798" s="69" t="str">
        <x:v>文件未載明</x:v>
      </x:c>
      <x:c r="M798" s="70"/>
      <x:c r="N798" s="69" t="str">
        <x:v>文件未載明</x:v>
      </x:c>
      <x:c r="O798" s="71" t="str">
        <x:v>文件未載明</x:v>
      </x:c>
      <x:c r="P798" s="71" t="str">
        <x:v>HTML table 1 row 34</x:v>
      </x:c>
      <x:c r="Q798" s="71" t="str">
        <x:v>備註 | 1).本次報價非CNS-4750。2).此次交易實做實算,其他未盡事宜雙方得另行協議之。3).若同意此報價,請簽名回傳。4).依現場數量實做實算吳成工程有限公司負責人:吳和宗 0935-166504 | | 9005710TEL:037-7758負責人:洪建苗栗縣竹南鎮中港里中正路報價日期:114年11月7日</x:v>
      </x:c>
      <x:c r="R798" s="71" t="str">
        <x:v>各廠商合約&amp; 報價\MD檔案\20251110晏成工程-鷹架報價單回傳.md</x:v>
      </x:c>
    </x:row>
    <x:row r="799">
      <x:c r="A799" s="69" t="str">
        <x:v>ITEM00795</x:v>
      </x:c>
      <x:c r="B799" s="69" t="str">
        <x:v>SRC050</x:v>
      </x:c>
      <x:c r="C799" s="69" t="str">
        <x:v>2025-2026</x:v>
      </x:c>
      <x:c r="D799" s="69" t="str">
        <x:v>header</x:v>
      </x:c>
      <x:c r="E799" s="69" t="str">
        <x:v>編號</x:v>
      </x:c>
      <x:c r="F799" s="71" t="str">
        <x:v>項目</x:v>
      </x:c>
      <x:c r="G799" s="71" t="str">
        <x:v>文件未載明</x:v>
      </x:c>
      <x:c r="H799" s="71" t="str">
        <x:v>單位</x:v>
      </x:c>
      <x:c r="I799" s="72"/>
      <x:c r="J799" s="69" t="str">
        <x:v>數量</x:v>
      </x:c>
      <x:c r="K799" s="70"/>
      <x:c r="L799" s="69" t="str">
        <x:v>文件未載明</x:v>
      </x:c>
      <x:c r="M799" s="70"/>
      <x:c r="N799" s="69" t="str">
        <x:v>文件未載明</x:v>
      </x:c>
      <x:c r="O799" s="71" t="str">
        <x:v>備註</x:v>
      </x:c>
      <x:c r="P799" s="71" t="str">
        <x:v>HTML table 2 row 1</x:v>
      </x:c>
      <x:c r="Q799" s="71" t="str">
        <x:v>編號 | 契約項次 | 項目 | 單位 | 計算式 | 數量 | 備註</x:v>
      </x:c>
      <x:c r="R799" s="71" t="str">
        <x:v>各廠商合約&amp; 報價\MD檔案\20251110晏成工程-鷹架報價單回傳.md</x:v>
      </x:c>
    </x:row>
    <x:row r="800">
      <x:c r="A800" s="69" t="str">
        <x:v>ITEM00796</x:v>
      </x:c>
      <x:c r="B800" s="69" t="str">
        <x:v>SRC050</x:v>
      </x:c>
      <x:c r="C800" s="69" t="str">
        <x:v>2025-2026</x:v>
      </x:c>
      <x:c r="D800" s="69" t="str">
        <x:v>detail</x:v>
      </x:c>
      <x:c r="E800" s="69" t="str">
        <x:v>一</x:v>
      </x:c>
      <x:c r="F800" s="71" t="str">
        <x:v>鋼管鷹架(非CNS4750)</x:v>
      </x:c>
      <x:c r="G800" s="71" t="str">
        <x:v>文件未載明</x:v>
      </x:c>
      <x:c r="H800" s="71" t="str">
        <x:v>m2</x:v>
      </x:c>
      <x:c r="I800" s="72"/>
      <x:c r="J800" s="69" t="str">
        <x:v>排數</x:v>
      </x:c>
      <x:c r="K800" s="70"/>
      <x:c r="L800" s="69" t="str">
        <x:v>文件未載明</x:v>
      </x:c>
      <x:c r="M800" s="70"/>
      <x:c r="N800" s="69" t="str">
        <x:v>文件未載明</x:v>
      </x:c>
      <x:c r="O800" s="71" t="str">
        <x:v>高度(m)</x:v>
      </x:c>
      <x:c r="P800" s="71" t="str">
        <x:v>HTML table 2 row 2</x:v>
      </x:c>
      <x:c r="Q800" s="71" t="str">
        <x:v>一 | 1 | 鋼管鷹架(非CNS4750) | m2 | 長度(m) | 排數 | 高度(m) | 處、樓 | 面積(m2) |</x:v>
      </x:c>
      <x:c r="R800" s="71" t="str">
        <x:v>各廠商合約&amp; 報價\MD檔案\20251110晏成工程-鷹架報價單回傳.md</x:v>
      </x:c>
    </x:row>
    <x:row r="801">
      <x:c r="A801" s="69" t="str">
        <x:v>ITEM00797</x:v>
      </x:c>
      <x:c r="B801" s="69" t="str">
        <x:v>SRC050</x:v>
      </x:c>
      <x:c r="C801" s="69" t="str">
        <x:v>2025-2026</x:v>
      </x:c>
      <x:c r="D801" s="69" t="str">
        <x:v>detail</x:v>
      </x:c>
      <x:c r="E801" s="69" t="str">
        <x:v>1</x:v>
      </x:c>
      <x:c r="F801" s="71" t="str">
        <x:v>1F 外架</x:v>
      </x:c>
      <x:c r="G801" s="71" t="str">
        <x:v>文件未載明</x:v>
      </x:c>
      <x:c r="H801" s="71" t="str">
        <x:v>文件未載明</x:v>
      </x:c>
      <x:c r="I801" s="72" t="n">
        <x:v>1</x:v>
      </x:c>
      <x:c r="J801" s="69" t="str">
        <x:v>1</x:v>
      </x:c>
      <x:c r="K801" s="70"/>
      <x:c r="L801" s="69" t="str">
        <x:v>文件未載明</x:v>
      </x:c>
      <x:c r="M801" s="70"/>
      <x:c r="N801" s="69" t="str">
        <x:v>文件未載明</x:v>
      </x:c>
      <x:c r="O801" s="71" t="str">
        <x:v>4.30</x:v>
      </x:c>
      <x:c r="P801" s="71" t="str">
        <x:v>HTML table 2 row 3</x:v>
      </x:c>
      <x:c r="Q801" s="71" t="str">
        <x:v>1 | | 1F 外架 | | 65.00 | 1 | 4.30 | 1 | 279.50 |</x:v>
      </x:c>
      <x:c r="R801" s="71" t="str">
        <x:v>各廠商合約&amp; 報價\MD檔案\20251110晏成工程-鷹架報價單回傳.md</x:v>
      </x:c>
    </x:row>
    <x:row r="802">
      <x:c r="A802" s="69" t="str">
        <x:v>ITEM00798</x:v>
      </x:c>
      <x:c r="B802" s="69" t="str">
        <x:v>SRC050</x:v>
      </x:c>
      <x:c r="C802" s="69" t="str">
        <x:v>2025-2026</x:v>
      </x:c>
      <x:c r="D802" s="69" t="str">
        <x:v>summary</x:v>
      </x:c>
      <x:c r="E802" s="69" t="str">
        <x:v>2</x:v>
      </x:c>
      <x:c r="F802" s="71" t="str">
        <x:v>1F 內補架、天井架 合計</x:v>
      </x:c>
      <x:c r="G802" s="71" t="str">
        <x:v>文件未載明</x:v>
      </x:c>
      <x:c r="H802" s="71" t="str">
        <x:v>文件未載明</x:v>
      </x:c>
      <x:c r="I802" s="72" t="n">
        <x:v>1</x:v>
      </x:c>
      <x:c r="J802" s="69" t="str">
        <x:v>1</x:v>
      </x:c>
      <x:c r="K802" s="70"/>
      <x:c r="L802" s="69" t="str">
        <x:v>文件未載明</x:v>
      </x:c>
      <x:c r="M802" s="70"/>
      <x:c r="N802" s="69" t="str">
        <x:v>文件未載明</x:v>
      </x:c>
      <x:c r="O802" s="71" t="str">
        <x:v>4.30</x:v>
      </x:c>
      <x:c r="P802" s="71" t="str">
        <x:v>HTML table 2 row 4</x:v>
      </x:c>
      <x:c r="Q802" s="71" t="str">
        <x:v>2 | | 1F 內補架、天井架 合計 | | 41.30 | 1 | 4.30 | 1 | 177.59 |</x:v>
      </x:c>
      <x:c r="R802" s="71" t="str">
        <x:v>各廠商合約&amp; 報價\MD檔案\20251110晏成工程-鷹架報價單回傳.md</x:v>
      </x:c>
    </x:row>
    <x:row r="803">
      <x:c r="A803" s="69" t="str">
        <x:v>ITEM00799</x:v>
      </x:c>
      <x:c r="B803" s="69" t="str">
        <x:v>SRC050</x:v>
      </x:c>
      <x:c r="C803" s="69" t="str">
        <x:v>2025-2026</x:v>
      </x:c>
      <x:c r="D803" s="69" t="str">
        <x:v>detail</x:v>
      </x:c>
      <x:c r="E803" s="69" t="str">
        <x:v>3</x:v>
      </x:c>
      <x:c r="F803" s="71" t="str">
        <x:v>2F 外架</x:v>
      </x:c>
      <x:c r="G803" s="71" t="str">
        <x:v>文件未載明</x:v>
      </x:c>
      <x:c r="H803" s="71" t="str">
        <x:v>文件未載明</x:v>
      </x:c>
      <x:c r="I803" s="72" t="n">
        <x:v>1</x:v>
      </x:c>
      <x:c r="J803" s="69" t="str">
        <x:v>1</x:v>
      </x:c>
      <x:c r="K803" s="70"/>
      <x:c r="L803" s="69" t="str">
        <x:v>文件未載明</x:v>
      </x:c>
      <x:c r="M803" s="70"/>
      <x:c r="N803" s="69" t="str">
        <x:v>文件未載明</x:v>
      </x:c>
      <x:c r="O803" s="71" t="str">
        <x:v>2.70</x:v>
      </x:c>
      <x:c r="P803" s="71" t="str">
        <x:v>HTML table 2 row 5</x:v>
      </x:c>
      <x:c r="Q803" s="71" t="str">
        <x:v>3 | | 2F 外架 | | 65.00 | 1 | 2.70 | 1 | 175.50 |</x:v>
      </x:c>
      <x:c r="R803" s="71" t="str">
        <x:v>各廠商合約&amp; 報價\MD檔案\20251110晏成工程-鷹架報價單回傳.md</x:v>
      </x:c>
    </x:row>
    <x:row r="804">
      <x:c r="A804" s="69" t="str">
        <x:v>ITEM00800</x:v>
      </x:c>
      <x:c r="B804" s="69" t="str">
        <x:v>SRC050</x:v>
      </x:c>
      <x:c r="C804" s="69" t="str">
        <x:v>2025-2026</x:v>
      </x:c>
      <x:c r="D804" s="69" t="str">
        <x:v>summary</x:v>
      </x:c>
      <x:c r="E804" s="69" t="str">
        <x:v>4</x:v>
      </x:c>
      <x:c r="F804" s="71" t="str">
        <x:v>2F 內補架、天井架 合計</x:v>
      </x:c>
      <x:c r="G804" s="71" t="str">
        <x:v>文件未載明</x:v>
      </x:c>
      <x:c r="H804" s="71" t="str">
        <x:v>文件未載明</x:v>
      </x:c>
      <x:c r="I804" s="72" t="n">
        <x:v>1</x:v>
      </x:c>
      <x:c r="J804" s="69" t="str">
        <x:v>1</x:v>
      </x:c>
      <x:c r="K804" s="70"/>
      <x:c r="L804" s="69" t="str">
        <x:v>文件未載明</x:v>
      </x:c>
      <x:c r="M804" s="70"/>
      <x:c r="N804" s="69" t="str">
        <x:v>文件未載明</x:v>
      </x:c>
      <x:c r="O804" s="71" t="str">
        <x:v>2.70</x:v>
      </x:c>
      <x:c r="P804" s="71" t="str">
        <x:v>HTML table 2 row 6</x:v>
      </x:c>
      <x:c r="Q804" s="71" t="str">
        <x:v>4 | | 2F 內補架、天井架 合計 | | 15.00 | 1 | 2.70 | 1 | 40.50 |</x:v>
      </x:c>
      <x:c r="R804" s="71" t="str">
        <x:v>各廠商合約&amp; 報價\MD檔案\20251110晏成工程-鷹架報價單回傳.md</x:v>
      </x:c>
    </x:row>
    <x:row r="805">
      <x:c r="A805" s="69" t="str">
        <x:v>ITEM00801</x:v>
      </x:c>
      <x:c r="B805" s="69" t="str">
        <x:v>SRC050</x:v>
      </x:c>
      <x:c r="C805" s="69" t="str">
        <x:v>2025-2026</x:v>
      </x:c>
      <x:c r="D805" s="69" t="str">
        <x:v>summary</x:v>
      </x:c>
      <x:c r="E805" s="69" t="str">
        <x:v>文件未載明</x:v>
      </x:c>
      <x:c r="F805" s="71" t="str">
        <x:v>小計</x:v>
      </x:c>
      <x:c r="G805" s="71" t="str">
        <x:v>文件未載明</x:v>
      </x:c>
      <x:c r="H805" s="71" t="str">
        <x:v>m2</x:v>
      </x:c>
      <x:c r="I805" s="72" t="n">
        <x:v>673</x:v>
      </x:c>
      <x:c r="J805" s="69" t="str">
        <x:v>673.00</x:v>
      </x:c>
      <x:c r="K805" s="70"/>
      <x:c r="L805" s="69" t="str">
        <x:v>文件未載明</x:v>
      </x:c>
      <x:c r="M805" s="70"/>
      <x:c r="N805" s="69" t="str">
        <x:v>文件未載明</x:v>
      </x:c>
      <x:c r="O805" s="71" t="str">
        <x:v>文件未載明</x:v>
      </x:c>
      <x:c r="P805" s="71" t="str">
        <x:v>HTML table 2 row 7</x:v>
      </x:c>
      <x:c r="Q805" s="71" t="str">
        <x:v>| | 小計 | m2 | | 673.00 |</x:v>
      </x:c>
      <x:c r="R805" s="71" t="str">
        <x:v>各廠商合約&amp; 報價\MD檔案\20251110晏成工程-鷹架報價單回傳.md</x:v>
      </x:c>
    </x:row>
    <x:row r="806">
      <x:c r="A806" s="69" t="str">
        <x:v>ITEM00802</x:v>
      </x:c>
      <x:c r="B806" s="69" t="str">
        <x:v>SRC050</x:v>
      </x:c>
      <x:c r="C806" s="69" t="str">
        <x:v>2025-2026</x:v>
      </x:c>
      <x:c r="D806" s="69" t="str">
        <x:v>detail</x:v>
      </x:c>
      <x:c r="E806" s="69" t="str">
        <x:v>二</x:v>
      </x:c>
      <x:c r="F806" s="71" t="str">
        <x:v>防塵網(9針)</x:v>
      </x:c>
      <x:c r="G806" s="71" t="str">
        <x:v>文件未載明</x:v>
      </x:c>
      <x:c r="H806" s="71" t="str">
        <x:v>m2</x:v>
      </x:c>
      <x:c r="I806" s="72"/>
      <x:c r="J806" s="69" t="str">
        <x:v>排數</x:v>
      </x:c>
      <x:c r="K806" s="70"/>
      <x:c r="L806" s="69" t="str">
        <x:v>文件未載明</x:v>
      </x:c>
      <x:c r="M806" s="70"/>
      <x:c r="N806" s="69" t="str">
        <x:v>文件未載明</x:v>
      </x:c>
      <x:c r="O806" s="71" t="str">
        <x:v>高度(m)</x:v>
      </x:c>
      <x:c r="P806" s="71" t="str">
        <x:v>HTML table 2 row 8</x:v>
      </x:c>
      <x:c r="Q806" s="71" t="str">
        <x:v>二 | 2 | 防塵網(9針) | m2 | 長度(m) | 排數 | 高度(m) | 處、樓 | 面積(m2) |</x:v>
      </x:c>
      <x:c r="R806" s="71" t="str">
        <x:v>各廠商合約&amp; 報價\MD檔案\20251110晏成工程-鷹架報價單回傳.md</x:v>
      </x:c>
    </x:row>
    <x:row r="807">
      <x:c r="A807" s="69" t="str">
        <x:v>ITEM00803</x:v>
      </x:c>
      <x:c r="B807" s="69" t="str">
        <x:v>SRC050</x:v>
      </x:c>
      <x:c r="C807" s="69" t="str">
        <x:v>2025-2026</x:v>
      </x:c>
      <x:c r="D807" s="69" t="str">
        <x:v>detail</x:v>
      </x:c>
      <x:c r="E807" s="69" t="str">
        <x:v>1</x:v>
      </x:c>
      <x:c r="F807" s="71" t="str">
        <x:v>1F 外架防塵網</x:v>
      </x:c>
      <x:c r="G807" s="71" t="str">
        <x:v>文件未載明</x:v>
      </x:c>
      <x:c r="H807" s="71" t="str">
        <x:v>文件未載明</x:v>
      </x:c>
      <x:c r="I807" s="72" t="n">
        <x:v>1</x:v>
      </x:c>
      <x:c r="J807" s="69" t="str">
        <x:v>1</x:v>
      </x:c>
      <x:c r="K807" s="70"/>
      <x:c r="L807" s="69" t="str">
        <x:v>文件未載明</x:v>
      </x:c>
      <x:c r="M807" s="70"/>
      <x:c r="N807" s="69" t="str">
        <x:v>文件未載明</x:v>
      </x:c>
      <x:c r="O807" s="71" t="str">
        <x:v>4.30</x:v>
      </x:c>
      <x:c r="P807" s="71" t="str">
        <x:v>HTML table 2 row 9</x:v>
      </x:c>
      <x:c r="Q807" s="71" t="str">
        <x:v>1 | | 1F 外架防塵網 | | 75.00 | 1 | 4.30 | 1 | 322.50 |</x:v>
      </x:c>
      <x:c r="R807" s="71" t="str">
        <x:v>各廠商合約&amp; 報價\MD檔案\20251110晏成工程-鷹架報價單回傳.md</x:v>
      </x:c>
    </x:row>
    <x:row r="808">
      <x:c r="A808" s="69" t="str">
        <x:v>ITEM00804</x:v>
      </x:c>
      <x:c r="B808" s="69" t="str">
        <x:v>SRC050</x:v>
      </x:c>
      <x:c r="C808" s="69" t="str">
        <x:v>2025-2026</x:v>
      </x:c>
      <x:c r="D808" s="69" t="str">
        <x:v>detail</x:v>
      </x:c>
      <x:c r="E808" s="69" t="str">
        <x:v>2</x:v>
      </x:c>
      <x:c r="F808" s="71" t="str">
        <x:v>2F 外架防塵網</x:v>
      </x:c>
      <x:c r="G808" s="71" t="str">
        <x:v>文件未載明</x:v>
      </x:c>
      <x:c r="H808" s="71" t="str">
        <x:v>文件未載明</x:v>
      </x:c>
      <x:c r="I808" s="72" t="n">
        <x:v>1</x:v>
      </x:c>
      <x:c r="J808" s="69" t="str">
        <x:v>1</x:v>
      </x:c>
      <x:c r="K808" s="70"/>
      <x:c r="L808" s="69" t="str">
        <x:v>文件未載明</x:v>
      </x:c>
      <x:c r="M808" s="70"/>
      <x:c r="N808" s="69" t="str">
        <x:v>文件未載明</x:v>
      </x:c>
      <x:c r="O808" s="71" t="str">
        <x:v>2.70</x:v>
      </x:c>
      <x:c r="P808" s="71" t="str">
        <x:v>HTML table 2 row 10</x:v>
      </x:c>
      <x:c r="Q808" s="71" t="str">
        <x:v>2 | | 2F 外架防塵網 | | 75.00 | 1 | 2.70 | 1 | 202.50 |</x:v>
      </x:c>
      <x:c r="R808" s="71" t="str">
        <x:v>各廠商合約&amp; 報價\MD檔案\20251110晏成工程-鷹架報價單回傳.md</x:v>
      </x:c>
    </x:row>
    <x:row r="809">
      <x:c r="A809" s="69" t="str">
        <x:v>ITEM00805</x:v>
      </x:c>
      <x:c r="B809" s="69" t="str">
        <x:v>SRC050</x:v>
      </x:c>
      <x:c r="C809" s="69" t="str">
        <x:v>2025-2026</x:v>
      </x:c>
      <x:c r="D809" s="69" t="str">
        <x:v>summary</x:v>
      </x:c>
      <x:c r="E809" s="69" t="str">
        <x:v>文件未載明</x:v>
      </x:c>
      <x:c r="F809" s="71" t="str">
        <x:v>小計</x:v>
      </x:c>
      <x:c r="G809" s="71" t="str">
        <x:v>文件未載明</x:v>
      </x:c>
      <x:c r="H809" s="71" t="str">
        <x:v>m2</x:v>
      </x:c>
      <x:c r="I809" s="72" t="n">
        <x:v>525</x:v>
      </x:c>
      <x:c r="J809" s="69" t="str">
        <x:v>525.00</x:v>
      </x:c>
      <x:c r="K809" s="70"/>
      <x:c r="L809" s="69" t="str">
        <x:v>文件未載明</x:v>
      </x:c>
      <x:c r="M809" s="70"/>
      <x:c r="N809" s="69" t="str">
        <x:v>文件未載明</x:v>
      </x:c>
      <x:c r="O809" s="71" t="str">
        <x:v>文件未載明</x:v>
      </x:c>
      <x:c r="P809" s="71" t="str">
        <x:v>HTML table 2 row 11</x:v>
      </x:c>
      <x:c r="Q809" s="71" t="str">
        <x:v>| | 小計 | m2 | | 525.00 |</x:v>
      </x:c>
      <x:c r="R809" s="71" t="str">
        <x:v>各廠商合約&amp; 報價\MD檔案\20251110晏成工程-鷹架報價單回傳.md</x:v>
      </x:c>
    </x:row>
    <x:row r="810">
      <x:c r="A810" s="69" t="str">
        <x:v>ITEM00806</x:v>
      </x:c>
      <x:c r="B810" s="69" t="str">
        <x:v>SRC050</x:v>
      </x:c>
      <x:c r="C810" s="69" t="str">
        <x:v>2025-2026</x:v>
      </x:c>
      <x:c r="D810" s="69" t="str">
        <x:v>detail</x:v>
      </x:c>
      <x:c r="E810" s="69" t="str">
        <x:v>三</x:v>
      </x:c>
      <x:c r="F810" s="71" t="str">
        <x:v>鐵爬梯</x:v>
      </x:c>
      <x:c r="G810" s="71" t="str">
        <x:v>文件未載明</x:v>
      </x:c>
      <x:c r="H810" s="71" t="str">
        <x:v>支</x:v>
      </x:c>
      <x:c r="I810" s="72" t="n">
        <x:v>6</x:v>
      </x:c>
      <x:c r="J810" s="69" t="str">
        <x:v>6.00</x:v>
      </x:c>
      <x:c r="K810" s="70"/>
      <x:c r="L810" s="69" t="str">
        <x:v>文件未載明</x:v>
      </x:c>
      <x:c r="M810" s="70"/>
      <x:c r="N810" s="69" t="str">
        <x:v>文件未載明</x:v>
      </x:c>
      <x:c r="O810" s="71" t="str">
        <x:v>文件未載明</x:v>
      </x:c>
      <x:c r="P810" s="71" t="str">
        <x:v>HTML table 2 row 12</x:v>
      </x:c>
      <x:c r="Q810" s="71" t="str">
        <x:v>三 | 5 | 鐵爬梯 | 支 | 1F 4支、2F 2支 | 6.00 |</x:v>
      </x:c>
      <x:c r="R810" s="71" t="str">
        <x:v>各廠商合約&amp; 報價\MD檔案\20251110晏成工程-鷹架報價單回傳.md</x:v>
      </x:c>
    </x:row>
    <x:row r="811">
      <x:c r="A811" s="69" t="str">
        <x:v>ITEM00807</x:v>
      </x:c>
      <x:c r="B811" s="69" t="str">
        <x:v>SRC050</x:v>
      </x:c>
      <x:c r="C811" s="69" t="str">
        <x:v>2025-2026</x:v>
      </x:c>
      <x:c r="D811" s="69" t="str">
        <x:v>detail</x:v>
      </x:c>
      <x:c r="E811" s="69" t="str">
        <x:v>四</x:v>
      </x:c>
      <x:c r="F811" s="71" t="str">
        <x:v>延伸架(含30 cm水平踏板)</x:v>
      </x:c>
      <x:c r="G811" s="71" t="str">
        <x:v>文件未載明</x:v>
      </x:c>
      <x:c r="H811" s="71" t="str">
        <x:v>m</x:v>
      </x:c>
      <x:c r="I811" s="72" t="n">
        <x:v>44.5</x:v>
      </x:c>
      <x:c r="J811" s="69" t="str">
        <x:v>44.50</x:v>
      </x:c>
      <x:c r="K811" s="70"/>
      <x:c r="L811" s="69" t="str">
        <x:v>文件未載明</x:v>
      </x:c>
      <x:c r="M811" s="70"/>
      <x:c r="N811" s="69" t="str">
        <x:v>文件未載明</x:v>
      </x:c>
      <x:c r="O811" s="71" t="str">
        <x:v>文件未載明</x:v>
      </x:c>
      <x:c r="P811" s="71" t="str">
        <x:v>HTML table 2 row 13</x:v>
      </x:c>
      <x:c r="Q811" s="71" t="str">
        <x:v>四 | 10 | 延伸架(含30 cm水平踏板) | m | 1F L=2.5m、2F L=42m | 44.50 |</x:v>
      </x:c>
      <x:c r="R811" s="71" t="str">
        <x:v>各廠商合約&amp; 報價\MD檔案\20251110晏成工程-鷹架報價單回傳.md</x:v>
      </x:c>
    </x:row>
    <x:row r="812">
      <x:c r="A812" s="69" t="str">
        <x:v>ITEM00808</x:v>
      </x:c>
      <x:c r="B812" s="69" t="str">
        <x:v>SRC050</x:v>
      </x:c>
      <x:c r="C812" s="69" t="str">
        <x:v>2025-2026</x:v>
      </x:c>
      <x:c r="D812" s="69" t="str">
        <x:v>detail</x:v>
      </x:c>
      <x:c r="E812" s="69" t="str">
        <x:v>五</x:v>
      </x:c>
      <x:c r="F812" s="71" t="str">
        <x:v>大斜撑</x:v>
      </x:c>
      <x:c r="G812" s="71" t="str">
        <x:v>文件未載明</x:v>
      </x:c>
      <x:c r="H812" s="71" t="str">
        <x:v>支</x:v>
      </x:c>
      <x:c r="I812" s="72" t="n">
        <x:v>30</x:v>
      </x:c>
      <x:c r="J812" s="69" t="str">
        <x:v>30</x:v>
      </x:c>
      <x:c r="K812" s="70"/>
      <x:c r="L812" s="69" t="str">
        <x:v>文件未載明</x:v>
      </x:c>
      <x:c r="M812" s="70"/>
      <x:c r="N812" s="69" t="str">
        <x:v>文件未載明</x:v>
      </x:c>
      <x:c r="O812" s="71" t="str">
        <x:v>文件未載明</x:v>
      </x:c>
      <x:c r="P812" s="71" t="str">
        <x:v>HTML table 2 row 14</x:v>
      </x:c>
      <x:c r="Q812" s="71" t="str">
        <x:v>五 | 23 | 大斜撑 | 支 | 1F 30支 | 30 |</x:v>
      </x:c>
      <x:c r="R812" s="71" t="str">
        <x:v>各廠商合約&amp; 報價\MD檔案\20251110晏成工程-鷹架報價單回傳.md</x:v>
      </x:c>
    </x:row>
    <x:row r="813">
      <x:c r="A813" s="69" t="str">
        <x:v>ITEM00809</x:v>
      </x:c>
      <x:c r="B813" s="69" t="str">
        <x:v>SRC051</x:v>
      </x:c>
      <x:c r="C813" s="69" t="str">
        <x:v>2025-2026</x:v>
      </x:c>
      <x:c r="D813" s="69" t="str">
        <x:v>header</x:v>
      </x:c>
      <x:c r="E813" s="69" t="str">
        <x:v>文件未載明</x:v>
      </x:c>
      <x:c r="F813" s="71" t="str">
        <x:v>品名</x:v>
      </x:c>
      <x:c r="G813" s="71" t="str">
        <x:v>規格</x:v>
      </x:c>
      <x:c r="H813" s="71" t="str">
        <x:v>單位</x:v>
      </x:c>
      <x:c r="I813" s="72"/>
      <x:c r="J813" s="69" t="str">
        <x:v>數量</x:v>
      </x:c>
      <x:c r="K813" s="70"/>
      <x:c r="L813" s="69" t="str">
        <x:v>單價</x:v>
      </x:c>
      <x:c r="M813" s="70"/>
      <x:c r="N813" s="69" t="str">
        <x:v>金額</x:v>
      </x:c>
      <x:c r="O813" s="71" t="str">
        <x:v>備註</x:v>
      </x:c>
      <x:c r="P813" s="71" t="str">
        <x:v>HTML table 1 row 1</x:v>
      </x:c>
      <x:c r="Q813" s="71" t="str">
        <x:v>| 品名 | 規格 | 單位 | 數量 | 單價 | 金額 | 備註</x:v>
      </x:c>
      <x:c r="R813" s="71" t="str">
        <x:v>各廠商合約&amp; 報價\MD檔案\20251118卉鄉景觀-喬木移植報價單回傳.md</x:v>
      </x:c>
    </x:row>
    <x:row r="814">
      <x:c r="A814" s="69" t="str">
        <x:v>ITEM00810</x:v>
      </x:c>
      <x:c r="B814" s="69" t="str">
        <x:v>SRC051</x:v>
      </x:c>
      <x:c r="C814" s="69" t="str">
        <x:v>2025-2026</x:v>
      </x:c>
      <x:c r="D814" s="69" t="str">
        <x:v>detail</x:v>
      </x:c>
      <x:c r="E814" s="69" t="str">
        <x:v>文件未載明</x:v>
      </x:c>
      <x:c r="F814" s="71" t="str">
        <x:v>小葉欖仁移植&amp;樹穴圈起預留</x:v>
      </x:c>
      <x:c r="G814" s="71" t="str">
        <x:v>文件未載明</x:v>
      </x:c>
      <x:c r="H814" s="71" t="str">
        <x:v>文件未載明</x:v>
      </x:c>
      <x:c r="I814" s="72"/>
      <x:c r="J814" s="69" t="str">
        <x:v>文件未載明</x:v>
      </x:c>
      <x:c r="K814" s="70"/>
      <x:c r="L814" s="69" t="str">
        <x:v>文件未載明</x:v>
      </x:c>
      <x:c r="M814" s="70"/>
      <x:c r="N814" s="69" t="str">
        <x:v>文件未載明</x:v>
      </x:c>
      <x:c r="O814" s="71" t="str">
        <x:v>文件未載明</x:v>
      </x:c>
      <x:c r="P814" s="71" t="str">
        <x:v>HTML table 1 row 2</x:v>
      </x:c>
      <x:c r="Q814" s="71" t="str">
        <x:v>| 小葉欖仁移植&amp;樹穴圈起預留 |</x:v>
      </x:c>
      <x:c r="R814" s="71" t="str">
        <x:v>各廠商合約&amp; 報價\MD檔案\20251118卉鄉景觀-喬木移植報價單回傳.md</x:v>
      </x:c>
    </x:row>
    <x:row r="815">
      <x:c r="A815" s="69" t="str">
        <x:v>ITEM00811</x:v>
      </x:c>
      <x:c r="B815" s="69" t="str">
        <x:v>SRC051</x:v>
      </x:c>
      <x:c r="C815" s="69" t="str">
        <x:v>2025-2026</x:v>
      </x:c>
      <x:c r="D815" s="69" t="str">
        <x:v>detail</x:v>
      </x:c>
      <x:c r="E815" s="69" t="str">
        <x:v>1</x:v>
      </x:c>
      <x:c r="F815" s="71" t="str">
        <x:v>怪手</x:v>
      </x:c>
      <x:c r="G815" s="71" t="str">
        <x:v>TB215 植栽移植.樹穴開挖</x:v>
      </x:c>
      <x:c r="H815" s="71" t="str">
        <x:v>工</x:v>
      </x:c>
      <x:c r="I815" s="72" t="n">
        <x:v>1</x:v>
      </x:c>
      <x:c r="J815" s="69" t="str">
        <x:v>1</x:v>
      </x:c>
      <x:c r="K815" s="70" t="n">
        <x:v>5000</x:v>
      </x:c>
      <x:c r="L815" s="69" t="str">
        <x:v>5,000</x:v>
      </x:c>
      <x:c r="M815" s="70" t="n">
        <x:v>5000</x:v>
      </x:c>
      <x:c r="N815" s="69" t="str">
        <x:v>5,000</x:v>
      </x:c>
      <x:c r="O815" s="71" t="str">
        <x:v>文件未載明</x:v>
      </x:c>
      <x:c r="P815" s="71" t="str">
        <x:v>HTML table 1 row 3</x:v>
      </x:c>
      <x:c r="Q815" s="71" t="str">
        <x:v>1 | 怪手 | TB215 植栽移植.樹穴開挖 | 工 | 1 | 5,000 | 5,000 |</x:v>
      </x:c>
      <x:c r="R815" s="71" t="str">
        <x:v>各廠商合約&amp; 報價\MD檔案\20251118卉鄉景觀-喬木移植報價單回傳.md</x:v>
      </x:c>
    </x:row>
    <x:row r="816">
      <x:c r="A816" s="69" t="str">
        <x:v>ITEM00812</x:v>
      </x:c>
      <x:c r="B816" s="69" t="str">
        <x:v>SRC051</x:v>
      </x:c>
      <x:c r="C816" s="69" t="str">
        <x:v>2025-2026</x:v>
      </x:c>
      <x:c r="D816" s="69" t="str">
        <x:v>detail</x:v>
      </x:c>
      <x:c r="E816" s="69" t="str">
        <x:v>2</x:v>
      </x:c>
      <x:c r="F816" s="71" t="str">
        <x:v>園藝工</x:v>
      </x:c>
      <x:c r="G816" s="71" t="str">
        <x:v>協助怪手.設置植草板.小搬運</x:v>
      </x:c>
      <x:c r="H816" s="71" t="str">
        <x:v>工</x:v>
      </x:c>
      <x:c r="I816" s="72" t="n">
        <x:v>1</x:v>
      </x:c>
      <x:c r="J816" s="69" t="str">
        <x:v>1</x:v>
      </x:c>
      <x:c r="K816" s="70" t="n">
        <x:v>3500</x:v>
      </x:c>
      <x:c r="L816" s="69" t="str">
        <x:v>3,500</x:v>
      </x:c>
      <x:c r="M816" s="70" t="n">
        <x:v>3500</x:v>
      </x:c>
      <x:c r="N816" s="69" t="str">
        <x:v>3,500</x:v>
      </x:c>
      <x:c r="O816" s="71" t="str">
        <x:v>文件未載明</x:v>
      </x:c>
      <x:c r="P816" s="71" t="str">
        <x:v>HTML table 1 row 4</x:v>
      </x:c>
      <x:c r="Q816" s="71" t="str">
        <x:v>2 | 園藝工 | 協助怪手.設置植草板.小搬運 | 工 | 1 | 3,500 | 3,500 |</x:v>
      </x:c>
      <x:c r="R816" s="71" t="str">
        <x:v>各廠商合約&amp; 報價\MD檔案\20251118卉鄉景觀-喬木移植報價單回傳.md</x:v>
      </x:c>
    </x:row>
    <x:row r="817">
      <x:c r="A817" s="69" t="str">
        <x:v>ITEM00813</x:v>
      </x:c>
      <x:c r="B817" s="69" t="str">
        <x:v>SRC051</x:v>
      </x:c>
      <x:c r="C817" s="69" t="str">
        <x:v>2025-2026</x:v>
      </x:c>
      <x:c r="D817" s="69" t="str">
        <x:v>detail</x:v>
      </x:c>
      <x:c r="E817" s="69" t="str">
        <x:v>3</x:v>
      </x:c>
      <x:c r="F817" s="71" t="str">
        <x:v>植栽擋土板</x:v>
      </x:c>
      <x:c r="G817" s="71" t="str">
        <x:v>H:45cm</x:v>
      </x:c>
      <x:c r="H817" s="71" t="str">
        <x:v>組</x:v>
      </x:c>
      <x:c r="I817" s="72" t="n">
        <x:v>2</x:v>
      </x:c>
      <x:c r="J817" s="69" t="str">
        <x:v>2</x:v>
      </x:c>
      <x:c r="K817" s="70" t="n">
        <x:v>600</x:v>
      </x:c>
      <x:c r="L817" s="69" t="str">
        <x:v>600</x:v>
      </x:c>
      <x:c r="M817" s="70" t="n">
        <x:v>1200</x:v>
      </x:c>
      <x:c r="N817" s="69" t="str">
        <x:v>1,200</x:v>
      </x:c>
      <x:c r="O817" s="71" t="str">
        <x:v>文件未載明</x:v>
      </x:c>
      <x:c r="P817" s="71" t="str">
        <x:v>HTML table 1 row 5</x:v>
      </x:c>
      <x:c r="Q817" s="71" t="str">
        <x:v>3 | 植栽擋土板 | H:45cm | 組 | 2 | 600 | 1,200 |</x:v>
      </x:c>
      <x:c r="R817" s="71" t="str">
        <x:v>各廠商合約&amp; 報價\MD檔案\20251118卉鄉景觀-喬木移植報價單回傳.md</x:v>
      </x:c>
    </x:row>
    <x:row r="818">
      <x:c r="A818" s="69" t="str">
        <x:v>ITEM00814</x:v>
      </x:c>
      <x:c r="B818" s="69" t="str">
        <x:v>SRC051</x:v>
      </x:c>
      <x:c r="C818" s="69" t="str">
        <x:v>2025-2026</x:v>
      </x:c>
      <x:c r="D818" s="69" t="str">
        <x:v>detail</x:v>
      </x:c>
      <x:c r="E818" s="69" t="str">
        <x:v>4</x:v>
      </x:c>
      <x:c r="F818" s="71" t="str">
        <x:v>雜項損耗</x:v>
      </x:c>
      <x:c r="G818" s="71" t="str">
        <x:v>工具五金.運費</x:v>
      </x:c>
      <x:c r="H818" s="71" t="str">
        <x:v>式</x:v>
      </x:c>
      <x:c r="I818" s="72" t="n">
        <x:v>1</x:v>
      </x:c>
      <x:c r="J818" s="69" t="str">
        <x:v>1</x:v>
      </x:c>
      <x:c r="K818" s="70" t="n">
        <x:v>2000</x:v>
      </x:c>
      <x:c r="L818" s="69" t="str">
        <x:v>2,000</x:v>
      </x:c>
      <x:c r="M818" s="70" t="n">
        <x:v>2000</x:v>
      </x:c>
      <x:c r="N818" s="69" t="str">
        <x:v>2,000</x:v>
      </x:c>
      <x:c r="O818" s="71" t="str">
        <x:v>文件未載明</x:v>
      </x:c>
      <x:c r="P818" s="71" t="str">
        <x:v>HTML table 1 row 6</x:v>
      </x:c>
      <x:c r="Q818" s="71" t="str">
        <x:v>4 | 雜項損耗 | 工具五金.運費 | 式 | 1 | 2,000 | 2,000 |</x:v>
      </x:c>
      <x:c r="R818" s="71" t="str">
        <x:v>各廠商合約&amp; 報價\MD檔案\20251118卉鄉景觀-喬木移植報價單回傳.md</x:v>
      </x:c>
    </x:row>
    <x:row r="819">
      <x:c r="A819" s="69" t="str">
        <x:v>ITEM00815</x:v>
      </x:c>
      <x:c r="B819" s="69" t="str">
        <x:v>SRC051</x:v>
      </x:c>
      <x:c r="C819" s="69" t="str">
        <x:v>2025-2026</x:v>
      </x:c>
      <x:c r="D819" s="69" t="str">
        <x:v>detail</x:v>
      </x:c>
      <x:c r="E819" s="69" t="str">
        <x:v>文件未載明</x:v>
      </x:c>
      <x:c r="F819" s="71" t="str">
        <x:v>計</x:v>
      </x:c>
      <x:c r="G819" s="71" t="str">
        <x:v>文件未載明</x:v>
      </x:c>
      <x:c r="H819" s="71" t="str">
        <x:v>文件未載明</x:v>
      </x:c>
      <x:c r="I819" s="72"/>
      <x:c r="J819" s="69" t="str">
        <x:v>文件未載明</x:v>
      </x:c>
      <x:c r="K819" s="70"/>
      <x:c r="L819" s="69" t="str">
        <x:v>計</x:v>
      </x:c>
      <x:c r="M819" s="70" t="n">
        <x:v>11700</x:v>
      </x:c>
      <x:c r="N819" s="69" t="str">
        <x:v>11,700</x:v>
      </x:c>
      <x:c r="O819" s="71" t="str">
        <x:v>文件未載明</x:v>
      </x:c>
      <x:c r="P819" s="71" t="str">
        <x:v>HTML table 1 row 7</x:v>
      </x:c>
      <x:c r="Q819" s="71" t="str">
        <x:v>| | | | | 計 | 11,700 |</x:v>
      </x:c>
      <x:c r="R819" s="71" t="str">
        <x:v>各廠商合約&amp; 報價\MD檔案\20251118卉鄉景觀-喬木移植報價單回傳.md</x:v>
      </x:c>
    </x:row>
    <x:row r="820">
      <x:c r="A820" s="69" t="str">
        <x:v>ITEM00816</x:v>
      </x:c>
      <x:c r="B820" s="69" t="str">
        <x:v>SRC051</x:v>
      </x:c>
      <x:c r="C820" s="69" t="str">
        <x:v>2025-2026</x:v>
      </x:c>
      <x:c r="D820" s="69" t="str">
        <x:v>summary</x:v>
      </x:c>
      <x:c r="E820" s="69" t="str">
        <x:v>文件未載明</x:v>
      </x:c>
      <x:c r="F820" s="71" t="str">
        <x:v>小計</x:v>
      </x:c>
      <x:c r="G820" s="71" t="str">
        <x:v>文件未載明</x:v>
      </x:c>
      <x:c r="H820" s="71" t="str">
        <x:v>文件未載明</x:v>
      </x:c>
      <x:c r="I820" s="72"/>
      <x:c r="J820" s="69" t="str">
        <x:v>文件未載明</x:v>
      </x:c>
      <x:c r="K820" s="70"/>
      <x:c r="L820" s="69" t="str">
        <x:v>計</x:v>
      </x:c>
      <x:c r="M820" s="70" t="n">
        <x:v>11700</x:v>
      </x:c>
      <x:c r="N820" s="69" t="str">
        <x:v>11,700</x:v>
      </x:c>
      <x:c r="O820" s="71" t="str">
        <x:v>文件未載明</x:v>
      </x:c>
      <x:c r="P820" s="71" t="str">
        <x:v>HTML table 1 row 17</x:v>
      </x:c>
      <x:c r="Q820" s="71" t="str">
        <x:v>| 小計 | | | | 計 | 11,700 |</x:v>
      </x:c>
      <x:c r="R820" s="71" t="str">
        <x:v>各廠商合約&amp; 報價\MD檔案\20251118卉鄉景觀-喬木移植報價單回傳.md</x:v>
      </x:c>
    </x:row>
    <x:row r="821">
      <x:c r="A821" s="69" t="str">
        <x:v>ITEM00817</x:v>
      </x:c>
      <x:c r="B821" s="69" t="str">
        <x:v>SRC051</x:v>
      </x:c>
      <x:c r="C821" s="69" t="str">
        <x:v>2025-2026</x:v>
      </x:c>
      <x:c r="D821" s="69" t="str">
        <x:v>summary</x:v>
      </x:c>
      <x:c r="E821" s="69" t="str">
        <x:v>文件未載明</x:v>
      </x:c>
      <x:c r="F821" s="71" t="str">
        <x:v>稅金</x:v>
      </x:c>
      <x:c r="G821" s="71" t="str">
        <x:v>文件未載明</x:v>
      </x:c>
      <x:c r="H821" s="71" t="str">
        <x:v>文件未載明</x:v>
      </x:c>
      <x:c r="I821" s="72" t="n">
        <x:v>5</x:v>
      </x:c>
      <x:c r="J821" s="69" t="str">
        <x:v>5%</x:v>
      </x:c>
      <x:c r="K821" s="70" t="n">
        <x:v>11700</x:v>
      </x:c>
      <x:c r="L821" s="69" t="str">
        <x:v>11,700</x:v>
      </x:c>
      <x:c r="M821" s="70" t="n">
        <x:v>585</x:v>
      </x:c>
      <x:c r="N821" s="69" t="str">
        <x:v>585</x:v>
      </x:c>
      <x:c r="O821" s="71" t="str">
        <x:v>文件未載明</x:v>
      </x:c>
      <x:c r="P821" s="71" t="str">
        <x:v>HTML table 1 row 18</x:v>
      </x:c>
      <x:c r="Q821" s="71" t="str">
        <x:v>| 稅金 | | | 5% | 11,700 | 585 |</x:v>
      </x:c>
      <x:c r="R821" s="71" t="str">
        <x:v>各廠商合約&amp; 報價\MD檔案\20251118卉鄉景觀-喬木移植報價單回傳.md</x:v>
      </x:c>
    </x:row>
    <x:row r="822">
      <x:c r="A822" s="69" t="str">
        <x:v>ITEM00818</x:v>
      </x:c>
      <x:c r="B822" s="69" t="str">
        <x:v>SRC051</x:v>
      </x:c>
      <x:c r="C822" s="69" t="str">
        <x:v>2025-2026</x:v>
      </x:c>
      <x:c r="D822" s="69" t="str">
        <x:v>summary</x:v>
      </x:c>
      <x:c r="E822" s="69" t="str">
        <x:v>文件未載明</x:v>
      </x:c>
      <x:c r="F822" s="71" t="str">
        <x:v>合計</x:v>
      </x:c>
      <x:c r="G822" s="71" t="str">
        <x:v>文件未載明</x:v>
      </x:c>
      <x:c r="H822" s="71" t="str">
        <x:v>文件未載明</x:v>
      </x:c>
      <x:c r="I822" s="72"/>
      <x:c r="J822" s="69" t="str">
        <x:v>文件未載明</x:v>
      </x:c>
      <x:c r="K822" s="70"/>
      <x:c r="L822" s="69" t="str">
        <x:v>文件未載明</x:v>
      </x:c>
      <x:c r="M822" s="70" t="n">
        <x:v>12285</x:v>
      </x:c>
      <x:c r="N822" s="69" t="str">
        <x:v>12,285</x:v>
      </x:c>
      <x:c r="O822" s="71" t="str">
        <x:v>文件未載明</x:v>
      </x:c>
      <x:c r="P822" s="71" t="str">
        <x:v>HTML table 1 row 19</x:v>
      </x:c>
      <x:c r="Q822" s="71" t="str">
        <x:v>| 合計 | | | | | 12,285 |</x:v>
      </x:c>
      <x:c r="R822" s="71" t="str">
        <x:v>各廠商合約&amp; 報價\MD檔案\20251118卉鄉景觀-喬木移植報價單回傳.md</x:v>
      </x:c>
    </x:row>
    <x:row r="823">
      <x:c r="A823" s="69" t="str">
        <x:v>ITEM00819</x:v>
      </x:c>
      <x:c r="B823" s="69" t="str">
        <x:v>SRC051</x:v>
      </x:c>
      <x:c r="C823" s="69" t="str">
        <x:v>2025-2026</x:v>
      </x:c>
      <x:c r="D823" s="69" t="str">
        <x:v>detail</x:v>
      </x:c>
      <x:c r="E823" s="69" t="str">
        <x:v>文件未載明</x:v>
      </x:c>
      <x:c r="F823" s="71" t="str">
        <x:v>NT$12,285</x:v>
      </x:c>
      <x:c r="G823" s="71" t="str">
        <x:v>文件未載明</x:v>
      </x:c>
      <x:c r="H823" s="71" t="str">
        <x:v>文件未載明</x:v>
      </x:c>
      <x:c r="I823" s="72"/>
      <x:c r="J823" s="69" t="str">
        <x:v>文件未載明</x:v>
      </x:c>
      <x:c r="K823" s="70"/>
      <x:c r="L823" s="69" t="str">
        <x:v>文件未載明</x:v>
      </x:c>
      <x:c r="M823" s="70"/>
      <x:c r="N823" s="69" t="str">
        <x:v>文件未載明</x:v>
      </x:c>
      <x:c r="O823" s="71" t="str">
        <x:v>文件未載明</x:v>
      </x:c>
      <x:c r="P823" s="71" t="str">
        <x:v>HTML table 1 row 20</x:v>
      </x:c>
      <x:c r="Q823" s="71" t="str">
        <x:v>壹萬貳仟貳佰捌拾伍 元整 | NT$12,285</x:v>
      </x:c>
      <x:c r="R823" s="71" t="str">
        <x:v>各廠商合約&amp; 報價\MD檔案\20251118卉鄉景觀-喬木移植報價單回傳.md</x:v>
      </x:c>
    </x:row>
    <x:row r="824">
      <x:c r="A824" s="69" t="str">
        <x:v>ITEM00820</x:v>
      </x:c>
      <x:c r="B824" s="69" t="str">
        <x:v>SRC051</x:v>
      </x:c>
      <x:c r="C824" s="69" t="str">
        <x:v>2025-2026</x:v>
      </x:c>
      <x:c r="D824" s="69" t="str">
        <x:v>detail</x:v>
      </x:c>
      <x:c r="E824" s="69" t="str">
        <x:v>文件未載明</x:v>
      </x:c>
      <x:c r="F824" s="71" t="str">
        <x:v>卉鄉景觀工程有限公司 承辦人: 分機發票地址:新竹市寶山路452巷12弄25號 展售園址:新竹市寶山路220號景觀工程·灌溉系統·設計·施工· TEL:03-5240437.5619845 FAX:5244368室內外送禮盆栽 諮詢專線:0978-120-952 E-Mail:t240437@yahoo.com.tw統…（詳原文索引）</x:v>
      </x:c>
      <x:c r="G824" s="71" t="str">
        <x:v>文件未載明</x:v>
      </x:c>
      <x:c r="H824" s="71" t="str">
        <x:v>文件未載明</x:v>
      </x:c>
      <x:c r="I824" s="72"/>
      <x:c r="J824" s="69" t="str">
        <x:v>文件未載明</x:v>
      </x:c>
      <x:c r="K824" s="70"/>
      <x:c r="L824" s="69" t="str">
        <x:v>文件未載明</x:v>
      </x:c>
      <x:c r="M824" s="70"/>
      <x:c r="N824" s="69" t="str">
        <x:v>文件未載明</x:v>
      </x:c>
      <x:c r="O824" s="71" t="str">
        <x:v>文件未載明</x:v>
      </x:c>
      <x:c r="P824" s="71" t="str">
        <x:v>HTML table 1 row 21</x:v>
      </x:c>
      <x:c r="Q824" s="71" t="str">
        <x:v>卉鄉景觀工程有限公司 承辦人: 分機發票地址:新竹市寶山路452巷12弄25號 展售園址:新竹市寶山路220號景觀工程·灌溉系統·設計·施工· TEL:03-5240437.5619845 FAX:5244368室內外送禮盆栽 諮詢專線:0978-120-952 E-Mail:t240437@yahoo.com.tw統編:12981767匯款資料:卉鄉景觀工程有限公司凱基銀行-新竹分行8090234 帳號:0002-31-1804780-6</x:v>
      </x:c>
      <x:c r="R824" s="71" t="str">
        <x:v>各廠商合約&amp; 報價\MD檔案\20251118卉鄉景觀-喬木移植報價單回傳.md</x:v>
      </x:c>
    </x:row>
    <x:row r="825">
      <x:c r="A825" s="69" t="str">
        <x:v>ITEM00821</x:v>
      </x:c>
      <x:c r="B825" s="69" t="str">
        <x:v>SRC053</x:v>
      </x:c>
      <x:c r="C825" s="69" t="str">
        <x:v>2025-2026</x:v>
      </x:c>
      <x:c r="D825" s="69" t="str">
        <x:v>note</x:v>
      </x:c>
      <x:c r="E825" s="69" t="str">
        <x:v>文件未載明</x:v>
      </x:c>
      <x:c r="F825" s="71" t="str">
        <x:v>客戶名稱:向上建設電話:03-777-5355</x:v>
      </x:c>
      <x:c r="G825" s="71" t="str">
        <x:v>文件未載明</x:v>
      </x:c>
      <x:c r="H825" s="71" t="str">
        <x:v>文件未載明</x:v>
      </x:c>
      <x:c r="I825" s="72"/>
      <x:c r="J825" s="69" t="str">
        <x:v>文件未載明</x:v>
      </x:c>
      <x:c r="K825" s="70"/>
      <x:c r="L825" s="69" t="str">
        <x:v>文件未載明</x:v>
      </x:c>
      <x:c r="M825" s="70"/>
      <x:c r="N825" s="69" t="str">
        <x:v>文件未載明</x:v>
      </x:c>
      <x:c r="O825" s="71" t="str">
        <x:v>文件未載明</x:v>
      </x:c>
      <x:c r="P825" s="71" t="str">
        <x:v>HTML table 1 row 1</x:v>
      </x:c>
      <x:c r="Q825" s="71" t="str">
        <x:v>客戶名稱:向上建設電話:03-777-5355 | 付款方式:</x:v>
      </x:c>
      <x:c r="R825" s="71" t="str">
        <x:v>各廠商合約&amp; 報價\MD檔案\20251121錦祥工程-隔間報價單回傳.md</x:v>
      </x:c>
    </x:row>
    <x:row r="826">
      <x:c r="A826" s="69" t="str">
        <x:v>ITEM00822</x:v>
      </x:c>
      <x:c r="B826" s="69" t="str">
        <x:v>SRC053</x:v>
      </x:c>
      <x:c r="C826" s="69" t="str">
        <x:v>2025-2026</x:v>
      </x:c>
      <x:c r="D826" s="69" t="str">
        <x:v>detail</x:v>
      </x:c>
      <x:c r="E826" s="69" t="str">
        <x:v>文件未載明</x:v>
      </x:c>
      <x:c r="F826" s="71" t="str">
        <x:v>工程地址:苗栗一後龍</x:v>
      </x:c>
      <x:c r="G826" s="71" t="str">
        <x:v>文件未載明</x:v>
      </x:c>
      <x:c r="H826" s="71" t="str">
        <x:v>文件未載明</x:v>
      </x:c>
      <x:c r="I826" s="72"/>
      <x:c r="J826" s="69" t="str">
        <x:v>文件未載明</x:v>
      </x:c>
      <x:c r="K826" s="70"/>
      <x:c r="L826" s="69" t="str">
        <x:v>文件未載明</x:v>
      </x:c>
      <x:c r="M826" s="70"/>
      <x:c r="N826" s="69" t="str">
        <x:v>文件未載明</x:v>
      </x:c>
      <x:c r="O826" s="71" t="str">
        <x:v>文件未載明</x:v>
      </x:c>
      <x:c r="P826" s="71" t="str">
        <x:v>HTML table 1 row 2</x:v>
      </x:c>
      <x:c r="Q826" s="71" t="str">
        <x:v>工程地址:苗栗一後龍</x:v>
      </x:c>
      <x:c r="R826" s="71" t="str">
        <x:v>各廠商合約&amp; 報價\MD檔案\20251121錦祥工程-隔間報價單回傳.md</x:v>
      </x:c>
    </x:row>
    <x:row r="827">
      <x:c r="A827" s="69" t="str">
        <x:v>ITEM00823</x:v>
      </x:c>
      <x:c r="B827" s="69" t="str">
        <x:v>SRC053</x:v>
      </x:c>
      <x:c r="C827" s="69" t="str">
        <x:v>2025-2026</x:v>
      </x:c>
      <x:c r="D827" s="69" t="str">
        <x:v>party</x:v>
      </x:c>
      <x:c r="E827" s="69" t="str">
        <x:v>文件未載明</x:v>
      </x:c>
      <x:c r="F827" s="71" t="str">
        <x:v>傳真:</x:v>
      </x:c>
      <x:c r="G827" s="71" t="str">
        <x:v>文件未載明</x:v>
      </x:c>
      <x:c r="H827" s="71" t="str">
        <x:v>文件未載明</x:v>
      </x:c>
      <x:c r="I827" s="72"/>
      <x:c r="J827" s="69" t="str">
        <x:v>文件未載明</x:v>
      </x:c>
      <x:c r="K827" s="70"/>
      <x:c r="L827" s="69" t="str">
        <x:v>文件未載明</x:v>
      </x:c>
      <x:c r="M827" s="70"/>
      <x:c r="N827" s="69" t="str">
        <x:v>文件未載明</x:v>
      </x:c>
      <x:c r="O827" s="71" t="str">
        <x:v>文件未載明</x:v>
      </x:c>
      <x:c r="P827" s="71" t="str">
        <x:v>HTML table 1 row 3</x:v>
      </x:c>
      <x:c r="Q827" s="71" t="str">
        <x:v>傳真: | 統一編號:90057101</x:v>
      </x:c>
      <x:c r="R827" s="71" t="str">
        <x:v>各廠商合約&amp; 報價\MD檔案\20251121錦祥工程-隔間報價單回傳.md</x:v>
      </x:c>
    </x:row>
    <x:row r="828">
      <x:c r="A828" s="69" t="str">
        <x:v>ITEM00824</x:v>
      </x:c>
      <x:c r="B828" s="69" t="str">
        <x:v>SRC053</x:v>
      </x:c>
      <x:c r="C828" s="69" t="str">
        <x:v>2025-2026</x:v>
      </x:c>
      <x:c r="D828" s="69" t="str">
        <x:v>header</x:v>
      </x:c>
      <x:c r="E828" s="69" t="str">
        <x:v>項次</x:v>
      </x:c>
      <x:c r="F828" s="71" t="str">
        <x:v>品名</x:v>
      </x:c>
      <x:c r="G828" s="71" t="str">
        <x:v>文件未載明</x:v>
      </x:c>
      <x:c r="H828" s="71" t="str">
        <x:v>單位</x:v>
      </x:c>
      <x:c r="I828" s="72"/>
      <x:c r="J828" s="69" t="str">
        <x:v>數量</x:v>
      </x:c>
      <x:c r="K828" s="70"/>
      <x:c r="L828" s="69" t="str">
        <x:v>單價</x:v>
      </x:c>
      <x:c r="M828" s="70"/>
      <x:c r="N828" s="69" t="str">
        <x:v>總價</x:v>
      </x:c>
      <x:c r="O828" s="71" t="str">
        <x:v>備註</x:v>
      </x:c>
      <x:c r="P828" s="71" t="str">
        <x:v>HTML table 1 row 4</x:v>
      </x:c>
      <x:c r="Q828" s="71" t="str">
        <x:v>項次 | 品名 | 數量 | 單位 | 單價 | 總價 | 備註</x:v>
      </x:c>
      <x:c r="R828" s="71" t="str">
        <x:v>各廠商合約&amp; 報價\MD檔案\20251121錦祥工程-隔間報價單回傳.md</x:v>
      </x:c>
    </x:row>
    <x:row r="829">
      <x:c r="A829" s="69" t="str">
        <x:v>ITEM00825</x:v>
      </x:c>
      <x:c r="B829" s="69" t="str">
        <x:v>SRC053</x:v>
      </x:c>
      <x:c r="C829" s="69" t="str">
        <x:v>2025-2026</x:v>
      </x:c>
      <x:c r="D829" s="69" t="str">
        <x:v>detail</x:v>
      </x:c>
      <x:c r="E829" s="69" t="str">
        <x:v>文件未載明</x:v>
      </x:c>
      <x:c r="F829" s="71" t="str">
        <x:v>9mm雙面矽酸鈣板隔間</x:v>
      </x:c>
      <x:c r="G829" s="71" t="str">
        <x:v>文件未載明</x:v>
      </x:c>
      <x:c r="H829" s="71" t="str">
        <x:v>坪</x:v>
      </x:c>
      <x:c r="I829" s="72" t="n">
        <x:v>9</x:v>
      </x:c>
      <x:c r="J829" s="69" t="str">
        <x:v>9</x:v>
      </x:c>
      <x:c r="K829" s="70" t="n">
        <x:v>3300</x:v>
      </x:c>
      <x:c r="L829" s="69" t="str">
        <x:v>3300</x:v>
      </x:c>
      <x:c r="M829" s="70" t="n">
        <x:v>29700</x:v>
      </x:c>
      <x:c r="N829" s="69" t="str">
        <x:v>29700</x:v>
      </x:c>
      <x:c r="O829" s="71" t="str">
        <x:v>不含油漆</x:v>
      </x:c>
      <x:c r="P829" s="71" t="str">
        <x:v>HTML table 1 row 5</x:v>
      </x:c>
      <x:c r="Q829" s="71" t="str">
        <x:v>| 9mm雙面矽酸鈣板隔間 | 9 | 坪 | 3300 | 29700 | 不含油漆</x:v>
      </x:c>
      <x:c r="R829" s="71" t="str">
        <x:v>各廠商合約&amp; 報價\MD檔案\20251121錦祥工程-隔間報價單回傳.md</x:v>
      </x:c>
    </x:row>
    <x:row r="830">
      <x:c r="A830" s="69" t="str">
        <x:v>ITEM00826</x:v>
      </x:c>
      <x:c r="B830" s="69" t="str">
        <x:v>SRC053</x:v>
      </x:c>
      <x:c r="C830" s="69" t="str">
        <x:v>2025-2026</x:v>
      </x:c>
      <x:c r="D830" s="69" t="str">
        <x:v>detail</x:v>
      </x:c>
      <x:c r="E830" s="69" t="str">
        <x:v>文件未載明</x:v>
      </x:c>
      <x:c r="F830" s="71" t="str">
        <x:v>60k隔音棉</x:v>
      </x:c>
      <x:c r="G830" s="71" t="str">
        <x:v>文件未載明</x:v>
      </x:c>
      <x:c r="H830" s="71" t="str">
        <x:v>坪</x:v>
      </x:c>
      <x:c r="I830" s="72" t="n">
        <x:v>9</x:v>
      </x:c>
      <x:c r="J830" s="69" t="str">
        <x:v>9</x:v>
      </x:c>
      <x:c r="K830" s="70" t="n">
        <x:v>650</x:v>
      </x:c>
      <x:c r="L830" s="69" t="str">
        <x:v>650</x:v>
      </x:c>
      <x:c r="M830" s="70" t="n">
        <x:v>5850</x:v>
      </x:c>
      <x:c r="N830" s="69" t="str">
        <x:v>5850</x:v>
      </x:c>
      <x:c r="O830" s="71" t="str">
        <x:v>文件未載明</x:v>
      </x:c>
      <x:c r="P830" s="71" t="str">
        <x:v>HTML table 1 row 7</x:v>
      </x:c>
      <x:c r="Q830" s="71" t="str">
        <x:v>| 60k隔音棉 | 9 | 坪 | 650 | 5850 |</x:v>
      </x:c>
      <x:c r="R830" s="71" t="str">
        <x:v>各廠商合約&amp; 報價\MD檔案\20251121錦祥工程-隔間報價單回傳.md</x:v>
      </x:c>
    </x:row>
    <x:row r="831">
      <x:c r="A831" s="69" t="str">
        <x:v>ITEM00827</x:v>
      </x:c>
      <x:c r="B831" s="69" t="str">
        <x:v>SRC053</x:v>
      </x:c>
      <x:c r="C831" s="69" t="str">
        <x:v>2025-2026</x:v>
      </x:c>
      <x:c r="D831" s="69" t="str">
        <x:v>summary</x:v>
      </x:c>
      <x:c r="E831" s="69" t="str">
        <x:v>銷售金額合計</x:v>
      </x:c>
      <x:c r="F831" s="71" t="str">
        <x:v>35550</x:v>
      </x:c>
      <x:c r="G831" s="71" t="str">
        <x:v>文件未載明</x:v>
      </x:c>
      <x:c r="H831" s="71" t="str">
        <x:v>文件未載明</x:v>
      </x:c>
      <x:c r="I831" s="72"/>
      <x:c r="J831" s="69" t="str">
        <x:v>文件未載明</x:v>
      </x:c>
      <x:c r="K831" s="70"/>
      <x:c r="L831" s="69" t="str">
        <x:v>文件未載明</x:v>
      </x:c>
      <x:c r="M831" s="70"/>
      <x:c r="N831" s="69" t="str">
        <x:v>文件未載明</x:v>
      </x:c>
      <x:c r="O831" s="71" t="str">
        <x:v>文件未載明</x:v>
      </x:c>
      <x:c r="P831" s="71" t="str">
        <x:v>HTML table 1 row 24</x:v>
      </x:c>
      <x:c r="Q831" s="71" t="str">
        <x:v>銷售金額合計 | 35550</x:v>
      </x:c>
      <x:c r="R831" s="71" t="str">
        <x:v>各廠商合約&amp; 報價\MD檔案\20251121錦祥工程-隔間報價單回傳.md</x:v>
      </x:c>
    </x:row>
    <x:row r="832">
      <x:c r="A832" s="69" t="str">
        <x:v>ITEM00828</x:v>
      </x:c>
      <x:c r="B832" s="69" t="str">
        <x:v>SRC053</x:v>
      </x:c>
      <x:c r="C832" s="69" t="str">
        <x:v>2025-2026</x:v>
      </x:c>
      <x:c r="D832" s="69" t="str">
        <x:v>summary</x:v>
      </x:c>
      <x:c r="E832" s="69" t="str">
        <x:v>營業稅</x:v>
      </x:c>
      <x:c r="F832" s="71" t="str">
        <x:v>含稅 未稅</x:v>
      </x:c>
      <x:c r="G832" s="71" t="str">
        <x:v>文件未載明</x:v>
      </x:c>
      <x:c r="H832" s="71" t="str">
        <x:v>文件未載明</x:v>
      </x:c>
      <x:c r="I832" s="72" t="n">
        <x:v>1778</x:v>
      </x:c>
      <x:c r="J832" s="69" t="str">
        <x:v>1778</x:v>
      </x:c>
      <x:c r="K832" s="70"/>
      <x:c r="L832" s="69" t="str">
        <x:v>文件未載明</x:v>
      </x:c>
      <x:c r="M832" s="70"/>
      <x:c r="N832" s="69" t="str">
        <x:v>文件未載明</x:v>
      </x:c>
      <x:c r="O832" s="71" t="str">
        <x:v>文件未載明</x:v>
      </x:c>
      <x:c r="P832" s="71" t="str">
        <x:v>HTML table 1 row 25</x:v>
      </x:c>
      <x:c r="Q832" s="71" t="str">
        <x:v>營業稅 | 含稅 未稅 | 1778</x:v>
      </x:c>
      <x:c r="R832" s="71" t="str">
        <x:v>各廠商合約&amp; 報價\MD檔案\20251121錦祥工程-隔間報價單回傳.md</x:v>
      </x:c>
    </x:row>
    <x:row r="833">
      <x:c r="A833" s="69" t="str">
        <x:v>ITEM00829</x:v>
      </x:c>
      <x:c r="B833" s="69" t="str">
        <x:v>SRC053</x:v>
      </x:c>
      <x:c r="C833" s="69" t="str">
        <x:v>2025-2026</x:v>
      </x:c>
      <x:c r="D833" s="69" t="str">
        <x:v>summary</x:v>
      </x:c>
      <x:c r="E833" s="69" t="str">
        <x:v>合計總金額</x:v>
      </x:c>
      <x:c r="F833" s="71" t="str">
        <x:v>37328 35000</x:v>
      </x:c>
      <x:c r="G833" s="71" t="str">
        <x:v>文件未載明</x:v>
      </x:c>
      <x:c r="H833" s="71" t="str">
        <x:v>文件未載明</x:v>
      </x:c>
      <x:c r="I833" s="72"/>
      <x:c r="J833" s="69" t="str">
        <x:v>文件未載明</x:v>
      </x:c>
      <x:c r="K833" s="70"/>
      <x:c r="L833" s="69" t="str">
        <x:v>文件未載明</x:v>
      </x:c>
      <x:c r="M833" s="70"/>
      <x:c r="N833" s="69" t="str">
        <x:v>文件未載明</x:v>
      </x:c>
      <x:c r="O833" s="71" t="str">
        <x:v>文件未載明</x:v>
      </x:c>
      <x:c r="P833" s="71" t="str">
        <x:v>HTML table 1 row 26</x:v>
      </x:c>
      <x:c r="Q833" s="71" t="str">
        <x:v>合計總金額 | 37328 35000</x:v>
      </x:c>
      <x:c r="R833" s="71" t="str">
        <x:v>各廠商合約&amp; 報價\MD檔案\20251121錦祥工程-隔間報價單回傳.md</x:v>
      </x:c>
    </x:row>
    <x:row r="834">
      <x:c r="A834" s="69" t="str">
        <x:v>ITEM00830</x:v>
      </x:c>
      <x:c r="B834" s="69" t="str">
        <x:v>SRC053</x:v>
      </x:c>
      <x:c r="C834" s="69" t="str">
        <x:v>2025-2026</x:v>
      </x:c>
      <x:c r="D834" s="69" t="str">
        <x:v>summary</x:v>
      </x:c>
      <x:c r="E834" s="69" t="str">
        <x:v>合計新台幣: 叁萬柒仟叁佰貳拾捌 元整 議價後含較</x:v>
      </x:c>
      <x:c r="F834" s="71" t="str">
        <x:v>文件未載明</x:v>
      </x:c>
      <x:c r="G834" s="71" t="str">
        <x:v>文件未載明</x:v>
      </x:c>
      <x:c r="H834" s="71" t="str">
        <x:v>文件未載明</x:v>
      </x:c>
      <x:c r="I834" s="72"/>
      <x:c r="J834" s="69" t="str">
        <x:v>文件未載明</x:v>
      </x:c>
      <x:c r="K834" s="70"/>
      <x:c r="L834" s="69" t="str">
        <x:v>文件未載明</x:v>
      </x:c>
      <x:c r="M834" s="70"/>
      <x:c r="N834" s="69" t="str">
        <x:v>文件未載明</x:v>
      </x:c>
      <x:c r="O834" s="71" t="str">
        <x:v>文件未載明</x:v>
      </x:c>
      <x:c r="P834" s="71" t="str">
        <x:v>HTML table 1 row 27</x:v>
      </x:c>
      <x:c r="Q834" s="71" t="str">
        <x:v>合計新台幣: 叁萬柒仟叁佰貳拾捌 元整 議價後含較</x:v>
      </x:c>
      <x:c r="R834" s="71" t="str">
        <x:v>各廠商合約&amp; 報價\MD檔案\20251121錦祥工程-隔間報價單回傳.md</x:v>
      </x:c>
    </x:row>
    <x:row r="835">
      <x:c r="A835" s="69" t="str">
        <x:v>ITEM00831</x:v>
      </x:c>
      <x:c r="B835" s="69" t="str">
        <x:v>SRC053</x:v>
      </x:c>
      <x:c r="C835" s="69" t="str">
        <x:v>2025-2026</x:v>
      </x:c>
      <x:c r="D835" s="69" t="str">
        <x:v>note</x:v>
      </x:c>
      <x:c r="E835" s="69" t="str">
        <x:v>根據動產法第三章附條件買賣、買方購貨若無法償付貨款或支票到期無法兌現、則賣方則隨時取回原物或等值他物以抵償貨款、買方不得異議。 天花板施工不扣燈具面積、不含木料收邊、水電空調補強自行處理。本單經雙方簽字或簽章是同買賣。合約雙方各執壹份。</x:v>
      </x:c>
      <x:c r="F835" s="71" t="str">
        <x:v>文件未載明</x:v>
      </x:c>
      <x:c r="G835" s="71" t="str">
        <x:v>文件未載明</x:v>
      </x:c>
      <x:c r="H835" s="71" t="str">
        <x:v>文件未載明</x:v>
      </x:c>
      <x:c r="I835" s="72"/>
      <x:c r="J835" s="69" t="str">
        <x:v>文件未載明</x:v>
      </x:c>
      <x:c r="K835" s="70"/>
      <x:c r="L835" s="69" t="str">
        <x:v>文件未載明</x:v>
      </x:c>
      <x:c r="M835" s="70"/>
      <x:c r="N835" s="69" t="str">
        <x:v>文件未載明</x:v>
      </x:c>
      <x:c r="O835" s="71" t="str">
        <x:v>文件未載明</x:v>
      </x:c>
      <x:c r="P835" s="71" t="str">
        <x:v>HTML table 1 row 28</x:v>
      </x:c>
      <x:c r="Q835" s="71" t="str">
        <x:v>根據動產法第三章附條件買賣、買方購貨若無法償付貨款或支票到期無法兌現、則賣方則隨時取回原物或等值他物以抵償貨款、買方不得異議。 天花板施工不扣燈具面積、不含木料收邊、水電空調補強自行處理。本單經雙方簽字或簽章是同買賣。合約雙方各執壹份。</x:v>
      </x:c>
      <x:c r="R835" s="71" t="str">
        <x:v>各廠商合約&amp; 報價\MD檔案\20251121錦祥工程-隔間報價單回傳.md</x:v>
      </x:c>
    </x:row>
    <x:row r="836">
      <x:c r="A836" s="69" t="str">
        <x:v>ITEM00832</x:v>
      </x:c>
      <x:c r="B836" s="69" t="str">
        <x:v>SRC052</x:v>
      </x:c>
      <x:c r="C836" s="69" t="str">
        <x:v>2025-2026</x:v>
      </x:c>
      <x:c r="D836" s="69" t="str">
        <x:v>header</x:v>
      </x:c>
      <x:c r="E836" s="69" t="str">
        <x:v>No</x:v>
      </x:c>
      <x:c r="F836" s="71" t="str">
        <x:v>品名/規格</x:v>
      </x:c>
      <x:c r="G836" s="71" t="str">
        <x:v>文件未載明</x:v>
      </x:c>
      <x:c r="H836" s="71" t="str">
        <x:v>單位</x:v>
      </x:c>
      <x:c r="I836" s="72"/>
      <x:c r="J836" s="69" t="str">
        <x:v>數量</x:v>
      </x:c>
      <x:c r="K836" s="70"/>
      <x:c r="L836" s="69" t="str">
        <x:v>單價</x:v>
      </x:c>
      <x:c r="M836" s="70"/>
      <x:c r="N836" s="69" t="str">
        <x:v>金額</x:v>
      </x:c>
      <x:c r="O836" s="71" t="str">
        <x:v>備註</x:v>
      </x:c>
      <x:c r="P836" s="71" t="str">
        <x:v>HTML table 1 row 1</x:v>
      </x:c>
      <x:c r="Q836" s="71" t="str">
        <x:v>No | 品名/規格 | 數量 | 單位 | 單價 | 金額 | 備註</x:v>
      </x:c>
      <x:c r="R836" s="71" t="str">
        <x:v>各廠商合約&amp; 報價\MD檔案\20251121長陽企業-格來得鐵捲門報價單回傳.md</x:v>
      </x:c>
    </x:row>
    <x:row r="837">
      <x:c r="A837" s="69" t="str">
        <x:v>ITEM00833</x:v>
      </x:c>
      <x:c r="B837" s="69" t="str">
        <x:v>SRC052</x:v>
      </x:c>
      <x:c r="C837" s="69" t="str">
        <x:v>2025-2026</x:v>
      </x:c>
      <x:c r="D837" s="69" t="str">
        <x:v>detail</x:v>
      </x:c>
      <x:c r="E837" s="69" t="str">
        <x:v>1</x:v>
      </x:c>
      <x:c r="F837" s="71" t="str">
        <x:v>格來得鋁合金花格快速捲門經典型W3830*H31801.304不銹鋼軌道-防飢型。2.鍍鋅烤漆捲箱-三面封+上蓋板一面。(註:標準制式色為白、奶油白、深灰)3.車道專用馬達、遙控器*3類、安全系統等裝置。4.電源用220V,馬達邊在內左邊。5.使用鋼板捲軸成捲。</x:v>
      </x:c>
      <x:c r="G837" s="71" t="str">
        <x:v>文件未載明</x:v>
      </x:c>
      <x:c r="H837" s="71" t="str">
        <x:v>式</x:v>
      </x:c>
      <x:c r="I837" s="72" t="n">
        <x:v>1</x:v>
      </x:c>
      <x:c r="J837" s="69" t="str">
        <x:v>1.00</x:v>
      </x:c>
      <x:c r="K837" s="70" t="n">
        <x:v>83000</x:v>
      </x:c>
      <x:c r="L837" s="69" t="str">
        <x:v>83,000</x:v>
      </x:c>
      <x:c r="M837" s="70" t="n">
        <x:v>83000</x:v>
      </x:c>
      <x:c r="N837" s="69" t="str">
        <x:v>83,000</x:v>
      </x:c>
      <x:c r="O837" s="71" t="str">
        <x:v>公用車道門-內捲</x:v>
      </x:c>
      <x:c r="P837" s="71" t="str">
        <x:v>HTML table 1 row 2</x:v>
      </x:c>
      <x:c r="Q837" s="71" t="str">
        <x:v>1 | 格來得鋁合金花格快速捲門經典型W3830*H31801.304不銹鋼軌道-防飢型。2.鍍鋅烤漆捲箱-三面封+上蓋板一面。(註:標準制式色為白、奶油白、深灰)3.車道專用馬達、遙控器*3類、安全系統等裝置。4.電源用220V,馬達邊在內左邊。5.使用鋼板捲軸成捲。 | 1.00 | 式 | 83,000 | 83,000 | 公用車道門-內捲</x:v>
      </x:c>
      <x:c r="R837" s="71" t="str">
        <x:v>各廠商合約&amp; 報價\MD檔案\20251121長陽企業-格來得鐵捲門報價單回傳.md</x:v>
      </x:c>
    </x:row>
    <x:row r="838">
      <x:c r="A838" s="69" t="str">
        <x:v>ITEM00834</x:v>
      </x:c>
      <x:c r="B838" s="69" t="str">
        <x:v>SRC052</x:v>
      </x:c>
      <x:c r="C838" s="69" t="str">
        <x:v>2025-2026</x:v>
      </x:c>
      <x:c r="D838" s="69" t="str">
        <x:v>detail</x:v>
      </x:c>
      <x:c r="E838" s="69" t="str">
        <x:v>2</x:v>
      </x:c>
      <x:c r="F838" s="71" t="str">
        <x:v>光電開關-紅外線安全感調整自動關門</x:v>
      </x:c>
      <x:c r="G838" s="71" t="str">
        <x:v>文件未載明</x:v>
      </x:c>
      <x:c r="H838" s="71" t="str">
        <x:v>PCS</x:v>
      </x:c>
      <x:c r="I838" s="72" t="n">
        <x:v>1</x:v>
      </x:c>
      <x:c r="J838" s="69" t="str">
        <x:v>1.00</x:v>
      </x:c>
      <x:c r="K838" s="70" t="n">
        <x:v>5000</x:v>
      </x:c>
      <x:c r="L838" s="69" t="str">
        <x:v>5,000</x:v>
      </x:c>
      <x:c r="M838" s="70" t="n">
        <x:v>5000</x:v>
      </x:c>
      <x:c r="N838" s="69" t="str">
        <x:v>5,000</x:v>
      </x:c>
      <x:c r="O838" s="71" t="str">
        <x:v>文件未載明</x:v>
      </x:c>
      <x:c r="P838" s="71" t="str">
        <x:v>HTML table 1 row 3</x:v>
      </x:c>
      <x:c r="Q838" s="71" t="str">
        <x:v>2 | 光電開關-紅外線安全感調整自動關門 | 1.00 | PCS | 5,000 | 5,000 |</x:v>
      </x:c>
      <x:c r="R838" s="71" t="str">
        <x:v>各廠商合約&amp; 報價\MD檔案\20251121長陽企業-格來得鐵捲門報價單回傳.md</x:v>
      </x:c>
    </x:row>
    <x:row r="839">
      <x:c r="A839" s="69" t="str">
        <x:v>ITEM00835</x:v>
      </x:c>
      <x:c r="B839" s="69" t="str">
        <x:v>SRC052</x:v>
      </x:c>
      <x:c r="C839" s="69" t="str">
        <x:v>2025-2026</x:v>
      </x:c>
      <x:c r="D839" s="69" t="str">
        <x:v>detail</x:v>
      </x:c>
      <x:c r="E839" s="69" t="str">
        <x:v>3</x:v>
      </x:c>
      <x:c r="F839" s="71" t="str">
        <x:v>遙控器另作追加。原附3類,共計有11類。&lt;以下空白&gt;</x:v>
      </x:c>
      <x:c r="G839" s="71" t="str">
        <x:v>文件未載明</x:v>
      </x:c>
      <x:c r="H839" s="71" t="str">
        <x:v>類</x:v>
      </x:c>
      <x:c r="I839" s="72" t="n">
        <x:v>8</x:v>
      </x:c>
      <x:c r="J839" s="69" t="str">
        <x:v>8.00</x:v>
      </x:c>
      <x:c r="K839" s="70" t="n">
        <x:v>500</x:v>
      </x:c>
      <x:c r="L839" s="69" t="str">
        <x:v>500</x:v>
      </x:c>
      <x:c r="M839" s="70" t="n">
        <x:v>4000</x:v>
      </x:c>
      <x:c r="N839" s="69" t="str">
        <x:v>4,000</x:v>
      </x:c>
      <x:c r="O839" s="71" t="str">
        <x:v>文件未載明</x:v>
      </x:c>
      <x:c r="P839" s="71" t="str">
        <x:v>HTML table 1 row 4</x:v>
      </x:c>
      <x:c r="Q839" s="71" t="str">
        <x:v>3 | 遙控器另作追加。原附3類,共計有11類。&lt;以下空白&gt; | 8.00 | 類 | 500 | 4,000 |</x:v>
      </x:c>
      <x:c r="R839" s="71" t="str">
        <x:v>各廠商合約&amp; 報價\MD檔案\20251121長陽企業-格來得鐵捲門報價單回傳.md</x:v>
      </x:c>
    </x:row>
    <x:row r="840">
      <x:c r="A840" s="69" t="str">
        <x:v>ITEM00836</x:v>
      </x:c>
      <x:c r="B840" s="69" t="str">
        <x:v>SRC052</x:v>
      </x:c>
      <x:c r="C840" s="69" t="str">
        <x:v>2025-2026</x:v>
      </x:c>
      <x:c r="D840" s="69" t="str">
        <x:v>detail</x:v>
      </x:c>
      <x:c r="E840" s="69" t="str">
        <x:v>文件未載明</x:v>
      </x:c>
      <x:c r="F840" s="71" t="str">
        <x:v>合 計: 92,000折扣: -1,524稅 額: 4,524總 計: 95,000</x:v>
      </x:c>
      <x:c r="G840" s="71" t="str">
        <x:v>文件未載明</x:v>
      </x:c>
      <x:c r="H840" s="71" t="str">
        <x:v>文件未載明</x:v>
      </x:c>
      <x:c r="I840" s="72"/>
      <x:c r="J840" s="69" t="str">
        <x:v>文件未載明</x:v>
      </x:c>
      <x:c r="K840" s="70"/>
      <x:c r="L840" s="69" t="str">
        <x:v>文件未載明</x:v>
      </x:c>
      <x:c r="M840" s="70"/>
      <x:c r="N840" s="69" t="str">
        <x:v>文件未載明</x:v>
      </x:c>
      <x:c r="O840" s="71" t="str">
        <x:v>文件未載明</x:v>
      </x:c>
      <x:c r="P840" s="71" t="str">
        <x:v>HTML table 1 row 5</x:v>
      </x:c>
      <x:c r="Q840" s="71" t="str">
        <x:v>| 合 計: 92,000折扣: -1,524稅 額: 4,524總 計: 95,000</x:v>
      </x:c>
      <x:c r="R840" s="71" t="str">
        <x:v>各廠商合約&amp; 報價\MD檔案\20251121長陽企業-格來得鐵捲門報價單回傳.md</x:v>
      </x:c>
    </x:row>
    <x:row r="841">
      <x:c r="A841" s="69" t="str">
        <x:v>ITEM00837</x:v>
      </x:c>
      <x:c r="B841" s="69" t="str">
        <x:v>SRC052</x:v>
      </x:c>
      <x:c r="C841" s="69" t="str">
        <x:v>2025-2026</x:v>
      </x:c>
      <x:c r="D841" s="69" t="str">
        <x:v>party</x:v>
      </x:c>
      <x:c r="E841" s="69" t="str">
        <x:v>文件未載明</x:v>
      </x:c>
      <x:c r="F841" s="71" t="str">
        <x:v>公司:長陽企業社/格來得竹苗分廠</x:v>
      </x:c>
      <x:c r="G841" s="71" t="str">
        <x:v>文件未載明</x:v>
      </x:c>
      <x:c r="H841" s="71" t="str">
        <x:v>文件未載明</x:v>
      </x:c>
      <x:c r="I841" s="72"/>
      <x:c r="J841" s="69" t="str">
        <x:v>文件未載明</x:v>
      </x:c>
      <x:c r="K841" s="70"/>
      <x:c r="L841" s="69" t="str">
        <x:v>文件未載明</x:v>
      </x:c>
      <x:c r="M841" s="70"/>
      <x:c r="N841" s="69" t="str">
        <x:v>文件未載明</x:v>
      </x:c>
      <x:c r="O841" s="71" t="str">
        <x:v>文件未載明</x:v>
      </x:c>
      <x:c r="P841" s="71" t="str">
        <x:v>HTML table 2 row 1</x:v>
      </x:c>
      <x:c r="Q841" s="71" t="str">
        <x:v>公司:長陽企業社/格來得竹苗分廠 | | 客戶確認蓋章 | 向上建設股份有限公司統一發票專用章統一編號90057101TEL:037-775355負責人:洪建豪苗栗縣竹南鎮中港里中正路423號</x:v>
      </x:c>
      <x:c r="R841" s="71" t="str">
        <x:v>各廠商合約&amp; 報價\MD檔案\20251121長陽企業-格來得鐵捲門報價單回傳.md</x:v>
      </x:c>
    </x:row>
    <x:row r="842">
      <x:c r="A842" s="69" t="str">
        <x:v>ITEM00838</x:v>
      </x:c>
      <x:c r="B842" s="69" t="str">
        <x:v>SRC052</x:v>
      </x:c>
      <x:c r="C842" s="69" t="str">
        <x:v>2025-2026</x:v>
      </x:c>
      <x:c r="D842" s="69" t="str">
        <x:v>detail</x:v>
      </x:c>
      <x:c r="E842" s="69" t="str">
        <x:v>文件未載明</x:v>
      </x:c>
      <x:c r="F842" s="71" t="str">
        <x:v>電話:03-5926-125</x:v>
      </x:c>
      <x:c r="G842" s="71" t="str">
        <x:v>文件未載明</x:v>
      </x:c>
      <x:c r="H842" s="71" t="str">
        <x:v>文件未載明</x:v>
      </x:c>
      <x:c r="I842" s="72"/>
      <x:c r="J842" s="69" t="str">
        <x:v>文件未載明</x:v>
      </x:c>
      <x:c r="K842" s="70"/>
      <x:c r="L842" s="69" t="str">
        <x:v>文件未載明</x:v>
      </x:c>
      <x:c r="M842" s="70"/>
      <x:c r="N842" s="69" t="str">
        <x:v>文件未載明</x:v>
      </x:c>
      <x:c r="O842" s="71" t="str">
        <x:v>文件未載明</x:v>
      </x:c>
      <x:c r="P842" s="71" t="str">
        <x:v>HTML table 2 row 2</x:v>
      </x:c>
      <x:c r="Q842" s="71" t="str">
        <x:v>電話:03-5926-125</x:v>
      </x:c>
      <x:c r="R842" s="71" t="str">
        <x:v>各廠商合約&amp; 報價\MD檔案\20251121長陽企業-格來得鐵捲門報價單回傳.md</x:v>
      </x:c>
    </x:row>
    <x:row r="843">
      <x:c r="A843" s="69" t="str">
        <x:v>ITEM00839</x:v>
      </x:c>
      <x:c r="B843" s="69" t="str">
        <x:v>SRC052</x:v>
      </x:c>
      <x:c r="C843" s="69" t="str">
        <x:v>2025-2026</x:v>
      </x:c>
      <x:c r="D843" s="69" t="str">
        <x:v>detail</x:v>
      </x:c>
      <x:c r="E843" s="69" t="str">
        <x:v>文件未載明</x:v>
      </x:c>
      <x:c r="F843" s="71" t="str">
        <x:v>傳真:03-5926-617</x:v>
      </x:c>
      <x:c r="G843" s="71" t="str">
        <x:v>文件未載明</x:v>
      </x:c>
      <x:c r="H843" s="71" t="str">
        <x:v>文件未載明</x:v>
      </x:c>
      <x:c r="I843" s="72"/>
      <x:c r="J843" s="69" t="str">
        <x:v>文件未載明</x:v>
      </x:c>
      <x:c r="K843" s="70"/>
      <x:c r="L843" s="69" t="str">
        <x:v>文件未載明</x:v>
      </x:c>
      <x:c r="M843" s="70"/>
      <x:c r="N843" s="69" t="str">
        <x:v>文件未載明</x:v>
      </x:c>
      <x:c r="O843" s="71" t="str">
        <x:v>文件未載明</x:v>
      </x:c>
      <x:c r="P843" s="71" t="str">
        <x:v>HTML table 2 row 3</x:v>
      </x:c>
      <x:c r="Q843" s="71" t="str">
        <x:v>傳真:03-5926-617</x:v>
      </x:c>
      <x:c r="R843" s="71" t="str">
        <x:v>各廠商合約&amp; 報價\MD檔案\20251121長陽企業-格來得鐵捲門報價單回傳.md</x:v>
      </x:c>
    </x:row>
    <x:row r="844">
      <x:c r="A844" s="69" t="str">
        <x:v>ITEM00840</x:v>
      </x:c>
      <x:c r="B844" s="69" t="str">
        <x:v>SRC052</x:v>
      </x:c>
      <x:c r="C844" s="69" t="str">
        <x:v>2025-2026</x:v>
      </x:c>
      <x:c r="D844" s="69" t="str">
        <x:v>detail</x:v>
      </x:c>
      <x:c r="E844" s="69" t="str">
        <x:v>文件未載明</x:v>
      </x:c>
      <x:c r="F844" s="71" t="str">
        <x:v>住址:新竹縣芎林鄉文明路57號</x:v>
      </x:c>
      <x:c r="G844" s="71" t="str">
        <x:v>文件未載明</x:v>
      </x:c>
      <x:c r="H844" s="71" t="str">
        <x:v>文件未載明</x:v>
      </x:c>
      <x:c r="I844" s="72"/>
      <x:c r="J844" s="69" t="str">
        <x:v>文件未載明</x:v>
      </x:c>
      <x:c r="K844" s="70"/>
      <x:c r="L844" s="69" t="str">
        <x:v>文件未載明</x:v>
      </x:c>
      <x:c r="M844" s="70"/>
      <x:c r="N844" s="69" t="str">
        <x:v>文件未載明</x:v>
      </x:c>
      <x:c r="O844" s="71" t="str">
        <x:v>文件未載明</x:v>
      </x:c>
      <x:c r="P844" s="71" t="str">
        <x:v>HTML table 2 row 4</x:v>
      </x:c>
      <x:c r="Q844" s="71" t="str">
        <x:v>住址:新竹縣芎林鄉文明路57號</x:v>
      </x:c>
      <x:c r="R844" s="71" t="str">
        <x:v>各廠商合約&amp; 報價\MD檔案\20251121長陽企業-格來得鐵捲門報價單回傳.md</x:v>
      </x:c>
    </x:row>
    <x:row r="845">
      <x:c r="A845" s="69" t="str">
        <x:v>ITEM00841</x:v>
      </x:c>
      <x:c r="B845" s="69" t="str">
        <x:v>SRC052</x:v>
      </x:c>
      <x:c r="C845" s="69" t="str">
        <x:v>2025-2026</x:v>
      </x:c>
      <x:c r="D845" s="69" t="str">
        <x:v>detail</x:v>
      </x:c>
      <x:c r="E845" s="69" t="str">
        <x:v>文件未載明</x:v>
      </x:c>
      <x:c r="F845" s="71" t="str">
        <x:v>聯絡人:黃品欣 0938-649-292</x:v>
      </x:c>
      <x:c r="G845" s="71" t="str">
        <x:v>文件未載明</x:v>
      </x:c>
      <x:c r="H845" s="71" t="str">
        <x:v>文件未載明</x:v>
      </x:c>
      <x:c r="I845" s="72"/>
      <x:c r="J845" s="69" t="str">
        <x:v>文件未載明</x:v>
      </x:c>
      <x:c r="K845" s="70"/>
      <x:c r="L845" s="69" t="str">
        <x:v>文件未載明</x:v>
      </x:c>
      <x:c r="M845" s="70"/>
      <x:c r="N845" s="69" t="str">
        <x:v>文件未載明</x:v>
      </x:c>
      <x:c r="O845" s="71" t="str">
        <x:v>文件未載明</x:v>
      </x:c>
      <x:c r="P845" s="71" t="str">
        <x:v>HTML table 2 row 5</x:v>
      </x:c>
      <x:c r="Q845" s="71" t="str">
        <x:v>聯絡人:黃品欣 0938-649-292</x:v>
      </x:c>
      <x:c r="R845" s="71" t="str">
        <x:v>各廠商合約&amp; 報價\MD檔案\20251121長陽企業-格來得鐵捲門報價單回傳.md</x:v>
      </x:c>
    </x:row>
    <x:row r="846">
      <x:c r="A846" s="69" t="str">
        <x:v>ITEM00842</x:v>
      </x:c>
      <x:c r="B846" s="69" t="str">
        <x:v>SRC054</x:v>
      </x:c>
      <x:c r="C846" s="69" t="str">
        <x:v>2025-2026</x:v>
      </x:c>
      <x:c r="D846" s="69" t="str">
        <x:v>header</x:v>
      </x:c>
      <x:c r="E846" s="69" t="str">
        <x:v>項目</x:v>
      </x:c>
      <x:c r="F846" s="71" t="str">
        <x:v>項目</x:v>
      </x:c>
      <x:c r="G846" s="71" t="str">
        <x:v>文件未載明</x:v>
      </x:c>
      <x:c r="H846" s="71" t="str">
        <x:v>單位</x:v>
      </x:c>
      <x:c r="I846" s="72"/>
      <x:c r="J846" s="69" t="str">
        <x:v>文件未載明</x:v>
      </x:c>
      <x:c r="K846" s="70"/>
      <x:c r="L846" s="69" t="str">
        <x:v>單價</x:v>
      </x:c>
      <x:c r="M846" s="70"/>
      <x:c r="N846" s="69" t="str">
        <x:v>文件未載明</x:v>
      </x:c>
      <x:c r="O846" s="71" t="str">
        <x:v>文件未載明</x:v>
      </x:c>
      <x:c r="P846" s="71" t="str">
        <x:v>HTML table 1 row 1</x:v>
      </x:c>
      <x:c r="Q846" s="71" t="str">
        <x:v>類別 | 項目 | 單位 | 單價 | 預估</x:v>
      </x:c>
      <x:c r="R846" s="71" t="str">
        <x:v>各廠商合約&amp; 報價\MD檔案\20251124百鴻工程-陽台修補報價單回傳.md</x:v>
      </x:c>
    </x:row>
    <x:row r="847">
      <x:c r="A847" s="69" t="str">
        <x:v>ITEM00843</x:v>
      </x:c>
      <x:c r="B847" s="69" t="str">
        <x:v>SRC054</x:v>
      </x:c>
      <x:c r="C847" s="69" t="str">
        <x:v>2025-2026</x:v>
      </x:c>
      <x:c r="D847" s="69" t="str">
        <x:v>detail</x:v>
      </x:c>
      <x:c r="E847" s="69" t="str">
        <x:v>10*10硬底線工費</x:v>
      </x:c>
      <x:c r="F847" s="71" t="str">
        <x:v>10*10硬底線工費</x:v>
      </x:c>
      <x:c r="G847" s="71" t="str">
        <x:v>文件未載明</x:v>
      </x:c>
      <x:c r="H847" s="71" t="str">
        <x:v>年</x:v>
      </x:c>
      <x:c r="I847" s="72"/>
      <x:c r="J847" s="69" t="str">
        <x:v>文件未載明</x:v>
      </x:c>
      <x:c r="K847" s="70" t="n">
        <x:v>2.1</x:v>
      </x:c>
      <x:c r="L847" s="69" t="str">
        <x:v>2.100</x:v>
      </x:c>
      <x:c r="M847" s="70"/>
      <x:c r="N847" s="69" t="str">
        <x:v>文件未載明</x:v>
      </x:c>
      <x:c r="O847" s="71" t="str">
        <x:v>文件未載明</x:v>
      </x:c>
      <x:c r="P847" s="71" t="str">
        <x:v>HTML table 1 row 2</x:v>
      </x:c>
      <x:c r="Q847" s="71" t="str">
        <x:v>| 10*10硬底線工費 | 年 | 2.100 |</x:v>
      </x:c>
      <x:c r="R847" s="71" t="str">
        <x:v>各廠商合約&amp; 報價\MD檔案\20251124百鴻工程-陽台修補報價單回傳.md</x:v>
      </x:c>
    </x:row>
    <x:row r="848">
      <x:c r="A848" s="69" t="str">
        <x:v>ITEM00844</x:v>
      </x:c>
      <x:c r="B848" s="69" t="str">
        <x:v>SRC054</x:v>
      </x:c>
      <x:c r="C848" s="69" t="str">
        <x:v>2025-2026</x:v>
      </x:c>
      <x:c r="D848" s="69" t="str">
        <x:v>detail</x:v>
      </x:c>
      <x:c r="E848" s="69" t="str">
        <x:v>磚台30*30修機</x:v>
      </x:c>
      <x:c r="F848" s="71" t="str">
        <x:v>磚台30*30修機</x:v>
      </x:c>
      <x:c r="G848" s="71" t="str">
        <x:v>文件未載明</x:v>
      </x:c>
      <x:c r="H848" s="71" t="str">
        <x:v>L</x:v>
      </x:c>
      <x:c r="I848" s="72"/>
      <x:c r="J848" s="69" t="str">
        <x:v>文件未載明</x:v>
      </x:c>
      <x:c r="K848" s="70" t="n">
        <x:v>3</x:v>
      </x:c>
      <x:c r="L848" s="69" t="str">
        <x:v>3.000</x:v>
      </x:c>
      <x:c r="M848" s="70"/>
      <x:c r="N848" s="69" t="str">
        <x:v>文件未載明</x:v>
      </x:c>
      <x:c r="O848" s="71" t="str">
        <x:v>文件未載明</x:v>
      </x:c>
      <x:c r="P848" s="71" t="str">
        <x:v>HTML table 1 row 3</x:v>
      </x:c>
      <x:c r="Q848" s="71" t="str">
        <x:v>| 磚台30*30修機 | L | 3.000 | 2.2</x:v>
      </x:c>
      <x:c r="R848" s="71" t="str">
        <x:v>各廠商合約&amp; 報價\MD檔案\20251124百鴻工程-陽台修補報價單回傳.md</x:v>
      </x:c>
    </x:row>
    <x:row r="849">
      <x:c r="A849" s="69" t="str">
        <x:v>ITEM00845</x:v>
      </x:c>
      <x:c r="B849" s="69" t="str">
        <x:v>SRC054</x:v>
      </x:c>
      <x:c r="C849" s="69" t="str">
        <x:v>2025-2026</x:v>
      </x:c>
      <x:c r="D849" s="69" t="str">
        <x:v>detail</x:v>
      </x:c>
      <x:c r="E849" s="69" t="str">
        <x:v>(以下空白)</x:v>
      </x:c>
      <x:c r="F849" s="71" t="str">
        <x:v>(以下空白)</x:v>
      </x:c>
      <x:c r="G849" s="71" t="str">
        <x:v>文件未載明</x:v>
      </x:c>
      <x:c r="H849" s="71" t="str">
        <x:v>文件未載明</x:v>
      </x:c>
      <x:c r="I849" s="72"/>
      <x:c r="J849" s="69" t="str">
        <x:v>文件未載明</x:v>
      </x:c>
      <x:c r="K849" s="70"/>
      <x:c r="L849" s="69" t="str">
        <x:v>文件未載明</x:v>
      </x:c>
      <x:c r="M849" s="70"/>
      <x:c r="N849" s="69" t="str">
        <x:v>文件未載明</x:v>
      </x:c>
      <x:c r="O849" s="71" t="str">
        <x:v>文件未載明</x:v>
      </x:c>
      <x:c r="P849" s="71" t="str">
        <x:v>HTML table 1 row 4</x:v>
      </x:c>
      <x:c r="Q849" s="71" t="str">
        <x:v>| (以下空白) | | |</x:v>
      </x:c>
      <x:c r="R849" s="71" t="str">
        <x:v>各廠商合約&amp; 報價\MD檔案\20251124百鴻工程-陽台修補報價單回傳.md</x:v>
      </x:c>
    </x:row>
    <x:row r="850">
      <x:c r="A850" s="69" t="str">
        <x:v>ITEM00846</x:v>
      </x:c>
      <x:c r="B850" s="69" t="str">
        <x:v>SRC057</x:v>
      </x:c>
      <x:c r="C850" s="69" t="str">
        <x:v>2025-2026</x:v>
      </x:c>
      <x:c r="D850" s="69" t="str">
        <x:v>party</x:v>
      </x:c>
      <x:c r="E850" s="69" t="str">
        <x:v>文件未載明</x:v>
      </x:c>
      <x:c r="F850" s="71" t="str">
        <x:v>公司名稱:向上建設股份有限公司</x:v>
      </x:c>
      <x:c r="G850" s="71" t="str">
        <x:v>文件未載明</x:v>
      </x:c>
      <x:c r="H850" s="71" t="str">
        <x:v>文件未載明</x:v>
      </x:c>
      <x:c r="I850" s="72"/>
      <x:c r="J850" s="69" t="str">
        <x:v>文件未載明</x:v>
      </x:c>
      <x:c r="K850" s="70"/>
      <x:c r="L850" s="69" t="str">
        <x:v>文件未載明</x:v>
      </x:c>
      <x:c r="M850" s="70"/>
      <x:c r="N850" s="69" t="str">
        <x:v>文件未載明</x:v>
      </x:c>
      <x:c r="O850" s="71" t="str">
        <x:v>文件未載明</x:v>
      </x:c>
      <x:c r="P850" s="71" t="str">
        <x:v>HTML table 1 row 1</x:v>
      </x:c>
      <x:c r="Q850" s="71" t="str">
        <x:v>公司名稱:向上建設股份有限公司 | 地址:苗栗縣竹南鎮中正路423號</x:v>
      </x:c>
      <x:c r="R850" s="71" t="str">
        <x:v>各廠商合約&amp; 報價\MD檔案\20251203TOTO-衛浴報價單回傳.md</x:v>
      </x:c>
    </x:row>
    <x:row r="851">
      <x:c r="A851" s="69" t="str">
        <x:v>ITEM00847</x:v>
      </x:c>
      <x:c r="B851" s="69" t="str">
        <x:v>SRC057</x:v>
      </x:c>
      <x:c r="C851" s="69" t="str">
        <x:v>2025-2026</x:v>
      </x:c>
      <x:c r="D851" s="69" t="str">
        <x:v>detail</x:v>
      </x:c>
      <x:c r="E851" s="69" t="str">
        <x:v>文件未載明</x:v>
      </x:c>
      <x:c r="F851" s="71" t="str">
        <x:v>案件名稱:</x:v>
      </x:c>
      <x:c r="G851" s="71" t="str">
        <x:v>文件未載明</x:v>
      </x:c>
      <x:c r="H851" s="71" t="str">
        <x:v>文件未載明</x:v>
      </x:c>
      <x:c r="I851" s="72"/>
      <x:c r="J851" s="69" t="str">
        <x:v>文件未載明</x:v>
      </x:c>
      <x:c r="K851" s="70"/>
      <x:c r="L851" s="69" t="str">
        <x:v>文件未載明</x:v>
      </x:c>
      <x:c r="M851" s="70"/>
      <x:c r="N851" s="69" t="str">
        <x:v>文件未載明</x:v>
      </x:c>
      <x:c r="O851" s="71" t="str">
        <x:v>文件未載明</x:v>
      </x:c>
      <x:c r="P851" s="71" t="str">
        <x:v>HTML table 1 row 2</x:v>
      </x:c>
      <x:c r="Q851" s="71" t="str">
        <x:v>案件名稱: | 電話:0932-695878</x:v>
      </x:c>
      <x:c r="R851" s="71" t="str">
        <x:v>各廠商合約&amp; 報價\MD檔案\20251203TOTO-衛浴報價單回傳.md</x:v>
      </x:c>
    </x:row>
    <x:row r="852">
      <x:c r="A852" s="69" t="str">
        <x:v>ITEM00848</x:v>
      </x:c>
      <x:c r="B852" s="69" t="str">
        <x:v>SRC057</x:v>
      </x:c>
      <x:c r="C852" s="69" t="str">
        <x:v>2025-2026</x:v>
      </x:c>
      <x:c r="D852" s="69" t="str">
        <x:v>detail</x:v>
      </x:c>
      <x:c r="E852" s="69" t="str">
        <x:v>文件未載明</x:v>
      </x:c>
      <x:c r="F852" s="71" t="str">
        <x:v>聯絡人:洪建豪先生</x:v>
      </x:c>
      <x:c r="G852" s="71" t="str">
        <x:v>文件未載明</x:v>
      </x:c>
      <x:c r="H852" s="71" t="str">
        <x:v>文件未載明</x:v>
      </x:c>
      <x:c r="I852" s="72"/>
      <x:c r="J852" s="69" t="str">
        <x:v>文件未載明</x:v>
      </x:c>
      <x:c r="K852" s="70"/>
      <x:c r="L852" s="69" t="str">
        <x:v>文件未載明</x:v>
      </x:c>
      <x:c r="M852" s="70"/>
      <x:c r="N852" s="69" t="str">
        <x:v>文件未載明</x:v>
      </x:c>
      <x:c r="O852" s="71" t="str">
        <x:v>文件未載明</x:v>
      </x:c>
      <x:c r="P852" s="71" t="str">
        <x:v>HTML table 1 row 3</x:v>
      </x:c>
      <x:c r="Q852" s="71" t="str">
        <x:v>聯絡人:洪建豪先生 | 傳真:</x:v>
      </x:c>
      <x:c r="R852" s="71" t="str">
        <x:v>各廠商合約&amp; 報價\MD檔案\20251203TOTO-衛浴報價單回傳.md</x:v>
      </x:c>
    </x:row>
    <x:row r="853">
      <x:c r="A853" s="69" t="str">
        <x:v>ITEM00849</x:v>
      </x:c>
      <x:c r="B853" s="69" t="str">
        <x:v>SRC057</x:v>
      </x:c>
      <x:c r="C853" s="69" t="str">
        <x:v>2025-2026</x:v>
      </x:c>
      <x:c r="D853" s="69" t="str">
        <x:v>header</x:v>
      </x:c>
      <x:c r="E853" s="69" t="str">
        <x:v>項次</x:v>
      </x:c>
      <x:c r="F853" s="71" t="str">
        <x:v>品名</x:v>
      </x:c>
      <x:c r="G853" s="71" t="str">
        <x:v>規格</x:v>
      </x:c>
      <x:c r="H853" s="71" t="str">
        <x:v>文件未載明</x:v>
      </x:c>
      <x:c r="I853" s="72"/>
      <x:c r="J853" s="69" t="str">
        <x:v>數量</x:v>
      </x:c>
      <x:c r="K853" s="70"/>
      <x:c r="L853" s="69" t="str">
        <x:v>單價</x:v>
      </x:c>
      <x:c r="M853" s="70"/>
      <x:c r="N853" s="69" t="str">
        <x:v>金額</x:v>
      </x:c>
      <x:c r="O853" s="71" t="str">
        <x:v>備註</x:v>
      </x:c>
      <x:c r="P853" s="71" t="str">
        <x:v>HTML table 1 row 4</x:v>
      </x:c>
      <x:c r="Q853" s="71" t="str">
        <x:v>項次 | 品名 | 規格 | 數量 | 單價 | 金額 | 備註</x:v>
      </x:c>
      <x:c r="R853" s="71" t="str">
        <x:v>各廠商合約&amp; 報價\MD檔案\20251203TOTO-衛浴報價單回傳.md</x:v>
      </x:c>
    </x:row>
    <x:row r="854">
      <x:c r="A854" s="69" t="str">
        <x:v>ITEM00850</x:v>
      </x:c>
      <x:c r="B854" s="69" t="str">
        <x:v>SRC057</x:v>
      </x:c>
      <x:c r="C854" s="69" t="str">
        <x:v>2025-2026</x:v>
      </x:c>
      <x:c r="D854" s="69" t="str">
        <x:v>detail</x:v>
      </x:c>
      <x:c r="E854" s="69" t="str">
        <x:v>1</x:v>
      </x:c>
      <x:c r="F854" s="71" t="str">
        <x:v>單體馬桶</x:v>
      </x:c>
      <x:c r="G854" s="71" t="str">
        <x:v>CW288SGUR</x:v>
      </x:c>
      <x:c r="H854" s="71" t="str">
        <x:v>文件未載明</x:v>
      </x:c>
      <x:c r="I854" s="72" t="n">
        <x:v>11</x:v>
      </x:c>
      <x:c r="J854" s="69" t="str">
        <x:v>11</x:v>
      </x:c>
      <x:c r="K854" s="70" t="n">
        <x:v>13620</x:v>
      </x:c>
      <x:c r="L854" s="69" t="str">
        <x:v>13,620</x:v>
      </x:c>
      <x:c r="M854" s="70" t="n">
        <x:v>149820</x:v>
      </x:c>
      <x:c r="N854" s="69" t="str">
        <x:v>149,820</x:v>
      </x:c>
      <x:c r="O854" s="71" t="str">
        <x:v>文件未載明</x:v>
      </x:c>
      <x:c r="P854" s="71" t="str">
        <x:v>HTML table 1 row 5</x:v>
      </x:c>
      <x:c r="Q854" s="71" t="str">
        <x:v>1 | 單體馬桶 | CW288SGUR | 11 | 13,620 | 149,820 |</x:v>
      </x:c>
      <x:c r="R854" s="71" t="str">
        <x:v>各廠商合約&amp; 報價\MD檔案\20251203TOTO-衛浴報價單回傳.md</x:v>
      </x:c>
    </x:row>
    <x:row r="855">
      <x:c r="A855" s="69" t="str">
        <x:v>ITEM00851</x:v>
      </x:c>
      <x:c r="B855" s="69" t="str">
        <x:v>SRC057</x:v>
      </x:c>
      <x:c r="C855" s="69" t="str">
        <x:v>2025-2026</x:v>
      </x:c>
      <x:c r="D855" s="69" t="str">
        <x:v>detail</x:v>
      </x:c>
      <x:c r="E855" s="69" t="str">
        <x:v>2</x:v>
      </x:c>
      <x:c r="F855" s="71" t="str">
        <x:v>單體馬桶</x:v>
      </x:c>
      <x:c r="G855" s="71" t="str">
        <x:v>CW889CDRTW</x:v>
      </x:c>
      <x:c r="H855" s="71" t="str">
        <x:v>文件未載明</x:v>
      </x:c>
      <x:c r="I855" s="72" t="n">
        <x:v>11</x:v>
      </x:c>
      <x:c r="J855" s="69" t="str">
        <x:v>11</x:v>
      </x:c>
      <x:c r="K855" s="70" t="n">
        <x:v>12300</x:v>
      </x:c>
      <x:c r="L855" s="69" t="str">
        <x:v>12,300</x:v>
      </x:c>
      <x:c r="M855" s="70" t="n">
        <x:v>135300</x:v>
      </x:c>
      <x:c r="N855" s="69" t="str">
        <x:v>135,300</x:v>
      </x:c>
      <x:c r="O855" s="71" t="str">
        <x:v>文件未載明</x:v>
      </x:c>
      <x:c r="P855" s="71" t="str">
        <x:v>HTML table 1 row 6</x:v>
      </x:c>
      <x:c r="Q855" s="71" t="str">
        <x:v>2 | 單體馬桶 | CW889CDRTW | 11 | 12,300 | 135,300 |</x:v>
      </x:c>
      <x:c r="R855" s="71" t="str">
        <x:v>各廠商合約&amp; 報價\MD檔案\20251203TOTO-衛浴報價單回傳.md</x:v>
      </x:c>
    </x:row>
    <x:row r="856">
      <x:c r="A856" s="69" t="str">
        <x:v>ITEM00852</x:v>
      </x:c>
      <x:c r="B856" s="69" t="str">
        <x:v>SRC057</x:v>
      </x:c>
      <x:c r="C856" s="69" t="str">
        <x:v>2025-2026</x:v>
      </x:c>
      <x:c r="D856" s="69" t="str">
        <x:v>detail</x:v>
      </x:c>
      <x:c r="E856" s="69" t="str">
        <x:v>3</x:v>
      </x:c>
      <x:c r="F856" s="71" t="str">
        <x:v>溫水洗淨便座</x:v>
      </x:c>
      <x:c r="G856" s="71" t="str">
        <x:v>TCF4911ETR</x:v>
      </x:c>
      <x:c r="H856" s="71" t="str">
        <x:v>文件未載明</x:v>
      </x:c>
      <x:c r="I856" s="72" t="n">
        <x:v>11</x:v>
      </x:c>
      <x:c r="J856" s="69" t="str">
        <x:v>11</x:v>
      </x:c>
      <x:c r="K856" s="70" t="n">
        <x:v>31410</x:v>
      </x:c>
      <x:c r="L856" s="69" t="str">
        <x:v>31,410</x:v>
      </x:c>
      <x:c r="M856" s="70" t="n">
        <x:v>345510</x:v>
      </x:c>
      <x:c r="N856" s="69" t="str">
        <x:v>345,510</x:v>
      </x:c>
      <x:c r="O856" s="71" t="str">
        <x:v>特惠價</x:v>
      </x:c>
      <x:c r="P856" s="71" t="str">
        <x:v>HTML table 1 row 7</x:v>
      </x:c>
      <x:c r="Q856" s="71" t="str">
        <x:v>3 | 溫水洗淨便座 | TCF4911ETR | 11 | 31,410 | 345,510 | 特惠價</x:v>
      </x:c>
      <x:c r="R856" s="71" t="str">
        <x:v>各廠商合約&amp; 報價\MD檔案\20251203TOTO-衛浴報價單回傳.md</x:v>
      </x:c>
    </x:row>
    <x:row r="857">
      <x:c r="A857" s="69" t="str">
        <x:v>ITEM00853</x:v>
      </x:c>
      <x:c r="B857" s="69" t="str">
        <x:v>SRC057</x:v>
      </x:c>
      <x:c r="C857" s="69" t="str">
        <x:v>2025-2026</x:v>
      </x:c>
      <x:c r="D857" s="69" t="str">
        <x:v>detail</x:v>
      </x:c>
      <x:c r="E857" s="69" t="str">
        <x:v>4</x:v>
      </x:c>
      <x:c r="F857" s="71" t="str">
        <x:v>溫水洗淨便座</x:v>
      </x:c>
      <x:c r="G857" s="71" t="str">
        <x:v>TCF23360ATW</x:v>
      </x:c>
      <x:c r="H857" s="71" t="str">
        <x:v>文件未載明</x:v>
      </x:c>
      <x:c r="I857" s="72" t="n">
        <x:v>11</x:v>
      </x:c>
      <x:c r="J857" s="69" t="str">
        <x:v>11</x:v>
      </x:c>
      <x:c r="K857" s="70" t="n">
        <x:v>10260</x:v>
      </x:c>
      <x:c r="L857" s="69" t="str">
        <x:v>10,260</x:v>
      </x:c>
      <x:c r="M857" s="70" t="n">
        <x:v>112860</x:v>
      </x:c>
      <x:c r="N857" s="69" t="str">
        <x:v>112,860</x:v>
      </x:c>
      <x:c r="O857" s="71" t="str">
        <x:v>特惠價</x:v>
      </x:c>
      <x:c r="P857" s="71" t="str">
        <x:v>HTML table 1 row 8</x:v>
      </x:c>
      <x:c r="Q857" s="71" t="str">
        <x:v>4 | 溫水洗淨便座 | TCF23360ATW | 11 | 10,260 | 112,860 | 特惠價</x:v>
      </x:c>
      <x:c r="R857" s="71" t="str">
        <x:v>各廠商合約&amp; 報價\MD檔案\20251203TOTO-衛浴報價單回傳.md</x:v>
      </x:c>
    </x:row>
    <x:row r="858">
      <x:c r="A858" s="69" t="str">
        <x:v>ITEM00854</x:v>
      </x:c>
      <x:c r="B858" s="69" t="str">
        <x:v>SRC057</x:v>
      </x:c>
      <x:c r="C858" s="69" t="str">
        <x:v>2025-2026</x:v>
      </x:c>
      <x:c r="D858" s="69" t="str">
        <x:v>detail</x:v>
      </x:c>
      <x:c r="E858" s="69" t="str">
        <x:v>5</x:v>
      </x:c>
      <x:c r="F858" s="71" t="str">
        <x:v>檯面盆</x:v>
      </x:c>
      <x:c r="G858" s="71" t="str">
        <x:v>LW1615CTW</x:v>
      </x:c>
      <x:c r="H858" s="71" t="str">
        <x:v>文件未載明</x:v>
      </x:c>
      <x:c r="I858" s="72" t="n">
        <x:v>22</x:v>
      </x:c>
      <x:c r="J858" s="69" t="str">
        <x:v>22</x:v>
      </x:c>
      <x:c r="K858" s="70" t="n">
        <x:v>8220</x:v>
      </x:c>
      <x:c r="L858" s="69" t="str">
        <x:v>8,220</x:v>
      </x:c>
      <x:c r="M858" s="70" t="n">
        <x:v>180840</x:v>
      </x:c>
      <x:c r="N858" s="69" t="str">
        <x:v>180,840</x:v>
      </x:c>
      <x:c r="O858" s="71" t="str">
        <x:v>文件未載明</x:v>
      </x:c>
      <x:c r="P858" s="71" t="str">
        <x:v>HTML table 1 row 9</x:v>
      </x:c>
      <x:c r="Q858" s="71" t="str">
        <x:v>5 | 檯面盆 | LW1615CTW | 22 | 8,220 | 180,840 |</x:v>
      </x:c>
      <x:c r="R858" s="71" t="str">
        <x:v>各廠商合約&amp; 報價\MD檔案\20251203TOTO-衛浴報價單回傳.md</x:v>
      </x:c>
    </x:row>
    <x:row r="859">
      <x:c r="A859" s="69" t="str">
        <x:v>ITEM00855</x:v>
      </x:c>
      <x:c r="B859" s="69" t="str">
        <x:v>SRC057</x:v>
      </x:c>
      <x:c r="C859" s="69" t="str">
        <x:v>2025-2026</x:v>
      </x:c>
      <x:c r="D859" s="69" t="str">
        <x:v>detail</x:v>
      </x:c>
      <x:c r="E859" s="69" t="str">
        <x:v>6</x:v>
      </x:c>
      <x:c r="F859" s="71" t="str">
        <x:v>白色浴櫃</x:v>
      </x:c>
      <x:c r="G859" s="71" t="str">
        <x:v>C-1615</x:v>
      </x:c>
      <x:c r="H859" s="71" t="str">
        <x:v>文件未載明</x:v>
      </x:c>
      <x:c r="I859" s="72" t="n">
        <x:v>22</x:v>
      </x:c>
      <x:c r="J859" s="69" t="str">
        <x:v>22</x:v>
      </x:c>
      <x:c r="K859" s="70" t="n">
        <x:v>6500</x:v>
      </x:c>
      <x:c r="L859" s="69" t="str">
        <x:v>6,500</x:v>
      </x:c>
      <x:c r="M859" s="70" t="n">
        <x:v>143000</x:v>
      </x:c>
      <x:c r="N859" s="69" t="str">
        <x:v>143,000</x:v>
      </x:c>
      <x:c r="O859" s="71" t="str">
        <x:v>需開衛生紙孔</x:v>
      </x:c>
      <x:c r="P859" s="71" t="str">
        <x:v>HTML table 1 row 10</x:v>
      </x:c>
      <x:c r="Q859" s="71" t="str">
        <x:v>6 | 白色浴櫃 | C-1615 | 22 | 6,500 | 143,000 | 需開衛生紙孔</x:v>
      </x:c>
      <x:c r="R859" s="71" t="str">
        <x:v>各廠商合約&amp; 報價\MD檔案\20251203TOTO-衛浴報價單回傳.md</x:v>
      </x:c>
    </x:row>
    <x:row r="860">
      <x:c r="A860" s="69" t="str">
        <x:v>ITEM00856</x:v>
      </x:c>
      <x:c r="B860" s="69" t="str">
        <x:v>SRC057</x:v>
      </x:c>
      <x:c r="C860" s="69" t="str">
        <x:v>2025-2026</x:v>
      </x:c>
      <x:c r="D860" s="69" t="str">
        <x:v>detail</x:v>
      </x:c>
      <x:c r="E860" s="69" t="str">
        <x:v>7</x:v>
      </x:c>
      <x:c r="F860" s="71" t="str">
        <x:v>面盆龍頭</x:v>
      </x:c>
      <x:c r="G860" s="71" t="str">
        <x:v>TLG02301PC</x:v>
      </x:c>
      <x:c r="H860" s="71" t="str">
        <x:v>文件未載明</x:v>
      </x:c>
      <x:c r="I860" s="72" t="n">
        <x:v>22</x:v>
      </x:c>
      <x:c r="J860" s="69" t="str">
        <x:v>22</x:v>
      </x:c>
      <x:c r="K860" s="70" t="n">
        <x:v>6780</x:v>
      </x:c>
      <x:c r="L860" s="69" t="str">
        <x:v>6,780</x:v>
      </x:c>
      <x:c r="M860" s="70" t="n">
        <x:v>149160</x:v>
      </x:c>
      <x:c r="N860" s="69" t="str">
        <x:v>149,160</x:v>
      </x:c>
      <x:c r="O860" s="71" t="str">
        <x:v>文件未載明</x:v>
      </x:c>
      <x:c r="P860" s="71" t="str">
        <x:v>HTML table 1 row 11</x:v>
      </x:c>
      <x:c r="Q860" s="71" t="str">
        <x:v>7 | 面盆龍頭 | TLG02301PC | 22 | 6,780 | 149,160 |</x:v>
      </x:c>
      <x:c r="R860" s="71" t="str">
        <x:v>各廠商合約&amp; 報價\MD檔案\20251203TOTO-衛浴報價單回傳.md</x:v>
      </x:c>
    </x:row>
    <x:row r="861">
      <x:c r="A861" s="69" t="str">
        <x:v>ITEM00857</x:v>
      </x:c>
      <x:c r="B861" s="69" t="str">
        <x:v>SRC057</x:v>
      </x:c>
      <x:c r="C861" s="69" t="str">
        <x:v>2025-2026</x:v>
      </x:c>
      <x:c r="D861" s="69" t="str">
        <x:v>detail</x:v>
      </x:c>
      <x:c r="E861" s="69" t="str">
        <x:v>8</x:v>
      </x:c>
      <x:c r="F861" s="71" t="str">
        <x:v>淋浴控溫龍頭</x:v>
      </x:c>
      <x:c r="G861" s="71" t="str">
        <x:v>TBV03426P-S2</x:v>
      </x:c>
      <x:c r="H861" s="71" t="str">
        <x:v>文件未載明</x:v>
      </x:c>
      <x:c r="I861" s="72" t="n">
        <x:v>22</x:v>
      </x:c>
      <x:c r="J861" s="69" t="str">
        <x:v>22</x:v>
      </x:c>
      <x:c r="K861" s="70" t="n">
        <x:v>8024</x:v>
      </x:c>
      <x:c r="L861" s="69" t="str">
        <x:v>8,024</x:v>
      </x:c>
      <x:c r="M861" s="70" t="n">
        <x:v>176528</x:v>
      </x:c>
      <x:c r="N861" s="69" t="str">
        <x:v>176,528</x:v>
      </x:c>
      <x:c r="O861" s="71" t="str">
        <x:v>文件未載明</x:v>
      </x:c>
      <x:c r="P861" s="71" t="str">
        <x:v>HTML table 1 row 12</x:v>
      </x:c>
      <x:c r="Q861" s="71" t="str">
        <x:v>8 | 淋浴控溫龍頭 | TBV03426P-S2 | 22 | 8,024 | 176,528 |</x:v>
      </x:c>
      <x:c r="R861" s="71" t="str">
        <x:v>各廠商合約&amp; 報價\MD檔案\20251203TOTO-衛浴報價單回傳.md</x:v>
      </x:c>
    </x:row>
    <x:row r="862">
      <x:c r="A862" s="69" t="str">
        <x:v>ITEM00858</x:v>
      </x:c>
      <x:c r="B862" s="69" t="str">
        <x:v>SRC057</x:v>
      </x:c>
      <x:c r="C862" s="69" t="str">
        <x:v>2025-2026</x:v>
      </x:c>
      <x:c r="D862" s="69" t="str">
        <x:v>detail</x:v>
      </x:c>
      <x:c r="E862" s="69" t="str">
        <x:v>9</x:v>
      </x:c>
      <x:c r="F862" s="71" t="str">
        <x:v>蓮蓬頭一段</x:v>
      </x:c>
      <x:c r="G862" s="71" t="str">
        <x:v>9A519RY-1</x:v>
      </x:c>
      <x:c r="H862" s="71" t="str">
        <x:v>文件未載明</x:v>
      </x:c>
      <x:c r="I862" s="72" t="n">
        <x:v>12</x:v>
      </x:c>
      <x:c r="J862" s="69" t="str">
        <x:v>12</x:v>
      </x:c>
      <x:c r="K862" s="70" t="n">
        <x:v>1593</x:v>
      </x:c>
      <x:c r="L862" s="69" t="str">
        <x:v>1,593</x:v>
      </x:c>
      <x:c r="M862" s="70" t="n">
        <x:v>19116</x:v>
      </x:c>
      <x:c r="N862" s="69" t="str">
        <x:v>19,116</x:v>
      </x:c>
      <x:c r="O862" s="71" t="str">
        <x:v>文件未載明</x:v>
      </x:c>
      <x:c r="P862" s="71" t="str">
        <x:v>HTML table 1 row 13</x:v>
      </x:c>
      <x:c r="Q862" s="71" t="str">
        <x:v>9 | 蓮蓬頭一段 | 9A519RY-1 | 12 | 1,593 | 19,116 |</x:v>
      </x:c>
      <x:c r="R862" s="71" t="str">
        <x:v>各廠商合約&amp; 報價\MD檔案\20251203TOTO-衛浴報價單回傳.md</x:v>
      </x:c>
    </x:row>
    <x:row r="863">
      <x:c r="A863" s="69" t="str">
        <x:v>ITEM00859</x:v>
      </x:c>
      <x:c r="B863" s="69" t="str">
        <x:v>SRC057</x:v>
      </x:c>
      <x:c r="C863" s="69" t="str">
        <x:v>2025-2026</x:v>
      </x:c>
      <x:c r="D863" s="69" t="str">
        <x:v>detail</x:v>
      </x:c>
      <x:c r="E863" s="69" t="str">
        <x:v>10</x:v>
      </x:c>
      <x:c r="F863" s="71" t="str">
        <x:v>蓮蓬頭三段</x:v>
      </x:c>
      <x:c r="G863" s="71" t="str">
        <x:v>9A520SY-1</x:v>
      </x:c>
      <x:c r="H863" s="71" t="str">
        <x:v>文件未載明</x:v>
      </x:c>
      <x:c r="I863" s="72" t="n">
        <x:v>11</x:v>
      </x:c>
      <x:c r="J863" s="69" t="str">
        <x:v>11</x:v>
      </x:c>
      <x:c r="K863" s="70" t="n">
        <x:v>2596</x:v>
      </x:c>
      <x:c r="L863" s="69" t="str">
        <x:v>2,596</x:v>
      </x:c>
      <x:c r="M863" s="70" t="n">
        <x:v>28556</x:v>
      </x:c>
      <x:c r="N863" s="69" t="str">
        <x:v>28,556</x:v>
      </x:c>
      <x:c r="O863" s="71" t="str">
        <x:v>文件未載明</x:v>
      </x:c>
      <x:c r="P863" s="71" t="str">
        <x:v>HTML table 1 row 14</x:v>
      </x:c>
      <x:c r="Q863" s="71" t="str">
        <x:v>10 | 蓮蓬頭三段 | 9A520SY-1 | 11 | 2,596 | 28,556 |</x:v>
      </x:c>
      <x:c r="R863" s="71" t="str">
        <x:v>各廠商合約&amp; 報價\MD檔案\20251203TOTO-衛浴報價單回傳.md</x:v>
      </x:c>
    </x:row>
    <x:row r="864">
      <x:c r="A864" s="69" t="str">
        <x:v>ITEM00860</x:v>
      </x:c>
      <x:c r="B864" s="69" t="str">
        <x:v>SRC057</x:v>
      </x:c>
      <x:c r="C864" s="69" t="str">
        <x:v>2025-2026</x:v>
      </x:c>
      <x:c r="D864" s="69" t="str">
        <x:v>detail</x:v>
      </x:c>
      <x:c r="E864" s="69" t="str">
        <x:v>11</x:v>
      </x:c>
      <x:c r="F864" s="71" t="str">
        <x:v>升降桿</x:v>
      </x:c>
      <x:c r="G864" s="71" t="str">
        <x:v>TBW01016P</x:v>
      </x:c>
      <x:c r="H864" s="71" t="str">
        <x:v>文件未載明</x:v>
      </x:c>
      <x:c r="I864" s="72" t="n">
        <x:v>22</x:v>
      </x:c>
      <x:c r="J864" s="69" t="str">
        <x:v>22</x:v>
      </x:c>
      <x:c r="K864" s="70" t="n">
        <x:v>1534</x:v>
      </x:c>
      <x:c r="L864" s="69" t="str">
        <x:v>1,534</x:v>
      </x:c>
      <x:c r="M864" s="70" t="n">
        <x:v>33748</x:v>
      </x:c>
      <x:c r="N864" s="69" t="str">
        <x:v>33,748</x:v>
      </x:c>
      <x:c r="O864" s="71" t="str">
        <x:v>文件未載明</x:v>
      </x:c>
      <x:c r="P864" s="71" t="str">
        <x:v>HTML table 1 row 15</x:v>
      </x:c>
      <x:c r="Q864" s="71" t="str">
        <x:v>11 | 升降桿 | TBW01016P | 22 | 1,534 | 33,748 |</x:v>
      </x:c>
      <x:c r="R864" s="71" t="str">
        <x:v>各廠商合約&amp; 報價\MD檔案\20251203TOTO-衛浴報價單回傳.md</x:v>
      </x:c>
    </x:row>
    <x:row r="865">
      <x:c r="A865" s="69" t="str">
        <x:v>ITEM00861</x:v>
      </x:c>
      <x:c r="B865" s="69" t="str">
        <x:v>SRC057</x:v>
      </x:c>
      <x:c r="C865" s="69" t="str">
        <x:v>2025-2026</x:v>
      </x:c>
      <x:c r="D865" s="69" t="str">
        <x:v>detail</x:v>
      </x:c>
      <x:c r="E865" s="69" t="str">
        <x:v>12</x:v>
      </x:c>
      <x:c r="F865" s="71" t="str">
        <x:v>暖風乾燥機(無線220V)</x:v>
      </x:c>
      <x:c r="G865" s="71" t="str">
        <x:v>TYB3151ADR</x:v>
      </x:c>
      <x:c r="H865" s="71" t="str">
        <x:v>文件未載明</x:v>
      </x:c>
      <x:c r="I865" s="72" t="n">
        <x:v>22</x:v>
      </x:c>
      <x:c r="J865" s="69" t="str">
        <x:v>22</x:v>
      </x:c>
      <x:c r="K865" s="70" t="n">
        <x:v>13260</x:v>
      </x:c>
      <x:c r="L865" s="69" t="str">
        <x:v>13,260</x:v>
      </x:c>
      <x:c r="M865" s="70" t="n">
        <x:v>291720</x:v>
      </x:c>
      <x:c r="N865" s="69" t="str">
        <x:v>291,720</x:v>
      </x:c>
      <x:c r="O865" s="71" t="str">
        <x:v>文件未載明</x:v>
      </x:c>
      <x:c r="P865" s="71" t="str">
        <x:v>HTML table 1 row 16</x:v>
      </x:c>
      <x:c r="Q865" s="71" t="str">
        <x:v>12 | 暖風乾燥機(無線220V) | TYB3151ADR | 22 | 13,260 | 291,720 |</x:v>
      </x:c>
      <x:c r="R865" s="71" t="str">
        <x:v>各廠商合約&amp; 報價\MD檔案\20251203TOTO-衛浴報價單回傳.md</x:v>
      </x:c>
    </x:row>
    <x:row r="866">
      <x:c r="A866" s="69" t="str">
        <x:v>ITEM00862</x:v>
      </x:c>
      <x:c r="B866" s="69" t="str">
        <x:v>SRC057</x:v>
      </x:c>
      <x:c r="C866" s="69" t="str">
        <x:v>2025-2026</x:v>
      </x:c>
      <x:c r="D866" s="69" t="str">
        <x:v>detail</x:v>
      </x:c>
      <x:c r="E866" s="69" t="str">
        <x:v>13</x:v>
      </x:c>
      <x:c r="F866" s="71" t="str">
        <x:v>暖風乾燥機(有線220V)</x:v>
      </x:c>
      <x:c r="G866" s="71" t="str">
        <x:v>TYB3151AAR</x:v>
      </x:c>
      <x:c r="H866" s="71" t="str">
        <x:v>文件未載明</x:v>
      </x:c>
      <x:c r="I866" s="72" t="n">
        <x:v>1</x:v>
      </x:c>
      <x:c r="J866" s="69" t="str">
        <x:v>1</x:v>
      </x:c>
      <x:c r="K866" s="70" t="n">
        <x:v>9700</x:v>
      </x:c>
      <x:c r="L866" s="69" t="str">
        <x:v>9,700</x:v>
      </x:c>
      <x:c r="M866" s="70" t="n">
        <x:v>9700</x:v>
      </x:c>
      <x:c r="N866" s="69" t="str">
        <x:v>9,700</x:v>
      </x:c>
      <x:c r="O866" s="71" t="str">
        <x:v>已出貨</x:v>
      </x:c>
      <x:c r="P866" s="71" t="str">
        <x:v>HTML table 1 row 17</x:v>
      </x:c>
      <x:c r="Q866" s="71" t="str">
        <x:v>13 | 暖風乾燥機(有線220V) | TYB3151AAR | 1 | 9,700 | 9,700 | 已出貨</x:v>
      </x:c>
      <x:c r="R866" s="71" t="str">
        <x:v>各廠商合約&amp; 報價\MD檔案\20251203TOTO-衛浴報價單回傳.md</x:v>
      </x:c>
    </x:row>
    <x:row r="867">
      <x:c r="A867" s="69" t="str">
        <x:v>ITEM00863</x:v>
      </x:c>
      <x:c r="B867" s="69" t="str">
        <x:v>SRC057</x:v>
      </x:c>
      <x:c r="C867" s="69" t="str">
        <x:v>2025-2026</x:v>
      </x:c>
      <x:c r="D867" s="69" t="str">
        <x:v>detail</x:v>
      </x:c>
      <x:c r="E867" s="69" t="str">
        <x:v>14</x:v>
      </x:c>
      <x:c r="F867" s="71" t="str">
        <x:v>置衣平台</x:v>
      </x:c>
      <x:c r="G867" s="71" t="str">
        <x:v>AK15</x:v>
      </x:c>
      <x:c r="H867" s="71" t="str">
        <x:v>文件未載明</x:v>
      </x:c>
      <x:c r="I867" s="72" t="n">
        <x:v>22</x:v>
      </x:c>
      <x:c r="J867" s="69" t="str">
        <x:v>22</x:v>
      </x:c>
      <x:c r="K867" s="70" t="n">
        <x:v>2040</x:v>
      </x:c>
      <x:c r="L867" s="69" t="str">
        <x:v>2,040</x:v>
      </x:c>
      <x:c r="M867" s="70" t="n">
        <x:v>44880</x:v>
      </x:c>
      <x:c r="N867" s="69" t="str">
        <x:v>44,880</x:v>
      </x:c>
      <x:c r="O867" s="71" t="str">
        <x:v>訂金80萬元</x:v>
      </x:c>
      <x:c r="P867" s="71" t="str">
        <x:v>HTML table 1 row 18</x:v>
      </x:c>
      <x:c r="Q867" s="71" t="str">
        <x:v>14 | 置衣平台 | AK15 | 22 | 2,040 | 44,880 | 訂金80萬元</x:v>
      </x:c>
      <x:c r="R867" s="71" t="str">
        <x:v>各廠商合約&amp; 報價\MD檔案\20251203TOTO-衛浴報價單回傳.md</x:v>
      </x:c>
    </x:row>
    <x:row r="868">
      <x:c r="A868" s="69" t="str">
        <x:v>ITEM00864</x:v>
      </x:c>
      <x:c r="B868" s="69" t="str">
        <x:v>SRC057</x:v>
      </x:c>
      <x:c r="C868" s="69" t="str">
        <x:v>2025-2026</x:v>
      </x:c>
      <x:c r="D868" s="69" t="str">
        <x:v>detail</x:v>
      </x:c>
      <x:c r="E868" s="69" t="str">
        <x:v>15</x:v>
      </x:c>
      <x:c r="F868" s="71" t="str">
        <x:v>安裝費</x:v>
      </x:c>
      <x:c r="G868" s="71" t="str">
        <x:v>文件未載明</x:v>
      </x:c>
      <x:c r="H868" s="71" t="str">
        <x:v>文件未載明</x:v>
      </x:c>
      <x:c r="I868" s="72" t="n">
        <x:v>1</x:v>
      </x:c>
      <x:c r="J868" s="69" t="str">
        <x:v>1</x:v>
      </x:c>
      <x:c r="K868" s="70" t="n">
        <x:v>141260</x:v>
      </x:c>
      <x:c r="L868" s="69" t="str">
        <x:v>141,260</x:v>
      </x:c>
      <x:c r="M868" s="70" t="n">
        <x:v>141260</x:v>
      </x:c>
      <x:c r="N868" s="69" t="str">
        <x:v>141,260</x:v>
      </x:c>
      <x:c r="O868" s="71" t="str">
        <x:v>文件未載明</x:v>
      </x:c>
      <x:c r="P868" s="71" t="str">
        <x:v>HTML table 1 row 19</x:v>
      </x:c>
      <x:c r="Q868" s="71" t="str">
        <x:v>15 | 安裝費 | | 1 | 141,260 | 141,260 |</x:v>
      </x:c>
      <x:c r="R868" s="71" t="str">
        <x:v>各廠商合約&amp; 報價\MD檔案\20251203TOTO-衛浴報價單回傳.md</x:v>
      </x:c>
    </x:row>
    <x:row r="869">
      <x:c r="A869" s="69" t="str">
        <x:v>ITEM00865</x:v>
      </x:c>
      <x:c r="B869" s="69" t="str">
        <x:v>SRC057</x:v>
      </x:c>
      <x:c r="C869" s="69" t="str">
        <x:v>2025-2026</x:v>
      </x:c>
      <x:c r="D869" s="69" t="str">
        <x:v>detail</x:v>
      </x:c>
      <x:c r="E869" s="69" t="str">
        <x:v>16</x:v>
      </x:c>
      <x:c r="F869" s="71" t="str">
        <x:v>文件未載明</x:v>
      </x:c>
      <x:c r="G869" s="71" t="str">
        <x:v>文件未載明</x:v>
      </x:c>
      <x:c r="H869" s="71" t="str">
        <x:v>文件未載明</x:v>
      </x:c>
      <x:c r="I869" s="72"/>
      <x:c r="J869" s="69" t="str">
        <x:v>文件未載明</x:v>
      </x:c>
      <x:c r="K869" s="70"/>
      <x:c r="L869" s="69" t="str">
        <x:v>文件未載明</x:v>
      </x:c>
      <x:c r="M869" s="70"/>
      <x:c r="N869" s="69" t="str">
        <x:v>文件未載明</x:v>
      </x:c>
      <x:c r="O869" s="71" t="str">
        <x:v>文件未載明</x:v>
      </x:c>
      <x:c r="P869" s="71" t="str">
        <x:v>HTML table 1 row 20</x:v>
      </x:c>
      <x:c r="Q869" s="71" t="str">
        <x:v>16 | | | | | |</x:v>
      </x:c>
      <x:c r="R869" s="71" t="str">
        <x:v>各廠商合約&amp; 報價\MD檔案\20251203TOTO-衛浴報價單回傳.md</x:v>
      </x:c>
    </x:row>
    <x:row r="870">
      <x:c r="A870" s="69" t="str">
        <x:v>ITEM00866</x:v>
      </x:c>
      <x:c r="B870" s="69" t="str">
        <x:v>SRC057</x:v>
      </x:c>
      <x:c r="C870" s="69" t="str">
        <x:v>2025-2026</x:v>
      </x:c>
      <x:c r="D870" s="69" t="str">
        <x:v>summary</x:v>
      </x:c>
      <x:c r="E870" s="69" t="str">
        <x:v>17</x:v>
      </x:c>
      <x:c r="F870" s="71" t="str">
        <x:v>小計 1,961,998</x:v>
      </x:c>
      <x:c r="G870" s="71" t="str">
        <x:v>文件未載明</x:v>
      </x:c>
      <x:c r="H870" s="71" t="str">
        <x:v>文件未載明</x:v>
      </x:c>
      <x:c r="I870" s="72" t="n">
        <x:v>1961998</x:v>
      </x:c>
      <x:c r="J870" s="69" t="str">
        <x:v>小計 1,961,998</x:v>
      </x:c>
      <x:c r="K870" s="70"/>
      <x:c r="L870" s="69" t="str">
        <x:v>元整</x:v>
      </x:c>
      <x:c r="M870" s="70"/>
      <x:c r="N870" s="69" t="str">
        <x:v>文件未載明</x:v>
      </x:c>
      <x:c r="O870" s="71" t="str">
        <x:v>文件未載明</x:v>
      </x:c>
      <x:c r="P870" s="71" t="str">
        <x:v>HTML table 1 row 21</x:v>
      </x:c>
      <x:c r="Q870" s="71" t="str">
        <x:v>17 | | | 小計 1,961,998 | 元整</x:v>
      </x:c>
      <x:c r="R870" s="71" t="str">
        <x:v>各廠商合約&amp; 報價\MD檔案\20251203TOTO-衛浴報價單回傳.md</x:v>
      </x:c>
    </x:row>
    <x:row r="871">
      <x:c r="A871" s="69" t="str">
        <x:v>ITEM00867</x:v>
      </x:c>
      <x:c r="B871" s="69" t="str">
        <x:v>SRC057</x:v>
      </x:c>
      <x:c r="C871" s="69" t="str">
        <x:v>2025-2026</x:v>
      </x:c>
      <x:c r="D871" s="69" t="str">
        <x:v>detail</x:v>
      </x:c>
      <x:c r="E871" s="69" t="str">
        <x:v>18</x:v>
      </x:c>
      <x:c r="F871" s="71" t="str">
        <x:v>稅額 98,100</x:v>
      </x:c>
      <x:c r="G871" s="71" t="str">
        <x:v>文件未載明</x:v>
      </x:c>
      <x:c r="H871" s="71" t="str">
        <x:v>文件未載明</x:v>
      </x:c>
      <x:c r="I871" s="72" t="n">
        <x:v>98100</x:v>
      </x:c>
      <x:c r="J871" s="69" t="str">
        <x:v>稅額 98,100</x:v>
      </x:c>
      <x:c r="K871" s="70"/>
      <x:c r="L871" s="69" t="str">
        <x:v>元整</x:v>
      </x:c>
      <x:c r="M871" s="70"/>
      <x:c r="N871" s="69" t="str">
        <x:v>文件未載明</x:v>
      </x:c>
      <x:c r="O871" s="71" t="str">
        <x:v>文件未載明</x:v>
      </x:c>
      <x:c r="P871" s="71" t="str">
        <x:v>HTML table 1 row 22</x:v>
      </x:c>
      <x:c r="Q871" s="71" t="str">
        <x:v>18 | | | 稅額 98,100 | 元整</x:v>
      </x:c>
      <x:c r="R871" s="71" t="str">
        <x:v>各廠商合約&amp; 報價\MD檔案\20251203TOTO-衛浴報價單回傳.md</x:v>
      </x:c>
    </x:row>
    <x:row r="872">
      <x:c r="A872" s="69" t="str">
        <x:v>ITEM00868</x:v>
      </x:c>
      <x:c r="B872" s="69" t="str">
        <x:v>SRC057</x:v>
      </x:c>
      <x:c r="C872" s="69" t="str">
        <x:v>2025-2026</x:v>
      </x:c>
      <x:c r="D872" s="69" t="str">
        <x:v>summary</x:v>
      </x:c>
      <x:c r="E872" s="69" t="str">
        <x:v>19</x:v>
      </x:c>
      <x:c r="F872" s="71" t="str">
        <x:v>總計 2,060,098</x:v>
      </x:c>
      <x:c r="G872" s="71" t="str">
        <x:v>文件未載明</x:v>
      </x:c>
      <x:c r="H872" s="71" t="str">
        <x:v>文件未載明</x:v>
      </x:c>
      <x:c r="I872" s="72" t="n">
        <x:v>2060098</x:v>
      </x:c>
      <x:c r="J872" s="69" t="str">
        <x:v>總計 2,060,098</x:v>
      </x:c>
      <x:c r="K872" s="70"/>
      <x:c r="L872" s="69" t="str">
        <x:v>元整</x:v>
      </x:c>
      <x:c r="M872" s="70"/>
      <x:c r="N872" s="69" t="str">
        <x:v>文件未載明</x:v>
      </x:c>
      <x:c r="O872" s="71" t="str">
        <x:v>文件未載明</x:v>
      </x:c>
      <x:c r="P872" s="71" t="str">
        <x:v>HTML table 1 row 23</x:v>
      </x:c>
      <x:c r="Q872" s="71" t="str">
        <x:v>19 | | | 總計 2,060,098 | 元整</x:v>
      </x:c>
      <x:c r="R872" s="71" t="str">
        <x:v>各廠商合約&amp; 報價\MD檔案\20251203TOTO-衛浴報價單回傳.md</x:v>
      </x:c>
    </x:row>
    <x:row r="873">
      <x:c r="A873" s="69" t="str">
        <x:v>ITEM00869</x:v>
      </x:c>
      <x:c r="B873" s="69" t="str">
        <x:v>SRC057</x:v>
      </x:c>
      <x:c r="C873" s="69" t="str">
        <x:v>2025-2026</x:v>
      </x:c>
      <x:c r="D873" s="69" t="str">
        <x:v>summary</x:v>
      </x:c>
      <x:c r="E873" s="69" t="str">
        <x:v>1.本報價單在有效期限內使生效,有效期限至 113年9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6.本報價單僅限本案使用,不得挪為其他案件使用。7.基於誠信保密原則,本報價單均不得揭露予第三人知悉。8.如因天災或不可抗力之事由,供應商之產線匯乏,致本契約產品不能繼續供應時,雙方得同意更換其它產品取代之。</x:v>
      </x:c>
      <x:c r="F873" s="71" t="str">
        <x:v>9.若付款方式為匯款/轉帳,請提供帳號後5碼及匯款人姓名。◆匯款帳戶如下:銀行:台灣土地銀行 東新竹分行 (銀行代碼:005)戶名:晉展股份有限公司 帳號:103-001-005883:1.遙控器內為測試用電池,安裝後三個月內需更換,請使用碳鋅電池.2.瓷器,五金零件請使用軟質抹布,海綿沾中性清潔劑或牙膏清潔保養.3.…（詳原文索引）</x:v>
      </x:c>
      <x:c r="G873" s="71" t="str">
        <x:v>文件未載明</x:v>
      </x:c>
      <x:c r="H873" s="71" t="str">
        <x:v>文件未載明</x:v>
      </x:c>
      <x:c r="I873" s="72"/>
      <x:c r="J873" s="69" t="str">
        <x:v>文件未載明</x:v>
      </x:c>
      <x:c r="K873" s="70"/>
      <x:c r="L873" s="69" t="str">
        <x:v>文件未載明</x:v>
      </x:c>
      <x:c r="M873" s="70"/>
      <x:c r="N873" s="69" t="str">
        <x:v>文件未載明</x:v>
      </x:c>
      <x:c r="O873" s="71" t="str">
        <x:v>文件未載明</x:v>
      </x:c>
      <x:c r="P873" s="71" t="str">
        <x:v>HTML table 1 row 24</x:v>
      </x:c>
      <x:c r="Q873" s="71" t="str">
        <x:v>1.本報價單在有效期限內使生效,有效期限至 113年9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6.本報價單僅限本案使用,不得挪為其他案件使用。7.基於誠信保密原則,本報價單均不得揭露予第三人知悉。8.如因天災或不可抗力之事由,供應商之產線匯乏,致本契約產品不能繼續供應時,雙方得同意更換其它產品取代之。 | 9.若付款方式為匯款/轉帳,請提供帳號後5碼及匯款人姓名。◆匯…（詳原文索引）</x:v>
      </x:c>
      <x:c r="R873" s="71" t="str">
        <x:v>各廠商合約&amp; 報價\MD檔案\20251203TOTO-衛浴報價單回傳.md</x:v>
      </x:c>
    </x:row>
    <x:row r="874">
      <x:c r="A874" s="69" t="str">
        <x:v>ITEM00870</x:v>
      </x:c>
      <x:c r="B874" s="69" t="str">
        <x:v>SRC055</x:v>
      </x:c>
      <x:c r="C874" s="69" t="str">
        <x:v>2025-2026</x:v>
      </x:c>
      <x:c r="D874" s="69" t="str">
        <x:v>header</x:v>
      </x:c>
      <x:c r="E874" s="69" t="str">
        <x:v>產品編號</x:v>
      </x:c>
      <x:c r="F874" s="71" t="str">
        <x:v>產品名稱/規格描述</x:v>
      </x:c>
      <x:c r="G874" s="71" t="str">
        <x:v>文件未載明</x:v>
      </x:c>
      <x:c r="H874" s="71" t="str">
        <x:v>單位</x:v>
      </x:c>
      <x:c r="I874" s="72"/>
      <x:c r="J874" s="69" t="str">
        <x:v>文件未載明</x:v>
      </x:c>
      <x:c r="K874" s="70"/>
      <x:c r="L874" s="69" t="str">
        <x:v>單價</x:v>
      </x:c>
      <x:c r="M874" s="70"/>
      <x:c r="N874" s="69" t="str">
        <x:v>金額</x:v>
      </x:c>
      <x:c r="O874" s="71" t="str">
        <x:v>文件未載明</x:v>
      </x:c>
      <x:c r="P874" s="71" t="str">
        <x:v>HTML table 1 row 1</x:v>
      </x:c>
      <x:c r="Q874" s="71" t="str">
        <x:v>產品編號 | 產品名稱/規格描述 | | 單位 | 單價 | 金額</x:v>
      </x:c>
      <x:c r="R874" s="71" t="str">
        <x:v>各廠商合約&amp; 報價\MD檔案\20251203安翊-滴水條報價單回傳.md</x:v>
      </x:c>
    </x:row>
    <x:row r="875">
      <x:c r="A875" s="69" t="str">
        <x:v>ITEM00871</x:v>
      </x:c>
      <x:c r="B875" s="69" t="str">
        <x:v>SRC055</x:v>
      </x:c>
      <x:c r="C875" s="69" t="str">
        <x:v>2025-2026</x:v>
      </x:c>
      <x:c r="D875" s="69" t="str">
        <x:v>detail</x:v>
      </x:c>
      <x:c r="E875" s="69" t="str">
        <x:v>直線安裝</x:v>
      </x:c>
      <x:c r="F875" s="71" t="str">
        <x:v>S-25-烤漆滴水條本體+配件+安裝+791膠一道(下方不</x:v>
      </x:c>
      <x:c r="G875" s="71" t="str">
        <x:v>文件未載明</x:v>
      </x:c>
      <x:c r="H875" s="71" t="str">
        <x:v>M</x:v>
      </x:c>
      <x:c r="I875" s="72"/>
      <x:c r="J875" s="69" t="str">
        <x:v>文件未載明</x:v>
      </x:c>
      <x:c r="K875" s="70" t="n">
        <x:v>500</x:v>
      </x:c>
      <x:c r="L875" s="69" t="str">
        <x:v>$500</x:v>
      </x:c>
      <x:c r="M875" s="70" t="n">
        <x:v>7500</x:v>
      </x:c>
      <x:c r="N875" s="69" t="str">
        <x:v>$7,500</x:v>
      </x:c>
      <x:c r="O875" s="71" t="str">
        <x:v>文件未載明</x:v>
      </x:c>
      <x:c r="P875" s="71" t="str">
        <x:v>HTML table 1 row 2</x:v>
      </x:c>
      <x:c r="Q875" s="71" t="str">
        <x:v>直線安裝 | S-25-烤漆滴水條本體+配件+安裝+791膠一道(下方不 | 15.00 | M | $500 | $7,500</x:v>
      </x:c>
      <x:c r="R875" s="71" t="str">
        <x:v>各廠商合約&amp; 報價\MD檔案\20251203安翊-滴水條報價單回傳.md</x:v>
      </x:c>
    </x:row>
    <x:row r="876">
      <x:c r="A876" s="69" t="str">
        <x:v>ITEM00872</x:v>
      </x:c>
      <x:c r="B876" s="69" t="str">
        <x:v>SRC055</x:v>
      </x:c>
      <x:c r="C876" s="69" t="str">
        <x:v>2025-2026</x:v>
      </x:c>
      <x:c r="D876" s="69" t="str">
        <x:v>detail</x:v>
      </x:c>
      <x:c r="E876" s="69" t="str">
        <x:v>文件未載明</x:v>
      </x:c>
      <x:c r="F876" s="71" t="str">
        <x:v>車資補貼</x:v>
      </x:c>
      <x:c r="G876" s="71" t="str">
        <x:v>文件未載明</x:v>
      </x:c>
      <x:c r="H876" s="71" t="str">
        <x:v>式</x:v>
      </x:c>
      <x:c r="I876" s="72"/>
      <x:c r="J876" s="69" t="str">
        <x:v>文件未載明</x:v>
      </x:c>
      <x:c r="K876" s="70" t="n">
        <x:v>2500</x:v>
      </x:c>
      <x:c r="L876" s="69" t="str">
        <x:v>$2,500</x:v>
      </x:c>
      <x:c r="M876" s="70" t="n">
        <x:v>2500</x:v>
      </x:c>
      <x:c r="N876" s="69" t="str">
        <x:v>$2,500</x:v>
      </x:c>
      <x:c r="O876" s="71" t="str">
        <x:v>文件未載明</x:v>
      </x:c>
      <x:c r="P876" s="71" t="str">
        <x:v>HTML table 1 row 3</x:v>
      </x:c>
      <x:c r="Q876" s="71" t="str">
        <x:v>| 車資補貼 | 1.00 | 式 | $2,500 | $2,500</x:v>
      </x:c>
      <x:c r="R876" s="71" t="str">
        <x:v>各廠商合約&amp; 報價\MD檔案\20251203安翊-滴水條報價單回傳.md</x:v>
      </x:c>
    </x:row>
    <x:row r="877">
      <x:c r="A877" s="69" t="str">
        <x:v>ITEM00873</x:v>
      </x:c>
      <x:c r="B877" s="69" t="str">
        <x:v>SRC055</x:v>
      </x:c>
      <x:c r="C877" s="69" t="str">
        <x:v>2025-2026</x:v>
      </x:c>
      <x:c r="D877" s="69" t="str">
        <x:v>detail</x:v>
      </x:c>
      <x:c r="E877" s="69" t="str">
        <x:v>文件未載明</x:v>
      </x:c>
      <x:c r="F877" s="71" t="str">
        <x:v>*依實作數量計價,報價為一次施工費用,</x:v>
      </x:c>
      <x:c r="G877" s="71" t="str">
        <x:v>文件未載明</x:v>
      </x:c>
      <x:c r="H877" s="71" t="str">
        <x:v>文件未載明</x:v>
      </x:c>
      <x:c r="I877" s="72"/>
      <x:c r="J877" s="69" t="str">
        <x:v>文件未載明</x:v>
      </x:c>
      <x:c r="K877" s="70"/>
      <x:c r="L877" s="69" t="str">
        <x:v>文件未載明</x:v>
      </x:c>
      <x:c r="M877" s="70"/>
      <x:c r="N877" s="69" t="str">
        <x:v>文件未載明</x:v>
      </x:c>
      <x:c r="O877" s="71" t="str">
        <x:v>文件未載明</x:v>
      </x:c>
      <x:c r="P877" s="71" t="str">
        <x:v>HTML table 1 row 4</x:v>
      </x:c>
      <x:c r="Q877" s="71" t="str">
        <x:v>| *依實作數量計價,報價為一次施工費用, | | | |</x:v>
      </x:c>
      <x:c r="R877" s="71" t="str">
        <x:v>各廠商合約&amp; 報價\MD檔案\20251203安翊-滴水條報價單回傳.md</x:v>
      </x:c>
    </x:row>
    <x:row r="878">
      <x:c r="A878" s="69" t="str">
        <x:v>ITEM00874</x:v>
      </x:c>
      <x:c r="B878" s="69" t="str">
        <x:v>SRC055</x:v>
      </x:c>
      <x:c r="C878" s="69" t="str">
        <x:v>2025-2026</x:v>
      </x:c>
      <x:c r="D878" s="69" t="str">
        <x:v>detail</x:v>
      </x:c>
      <x:c r="E878" s="69" t="str">
        <x:v>付款條件:訂金30%現金/依施工進度月結支付70%(無保留款,30天內期票)</x:v>
      </x:c>
      <x:c r="F878" s="71" t="str">
        <x:v>報價淨額</x:v>
      </x:c>
      <x:c r="G878" s="71" t="str">
        <x:v>文件未載明</x:v>
      </x:c>
      <x:c r="H878" s="71" t="str">
        <x:v>文件未載明</x:v>
      </x:c>
      <x:c r="I878" s="72"/>
      <x:c r="J878" s="69" t="str">
        <x:v>文件未載明</x:v>
      </x:c>
      <x:c r="K878" s="70"/>
      <x:c r="L878" s="69" t="str">
        <x:v>文件未載明</x:v>
      </x:c>
      <x:c r="M878" s="70"/>
      <x:c r="N878" s="69" t="str">
        <x:v>文件未載明</x:v>
      </x:c>
      <x:c r="O878" s="71" t="str">
        <x:v>文件未載明</x:v>
      </x:c>
      <x:c r="P878" s="71" t="str">
        <x:v>HTML table 1 row 6</x:v>
      </x:c>
      <x:c r="Q878" s="71" t="str">
        <x:v>付款條件:訂金30%現金/依施工進度月結支付70%(無保留款,30天內期票) | 報價淨額 | $10,000</x:v>
      </x:c>
      <x:c r="R878" s="71" t="str">
        <x:v>各廠商合約&amp; 報價\MD檔案\20251203安翊-滴水條報價單回傳.md</x:v>
      </x:c>
    </x:row>
    <x:row r="879">
      <x:c r="A879" s="69" t="str">
        <x:v>ITEM00875</x:v>
      </x:c>
      <x:c r="B879" s="69" t="str">
        <x:v>SRC055</x:v>
      </x:c>
      <x:c r="C879" s="69" t="str">
        <x:v>2025-2026</x:v>
      </x:c>
      <x:c r="D879" s="69" t="str">
        <x:v>detail</x:v>
      </x:c>
      <x:c r="E879" s="69" t="str">
        <x:v>文件未載明</x:v>
      </x:c>
      <x:c r="F879" s="71" t="str">
        <x:v>稅 額</x:v>
      </x:c>
      <x:c r="G879" s="71" t="str">
        <x:v>文件未載明</x:v>
      </x:c>
      <x:c r="H879" s="71" t="str">
        <x:v>文件未載明</x:v>
      </x:c>
      <x:c r="I879" s="72"/>
      <x:c r="J879" s="69" t="str">
        <x:v>文件未載明</x:v>
      </x:c>
      <x:c r="K879" s="70"/>
      <x:c r="L879" s="69" t="str">
        <x:v>文件未載明</x:v>
      </x:c>
      <x:c r="M879" s="70"/>
      <x:c r="N879" s="69" t="str">
        <x:v>文件未載明</x:v>
      </x:c>
      <x:c r="O879" s="71" t="str">
        <x:v>文件未載明</x:v>
      </x:c>
      <x:c r="P879" s="71" t="str">
        <x:v>HTML table 1 row 7</x:v>
      </x:c>
      <x:c r="Q879" s="71" t="str">
        <x:v>| 稅 額 | $500</x:v>
      </x:c>
      <x:c r="R879" s="71" t="str">
        <x:v>各廠商合約&amp; 報價\MD檔案\20251203安翊-滴水條報價單回傳.md</x:v>
      </x:c>
    </x:row>
    <x:row r="880">
      <x:c r="A880" s="69" t="str">
        <x:v>ITEM00876</x:v>
      </x:c>
      <x:c r="B880" s="69" t="str">
        <x:v>SRC055</x:v>
      </x:c>
      <x:c r="C880" s="69" t="str">
        <x:v>2025-2026</x:v>
      </x:c>
      <x:c r="D880" s="69" t="str">
        <x:v>detail</x:v>
      </x:c>
      <x:c r="E880" s="69" t="str">
        <x:v>送貨地址:</x:v>
      </x:c>
      <x:c r="F880" s="71" t="str">
        <x:v>總金額</x:v>
      </x:c>
      <x:c r="G880" s="71" t="str">
        <x:v>文件未載明</x:v>
      </x:c>
      <x:c r="H880" s="71" t="str">
        <x:v>文件未載明</x:v>
      </x:c>
      <x:c r="I880" s="72"/>
      <x:c r="J880" s="69" t="str">
        <x:v>文件未載明</x:v>
      </x:c>
      <x:c r="K880" s="70"/>
      <x:c r="L880" s="69" t="str">
        <x:v>文件未載明</x:v>
      </x:c>
      <x:c r="M880" s="70"/>
      <x:c r="N880" s="69" t="str">
        <x:v>文件未載明</x:v>
      </x:c>
      <x:c r="O880" s="71" t="str">
        <x:v>文件未載明</x:v>
      </x:c>
      <x:c r="P880" s="71" t="str">
        <x:v>HTML table 1 row 8</x:v>
      </x:c>
      <x:c r="Q880" s="71" t="str">
        <x:v>送貨地址: | 總金額 | $10,500</x:v>
      </x:c>
      <x:c r="R880" s="71" t="str">
        <x:v>各廠商合約&amp; 報價\MD檔案\20251203安翊-滴水條報價單回傳.md</x:v>
      </x:c>
    </x:row>
    <x:row r="881">
      <x:c r="A881" s="69" t="str">
        <x:v>ITEM00877</x:v>
      </x:c>
      <x:c r="B881" s="69" t="str">
        <x:v>SRC055</x:v>
      </x:c>
      <x:c r="C881" s="69" t="str">
        <x:v>2025-2026</x:v>
      </x:c>
      <x:c r="D881" s="69" t="str">
        <x:v>note</x:v>
      </x:c>
      <x:c r="E881" s="69" t="str">
        <x:v>備註: 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 貴公司填寫付款人之銀行相關資料,以供本公司財務部信用徵信,不便之處請見諒,謝謝。支票付款人:支票付款支存帳號:支票付款銀行、分行名:銀行分行電話:</x:v>
      </x:c>
      <x:c r="F881" s="71" t="str">
        <x:v>文件未載明</x:v>
      </x:c>
      <x:c r="G881" s="71" t="str">
        <x:v>文件未載明</x:v>
      </x:c>
      <x:c r="H881" s="71" t="str">
        <x:v>文件未載明</x:v>
      </x:c>
      <x:c r="I881" s="72"/>
      <x:c r="J881" s="69" t="str">
        <x:v>文件未載明</x:v>
      </x:c>
      <x:c r="K881" s="70"/>
      <x:c r="L881" s="69" t="str">
        <x:v>文件未載明</x:v>
      </x:c>
      <x:c r="M881" s="70"/>
      <x:c r="N881" s="69" t="str">
        <x:v>文件未載明</x:v>
      </x:c>
      <x:c r="O881" s="71" t="str">
        <x:v>文件未載明</x:v>
      </x:c>
      <x:c r="P881" s="71" t="str">
        <x:v>HTML table 1 row 9</x:v>
      </x:c>
      <x:c r="Q881" s="71" t="str">
        <x:v>備註: 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 貴公司填寫付款人之銀行相關資料,以供本公司財務部信用徵信,不便之處請見諒,謝謝。支票付款人:支票付款支存帳號:支票付款銀行、分行名:銀行分行電話:</x:v>
      </x:c>
      <x:c r="R881" s="71" t="str">
        <x:v>各廠商合約&amp; 報價\MD檔案\20251203安翊-滴水條報價單回傳.md</x:v>
      </x:c>
    </x:row>
    <x:row r="882">
      <x:c r="A882" s="69" t="str">
        <x:v>ITEM00878</x:v>
      </x:c>
      <x:c r="B882" s="69" t="str">
        <x:v>SRC055</x:v>
      </x:c>
      <x:c r="C882" s="69" t="str">
        <x:v>2025-2026</x:v>
      </x:c>
      <x:c r="D882" s="69" t="str">
        <x:v>detail</x:v>
      </x:c>
      <x:c r="E882" s="69" t="str">
        <x:v>客戶確認:向上建設</x:v>
      </x:c>
      <x:c r="F882" s="71" t="str">
        <x:v>公司確認:安翊企業股份有限公司</x:v>
      </x:c>
      <x:c r="G882" s="71" t="str">
        <x:v>文件未載明</x:v>
      </x:c>
      <x:c r="H882" s="71" t="str">
        <x:v>文件未載明</x:v>
      </x:c>
      <x:c r="I882" s="72"/>
      <x:c r="J882" s="69" t="str">
        <x:v>文件未載明</x:v>
      </x:c>
      <x:c r="K882" s="70"/>
      <x:c r="L882" s="69" t="str">
        <x:v>文件未載明</x:v>
      </x:c>
      <x:c r="M882" s="70"/>
      <x:c r="N882" s="69" t="str">
        <x:v>文件未載明</x:v>
      </x:c>
      <x:c r="O882" s="71" t="str">
        <x:v>文件未載明</x:v>
      </x:c>
      <x:c r="P882" s="71" t="str">
        <x:v>HTML table 1 row 10</x:v>
      </x:c>
      <x:c r="Q882" s="71" t="str">
        <x:v>客戶確認:向上建設 | 公司確認:安翊企業股份有限公司</x:v>
      </x:c>
      <x:c r="R882" s="71" t="str">
        <x:v>各廠商合約&amp; 報價\MD檔案\20251203安翊-滴水條報價單回傳.md</x:v>
      </x:c>
    </x:row>
    <x:row r="883">
      <x:c r="A883" s="69" t="str">
        <x:v>ITEM00879</x:v>
      </x:c>
      <x:c r="B883" s="69" t="str">
        <x:v>SRC056</x:v>
      </x:c>
      <x:c r="C883" s="69" t="str">
        <x:v>2025-2026</x:v>
      </x:c>
      <x:c r="D883" s="69" t="str">
        <x:v>party</x:v>
      </x:c>
      <x:c r="E883" s="69" t="str">
        <x:v>文件未載明</x:v>
      </x:c>
      <x:c r="F883" s="71" t="str">
        <x:v>公司:長陽企業社/格來得竹苗分廠</x:v>
      </x:c>
      <x:c r="G883" s="71" t="str">
        <x:v>文件未載明</x:v>
      </x:c>
      <x:c r="H883" s="71" t="str">
        <x:v>文件未載明</x:v>
      </x:c>
      <x:c r="I883" s="72"/>
      <x:c r="J883" s="69" t="str">
        <x:v>文件未載明</x:v>
      </x:c>
      <x:c r="K883" s="70"/>
      <x:c r="L883" s="69" t="str">
        <x:v>文件未載明</x:v>
      </x:c>
      <x:c r="M883" s="70"/>
      <x:c r="N883" s="69" t="str">
        <x:v>文件未載明</x:v>
      </x:c>
      <x:c r="O883" s="71" t="str">
        <x:v>文件未載明</x:v>
      </x:c>
      <x:c r="P883" s="71" t="str">
        <x:v>HTML table 1 row 1</x:v>
      </x:c>
      <x:c r="Q883" s="71" t="str">
        <x:v>公司:長陽企業社/格來得竹苗分廠 | | 客戶確認蓋章 | 向上建設股份有限公司統一發票專用章統一編號90057101TEL:037-775355負責人:洪建豪苗栗縣竹南鎮中港里中正路423號 | 收訂金</x:v>
      </x:c>
      <x:c r="R883" s="71" t="str">
        <x:v>各廠商合約&amp; 報價\MD檔案\20251203長陽企業-格來得鐵捲門報價單回傳.md</x:v>
      </x:c>
    </x:row>
    <x:row r="884">
      <x:c r="A884" s="69" t="str">
        <x:v>ITEM00880</x:v>
      </x:c>
      <x:c r="B884" s="69" t="str">
        <x:v>SRC056</x:v>
      </x:c>
      <x:c r="C884" s="69" t="str">
        <x:v>2025-2026</x:v>
      </x:c>
      <x:c r="D884" s="69" t="str">
        <x:v>detail</x:v>
      </x:c>
      <x:c r="E884" s="69" t="str">
        <x:v>文件未載明</x:v>
      </x:c>
      <x:c r="F884" s="71" t="str">
        <x:v>電話:03-5926-125</x:v>
      </x:c>
      <x:c r="G884" s="71" t="str">
        <x:v>文件未載明</x:v>
      </x:c>
      <x:c r="H884" s="71" t="str">
        <x:v>文件未載明</x:v>
      </x:c>
      <x:c r="I884" s="72"/>
      <x:c r="J884" s="69" t="str">
        <x:v>文件未載明</x:v>
      </x:c>
      <x:c r="K884" s="70"/>
      <x:c r="L884" s="69" t="str">
        <x:v>文件未載明</x:v>
      </x:c>
      <x:c r="M884" s="70"/>
      <x:c r="N884" s="69" t="str">
        <x:v>文件未載明</x:v>
      </x:c>
      <x:c r="O884" s="71" t="str">
        <x:v>文件未載明</x:v>
      </x:c>
      <x:c r="P884" s="71" t="str">
        <x:v>HTML table 1 row 2</x:v>
      </x:c>
      <x:c r="Q884" s="71" t="str">
        <x:v>電話:03-5926-125</x:v>
      </x:c>
      <x:c r="R884" s="71" t="str">
        <x:v>各廠商合約&amp; 報價\MD檔案\20251203長陽企業-格來得鐵捲門報價單回傳.md</x:v>
      </x:c>
    </x:row>
    <x:row r="885">
      <x:c r="A885" s="69" t="str">
        <x:v>ITEM00881</x:v>
      </x:c>
      <x:c r="B885" s="69" t="str">
        <x:v>SRC056</x:v>
      </x:c>
      <x:c r="C885" s="69" t="str">
        <x:v>2025-2026</x:v>
      </x:c>
      <x:c r="D885" s="69" t="str">
        <x:v>detail</x:v>
      </x:c>
      <x:c r="E885" s="69" t="str">
        <x:v>文件未載明</x:v>
      </x:c>
      <x:c r="F885" s="71" t="str">
        <x:v>傳真:03-5926-617</x:v>
      </x:c>
      <x:c r="G885" s="71" t="str">
        <x:v>文件未載明</x:v>
      </x:c>
      <x:c r="H885" s="71" t="str">
        <x:v>文件未載明</x:v>
      </x:c>
      <x:c r="I885" s="72"/>
      <x:c r="J885" s="69" t="str">
        <x:v>文件未載明</x:v>
      </x:c>
      <x:c r="K885" s="70"/>
      <x:c r="L885" s="69" t="str">
        <x:v>文件未載明</x:v>
      </x:c>
      <x:c r="M885" s="70"/>
      <x:c r="N885" s="69" t="str">
        <x:v>文件未載明</x:v>
      </x:c>
      <x:c r="O885" s="71" t="str">
        <x:v>文件未載明</x:v>
      </x:c>
      <x:c r="P885" s="71" t="str">
        <x:v>HTML table 1 row 3</x:v>
      </x:c>
      <x:c r="Q885" s="71" t="str">
        <x:v>傳真:03-5926-617</x:v>
      </x:c>
      <x:c r="R885" s="71" t="str">
        <x:v>各廠商合約&amp; 報價\MD檔案\20251203長陽企業-格來得鐵捲門報價單回傳.md</x:v>
      </x:c>
    </x:row>
    <x:row r="886">
      <x:c r="A886" s="69" t="str">
        <x:v>ITEM00882</x:v>
      </x:c>
      <x:c r="B886" s="69" t="str">
        <x:v>SRC056</x:v>
      </x:c>
      <x:c r="C886" s="69" t="str">
        <x:v>2025-2026</x:v>
      </x:c>
      <x:c r="D886" s="69" t="str">
        <x:v>detail</x:v>
      </x:c>
      <x:c r="E886" s="69" t="str">
        <x:v>文件未載明</x:v>
      </x:c>
      <x:c r="F886" s="71" t="str">
        <x:v>住址:新竹縣芎林鄉文明路57號</x:v>
      </x:c>
      <x:c r="G886" s="71" t="str">
        <x:v>文件未載明</x:v>
      </x:c>
      <x:c r="H886" s="71" t="str">
        <x:v>文件未載明</x:v>
      </x:c>
      <x:c r="I886" s="72"/>
      <x:c r="J886" s="69" t="str">
        <x:v>文件未載明</x:v>
      </x:c>
      <x:c r="K886" s="70"/>
      <x:c r="L886" s="69" t="str">
        <x:v>文件未載明</x:v>
      </x:c>
      <x:c r="M886" s="70"/>
      <x:c r="N886" s="69" t="str">
        <x:v>文件未載明</x:v>
      </x:c>
      <x:c r="O886" s="71" t="str">
        <x:v>文件未載明</x:v>
      </x:c>
      <x:c r="P886" s="71" t="str">
        <x:v>HTML table 1 row 4</x:v>
      </x:c>
      <x:c r="Q886" s="71" t="str">
        <x:v>住址:新竹縣芎林鄉文明路57號</x:v>
      </x:c>
      <x:c r="R886" s="71" t="str">
        <x:v>各廠商合約&amp; 報價\MD檔案\20251203長陽企業-格來得鐵捲門報價單回傳.md</x:v>
      </x:c>
    </x:row>
    <x:row r="887">
      <x:c r="A887" s="69" t="str">
        <x:v>ITEM00883</x:v>
      </x:c>
      <x:c r="B887" s="69" t="str">
        <x:v>SRC056</x:v>
      </x:c>
      <x:c r="C887" s="69" t="str">
        <x:v>2025-2026</x:v>
      </x:c>
      <x:c r="D887" s="69" t="str">
        <x:v>detail</x:v>
      </x:c>
      <x:c r="E887" s="69" t="str">
        <x:v>文件未載明</x:v>
      </x:c>
      <x:c r="F887" s="71" t="str">
        <x:v>聯絡人:黃品欣 0938-649-292</x:v>
      </x:c>
      <x:c r="G887" s="71" t="str">
        <x:v>文件未載明</x:v>
      </x:c>
      <x:c r="H887" s="71" t="str">
        <x:v>文件未載明</x:v>
      </x:c>
      <x:c r="I887" s="72"/>
      <x:c r="J887" s="69" t="str">
        <x:v>文件未載明</x:v>
      </x:c>
      <x:c r="K887" s="70"/>
      <x:c r="L887" s="69" t="str">
        <x:v>文件未載明</x:v>
      </x:c>
      <x:c r="M887" s="70"/>
      <x:c r="N887" s="69" t="str">
        <x:v>文件未載明</x:v>
      </x:c>
      <x:c r="O887" s="71" t="str">
        <x:v>文件未載明</x:v>
      </x:c>
      <x:c r="P887" s="71" t="str">
        <x:v>HTML table 1 row 5</x:v>
      </x:c>
      <x:c r="Q887" s="71" t="str">
        <x:v>聯絡人:黃品欣 0938-649-292</x:v>
      </x:c>
      <x:c r="R887" s="71" t="str">
        <x:v>各廠商合約&amp; 報價\MD檔案\20251203長陽企業-格來得鐵捲門報價單回傳.md</x:v>
      </x:c>
    </x:row>
    <x:row r="888">
      <x:c r="A888" s="69" t="str">
        <x:v>ITEM00884</x:v>
      </x:c>
      <x:c r="B888" s="69" t="str">
        <x:v>SRC056</x:v>
      </x:c>
      <x:c r="C888" s="69" t="str">
        <x:v>2025-2026</x:v>
      </x:c>
      <x:c r="D888" s="69" t="str">
        <x:v>header</x:v>
      </x:c>
      <x:c r="E888" s="69" t="str">
        <x:v>No</x:v>
      </x:c>
      <x:c r="F888" s="71" t="str">
        <x:v>品名/規格</x:v>
      </x:c>
      <x:c r="G888" s="71" t="str">
        <x:v>文件未載明</x:v>
      </x:c>
      <x:c r="H888" s="71" t="str">
        <x:v>單位</x:v>
      </x:c>
      <x:c r="I888" s="72"/>
      <x:c r="J888" s="69" t="str">
        <x:v>數量</x:v>
      </x:c>
      <x:c r="K888" s="70"/>
      <x:c r="L888" s="69" t="str">
        <x:v>單價</x:v>
      </x:c>
      <x:c r="M888" s="70"/>
      <x:c r="N888" s="69" t="str">
        <x:v>金額</x:v>
      </x:c>
      <x:c r="O888" s="71" t="str">
        <x:v>備註</x:v>
      </x:c>
      <x:c r="P888" s="71" t="str">
        <x:v>HTML table 2 row 1</x:v>
      </x:c>
      <x:c r="Q888" s="71" t="str">
        <x:v>No | 品名/規格 | 數量 | 單位 | 單價 | 金額 | 備註</x:v>
      </x:c>
      <x:c r="R888" s="71" t="str">
        <x:v>各廠商合約&amp; 報價\MD檔案\20251203長陽企業-格來得鐵捲門報價單回傳.md</x:v>
      </x:c>
    </x:row>
    <x:row r="889">
      <x:c r="A889" s="69" t="str">
        <x:v>ITEM00885</x:v>
      </x:c>
      <x:c r="B889" s="69" t="str">
        <x:v>SRC056</x:v>
      </x:c>
      <x:c r="C889" s="69" t="str">
        <x:v>2025-2026</x:v>
      </x:c>
      <x:c r="D889" s="69" t="str">
        <x:v>detail</x:v>
      </x:c>
      <x:c r="E889" s="69" t="str">
        <x:v>1</x:v>
      </x:c>
      <x:c r="F889" s="71" t="str">
        <x:v>格來得鋁合金花格快速捲門經典型W3830*H31801.304不銹鋼軌道-防駷型。2.鍍鋅烤漆捲箱-三面封+上蓋板一面。(註:標準制式色為白、奶油白、深灰)3.車道專用馬達、遙控器*3顆、安全系統等裝置。4.電源用220V,馬達邊在內左邊。5.使用鋼板捲軸成捲。</x:v>
      </x:c>
      <x:c r="G889" s="71" t="str">
        <x:v>文件未載明</x:v>
      </x:c>
      <x:c r="H889" s="71" t="str">
        <x:v>式</x:v>
      </x:c>
      <x:c r="I889" s="72" t="n">
        <x:v>1</x:v>
      </x:c>
      <x:c r="J889" s="69" t="str">
        <x:v>1.00</x:v>
      </x:c>
      <x:c r="K889" s="70" t="n">
        <x:v>83000</x:v>
      </x:c>
      <x:c r="L889" s="69" t="str">
        <x:v>83,000</x:v>
      </x:c>
      <x:c r="M889" s="70" t="n">
        <x:v>83000</x:v>
      </x:c>
      <x:c r="N889" s="69" t="str">
        <x:v>83,000</x:v>
      </x:c>
      <x:c r="O889" s="71" t="str">
        <x:v>公用車道門-內捲</x:v>
      </x:c>
      <x:c r="P889" s="71" t="str">
        <x:v>HTML table 2 row 2</x:v>
      </x:c>
      <x:c r="Q889" s="71" t="str">
        <x:v>1 | 格來得鋁合金花格快速捲門經典型W3830*H31801.304不銹鋼軌道-防駷型。2.鍍鋅烤漆捲箱-三面封+上蓋板一面。(註:標準制式色為白、奶油白、深灰)3.車道專用馬達、遙控器*3顆、安全系統等裝置。4.電源用220V,馬達邊在內左邊。5.使用鋼板捲軸成捲。 | 1.00 | 式 | 83,000 | 83,000 | 公用車道門-內捲</x:v>
      </x:c>
      <x:c r="R889" s="71" t="str">
        <x:v>各廠商合約&amp; 報價\MD檔案\20251203長陽企業-格來得鐵捲門報價單回傳.md</x:v>
      </x:c>
    </x:row>
    <x:row r="890">
      <x:c r="A890" s="69" t="str">
        <x:v>ITEM00886</x:v>
      </x:c>
      <x:c r="B890" s="69" t="str">
        <x:v>SRC056</x:v>
      </x:c>
      <x:c r="C890" s="69" t="str">
        <x:v>2025-2026</x:v>
      </x:c>
      <x:c r="D890" s="69" t="str">
        <x:v>detail</x:v>
      </x:c>
      <x:c r="E890" s="69" t="str">
        <x:v>2</x:v>
      </x:c>
      <x:c r="F890" s="71" t="str">
        <x:v>光電開關-紅外線安全感應調整自動關門</x:v>
      </x:c>
      <x:c r="G890" s="71" t="str">
        <x:v>文件未載明</x:v>
      </x:c>
      <x:c r="H890" s="71" t="str">
        <x:v>PCS</x:v>
      </x:c>
      <x:c r="I890" s="72" t="n">
        <x:v>1</x:v>
      </x:c>
      <x:c r="J890" s="69" t="str">
        <x:v>1.00</x:v>
      </x:c>
      <x:c r="K890" s="70" t="n">
        <x:v>5000</x:v>
      </x:c>
      <x:c r="L890" s="69" t="str">
        <x:v>5,000</x:v>
      </x:c>
      <x:c r="M890" s="70" t="n">
        <x:v>5000</x:v>
      </x:c>
      <x:c r="N890" s="69" t="str">
        <x:v>5,000</x:v>
      </x:c>
      <x:c r="O890" s="71" t="str">
        <x:v>文件未載明</x:v>
      </x:c>
      <x:c r="P890" s="71" t="str">
        <x:v>HTML table 2 row 3</x:v>
      </x:c>
      <x:c r="Q890" s="71" t="str">
        <x:v>2 | 光電開關-紅外線安全感應調整自動關門 | 1.00 | PCS | 5,000 | 5,000 |</x:v>
      </x:c>
      <x:c r="R890" s="71" t="str">
        <x:v>各廠商合約&amp; 報價\MD檔案\20251203長陽企業-格來得鐵捲門報價單回傳.md</x:v>
      </x:c>
    </x:row>
    <x:row r="891">
      <x:c r="A891" s="69" t="str">
        <x:v>ITEM00887</x:v>
      </x:c>
      <x:c r="B891" s="69" t="str">
        <x:v>SRC056</x:v>
      </x:c>
      <x:c r="C891" s="69" t="str">
        <x:v>2025-2026</x:v>
      </x:c>
      <x:c r="D891" s="69" t="str">
        <x:v>detail</x:v>
      </x:c>
      <x:c r="E891" s="69" t="str">
        <x:v>3</x:v>
      </x:c>
      <x:c r="F891" s="71" t="str">
        <x:v>遙控器另作追加。原附3顆,共計有11顆。&lt;以下空白&gt;</x:v>
      </x:c>
      <x:c r="G891" s="71" t="str">
        <x:v>文件未載明</x:v>
      </x:c>
      <x:c r="H891" s="71" t="str">
        <x:v>顆</x:v>
      </x:c>
      <x:c r="I891" s="72" t="n">
        <x:v>8</x:v>
      </x:c>
      <x:c r="J891" s="69" t="str">
        <x:v>8.00</x:v>
      </x:c>
      <x:c r="K891" s="70" t="n">
        <x:v>500</x:v>
      </x:c>
      <x:c r="L891" s="69" t="str">
        <x:v>500</x:v>
      </x:c>
      <x:c r="M891" s="70" t="n">
        <x:v>4000</x:v>
      </x:c>
      <x:c r="N891" s="69" t="str">
        <x:v>4,000</x:v>
      </x:c>
      <x:c r="O891" s="71" t="str">
        <x:v>文件未載明</x:v>
      </x:c>
      <x:c r="P891" s="71" t="str">
        <x:v>HTML table 2 row 4</x:v>
      </x:c>
      <x:c r="Q891" s="71" t="str">
        <x:v>3 | 遙控器另作追加。原附3顆,共計有11顆。&lt;以下空白&gt; | 8.00 | 顆 | 500 | 4,000 |</x:v>
      </x:c>
      <x:c r="R891" s="71" t="str">
        <x:v>各廠商合約&amp; 報價\MD檔案\20251203長陽企業-格來得鐵捲門報價單回傳.md</x:v>
      </x:c>
    </x:row>
    <x:row r="892">
      <x:c r="A892" s="69" t="str">
        <x:v>ITEM00888</x:v>
      </x:c>
      <x:c r="B892" s="69" t="str">
        <x:v>SRC056</x:v>
      </x:c>
      <x:c r="C892" s="69" t="str">
        <x:v>2025-2026</x:v>
      </x:c>
      <x:c r="D892" s="69" t="str">
        <x:v>detail</x:v>
      </x:c>
      <x:c r="E892" s="69" t="str">
        <x:v>文件未載明</x:v>
      </x:c>
      <x:c r="F892" s="71" t="str">
        <x:v>合 計: 92,000折扣: -1,524稅 額: 4,524總 計: 95,000</x:v>
      </x:c>
      <x:c r="G892" s="71" t="str">
        <x:v>文件未載明</x:v>
      </x:c>
      <x:c r="H892" s="71" t="str">
        <x:v>文件未載明</x:v>
      </x:c>
      <x:c r="I892" s="72"/>
      <x:c r="J892" s="69" t="str">
        <x:v>文件未載明</x:v>
      </x:c>
      <x:c r="K892" s="70"/>
      <x:c r="L892" s="69" t="str">
        <x:v>文件未載明</x:v>
      </x:c>
      <x:c r="M892" s="70"/>
      <x:c r="N892" s="69" t="str">
        <x:v>文件未載明</x:v>
      </x:c>
      <x:c r="O892" s="71" t="str">
        <x:v>文件未載明</x:v>
      </x:c>
      <x:c r="P892" s="71" t="str">
        <x:v>HTML table 2 row 5</x:v>
      </x:c>
      <x:c r="Q892" s="71" t="str">
        <x:v>合 計: 92,000折扣: -1,524稅 額: 4,524總 計: 95,000</x:v>
      </x:c>
      <x:c r="R892" s="71" t="str">
        <x:v>各廠商合約&amp; 報價\MD檔案\20251203長陽企業-格來得鐵捲門報價單回傳.md</x:v>
      </x:c>
    </x:row>
    <x:row r="893">
      <x:c r="A893" s="69" t="str">
        <x:v>ITEM00889</x:v>
      </x:c>
      <x:c r="B893" s="69" t="str">
        <x:v>SRC058</x:v>
      </x:c>
      <x:c r="C893" s="69" t="str">
        <x:v>2025-2026</x:v>
      </x:c>
      <x:c r="D893" s="69" t="str">
        <x:v>header</x:v>
      </x:c>
      <x:c r="E893" s="69" t="str">
        <x:v>No</x:v>
      </x:c>
      <x:c r="F893" s="71" t="str">
        <x:v>品名/規格</x:v>
      </x:c>
      <x:c r="G893" s="71" t="str">
        <x:v>文件未載明</x:v>
      </x:c>
      <x:c r="H893" s="71" t="str">
        <x:v>單位</x:v>
      </x:c>
      <x:c r="I893" s="72"/>
      <x:c r="J893" s="69" t="str">
        <x:v>數量</x:v>
      </x:c>
      <x:c r="K893" s="70"/>
      <x:c r="L893" s="69" t="str">
        <x:v>單價</x:v>
      </x:c>
      <x:c r="M893" s="70"/>
      <x:c r="N893" s="69" t="str">
        <x:v>金額</x:v>
      </x:c>
      <x:c r="O893" s="71" t="str">
        <x:v>備註</x:v>
      </x:c>
      <x:c r="P893" s="71" t="str">
        <x:v>HTML table 1 row 1</x:v>
      </x:c>
      <x:c r="Q893" s="71" t="str">
        <x:v>No | 品名/規格 | 數量 | 單位 | 單價 | 金額 | 備註</x:v>
      </x:c>
      <x:c r="R893" s="71" t="str">
        <x:v>各廠商合約&amp; 報價\MD檔案\20251204長陽企業-格來得鐵捲門報價單回傳.md</x:v>
      </x:c>
    </x:row>
    <x:row r="894">
      <x:c r="A894" s="69" t="str">
        <x:v>ITEM00890</x:v>
      </x:c>
      <x:c r="B894" s="69" t="str">
        <x:v>SRC058</x:v>
      </x:c>
      <x:c r="C894" s="69" t="str">
        <x:v>2025-2026</x:v>
      </x:c>
      <x:c r="D894" s="69" t="str">
        <x:v>detail</x:v>
      </x:c>
      <x:c r="E894" s="69" t="str">
        <x:v>1</x:v>
      </x:c>
      <x:c r="F894" s="71" t="str">
        <x:v>格來得鋁合金花格快速捲門經典型W3830*H31801.304不銹鋼軌道-防飢型。2.鍍鋅烤漆捲箱-三面封+上蓋板一面。(註:標準制式色為白、奶油白、深灰)3.車道專用馬達、遙控器*5顆、安全系統等裝置。4.電源用220V,馬達邊在內左邊。5.使用鋼板捲軸成捲。</x:v>
      </x:c>
      <x:c r="G894" s="71" t="str">
        <x:v>文件未載明</x:v>
      </x:c>
      <x:c r="H894" s="71" t="str">
        <x:v>式</x:v>
      </x:c>
      <x:c r="I894" s="72" t="n">
        <x:v>1</x:v>
      </x:c>
      <x:c r="J894" s="69" t="str">
        <x:v>1.00</x:v>
      </x:c>
      <x:c r="K894" s="70" t="n">
        <x:v>83000</x:v>
      </x:c>
      <x:c r="L894" s="69" t="str">
        <x:v>83,000</x:v>
      </x:c>
      <x:c r="M894" s="70" t="n">
        <x:v>83000</x:v>
      </x:c>
      <x:c r="N894" s="69" t="str">
        <x:v>83,000</x:v>
      </x:c>
      <x:c r="O894" s="71" t="str">
        <x:v>公用車道門-內捲</x:v>
      </x:c>
      <x:c r="P894" s="71" t="str">
        <x:v>HTML table 1 row 2</x:v>
      </x:c>
      <x:c r="Q894" s="71" t="str">
        <x:v>1 | 格來得鋁合金花格快速捲門經典型W3830*H31801.304不銹鋼軌道-防飢型。2.鍍鋅烤漆捲箱-三面封+上蓋板一面。(註:標準制式色為白、奶油白、深灰)3.車道專用馬達、遙控器*5顆、安全系統等裝置。4.電源用220V,馬達邊在內左邊。5.使用鋼板捲軸成捲。 | 1.00 | 式 | 83,000 | 83,000 | 公用車道門-內捲</x:v>
      </x:c>
      <x:c r="R894" s="71" t="str">
        <x:v>各廠商合約&amp; 報價\MD檔案\20251204長陽企業-格來得鐵捲門報價單回傳.md</x:v>
      </x:c>
    </x:row>
    <x:row r="895">
      <x:c r="A895" s="69" t="str">
        <x:v>ITEM00891</x:v>
      </x:c>
      <x:c r="B895" s="69" t="str">
        <x:v>SRC058</x:v>
      </x:c>
      <x:c r="C895" s="69" t="str">
        <x:v>2025-2026</x:v>
      </x:c>
      <x:c r="D895" s="69" t="str">
        <x:v>detail</x:v>
      </x:c>
      <x:c r="E895" s="69" t="str">
        <x:v>2</x:v>
      </x:c>
      <x:c r="F895" s="71" t="str">
        <x:v>光電開關-紅外線安全感應調整自動關門</x:v>
      </x:c>
      <x:c r="G895" s="71" t="str">
        <x:v>文件未載明</x:v>
      </x:c>
      <x:c r="H895" s="71" t="str">
        <x:v>PCS</x:v>
      </x:c>
      <x:c r="I895" s="72" t="n">
        <x:v>1</x:v>
      </x:c>
      <x:c r="J895" s="69" t="str">
        <x:v>1.00</x:v>
      </x:c>
      <x:c r="K895" s="70" t="n">
        <x:v>5000</x:v>
      </x:c>
      <x:c r="L895" s="69" t="str">
        <x:v>5,000</x:v>
      </x:c>
      <x:c r="M895" s="70" t="n">
        <x:v>5000</x:v>
      </x:c>
      <x:c r="N895" s="69" t="str">
        <x:v>5,000</x:v>
      </x:c>
      <x:c r="O895" s="71" t="str">
        <x:v>文件未載明</x:v>
      </x:c>
      <x:c r="P895" s="71" t="str">
        <x:v>HTML table 1 row 3</x:v>
      </x:c>
      <x:c r="Q895" s="71" t="str">
        <x:v>2 | 光電開關-紅外線安全感應調整自動關門 | 1.00 | PCS | 5,000 | 5,000 |</x:v>
      </x:c>
      <x:c r="R895" s="71" t="str">
        <x:v>各廠商合約&amp; 報價\MD檔案\20251204長陽企業-格來得鐵捲門報價單回傳.md</x:v>
      </x:c>
    </x:row>
    <x:row r="896">
      <x:c r="A896" s="69" t="str">
        <x:v>ITEM00892</x:v>
      </x:c>
      <x:c r="B896" s="69" t="str">
        <x:v>SRC058</x:v>
      </x:c>
      <x:c r="C896" s="69" t="str">
        <x:v>2025-2026</x:v>
      </x:c>
      <x:c r="D896" s="69" t="str">
        <x:v>detail</x:v>
      </x:c>
      <x:c r="E896" s="69" t="str">
        <x:v>3</x:v>
      </x:c>
      <x:c r="F896" s="71" t="str">
        <x:v>遙控器另作追加。原附5顆,共計有13顆。&lt;以下空白&gt;</x:v>
      </x:c>
      <x:c r="G896" s="71" t="str">
        <x:v>文件未載明</x:v>
      </x:c>
      <x:c r="H896" s="71" t="str">
        <x:v>顆</x:v>
      </x:c>
      <x:c r="I896" s="72" t="n">
        <x:v>8</x:v>
      </x:c>
      <x:c r="J896" s="69" t="str">
        <x:v>8.00</x:v>
      </x:c>
      <x:c r="K896" s="70" t="n">
        <x:v>500</x:v>
      </x:c>
      <x:c r="L896" s="69" t="str">
        <x:v>500</x:v>
      </x:c>
      <x:c r="M896" s="70" t="n">
        <x:v>4000</x:v>
      </x:c>
      <x:c r="N896" s="69" t="str">
        <x:v>4,000</x:v>
      </x:c>
      <x:c r="O896" s="71" t="str">
        <x:v>文件未載明</x:v>
      </x:c>
      <x:c r="P896" s="71" t="str">
        <x:v>HTML table 1 row 4</x:v>
      </x:c>
      <x:c r="Q896" s="71" t="str">
        <x:v>3 | 遙控器另作追加。原附5顆,共計有13顆。&lt;以下空白&gt; | 8.00 | 顆 | 500 | 4,000 |</x:v>
      </x:c>
      <x:c r="R896" s="71" t="str">
        <x:v>各廠商合約&amp; 報價\MD檔案\20251204長陽企業-格來得鐵捲門報價單回傳.md</x:v>
      </x:c>
    </x:row>
    <x:row r="897">
      <x:c r="A897" s="69" t="str">
        <x:v>ITEM00893</x:v>
      </x:c>
      <x:c r="B897" s="69" t="str">
        <x:v>SRC058</x:v>
      </x:c>
      <x:c r="C897" s="69" t="str">
        <x:v>2025-2026</x:v>
      </x:c>
      <x:c r="D897" s="69" t="str">
        <x:v>summary</x:v>
      </x:c>
      <x:c r="E897" s="69" t="str">
        <x:v>文件未載明</x:v>
      </x:c>
      <x:c r="F897" s="71" t="str">
        <x:v>合計: 92,000折扣: -1,524稅額: 4,524總計: 95,000</x:v>
      </x:c>
      <x:c r="G897" s="71" t="str">
        <x:v>文件未載明</x:v>
      </x:c>
      <x:c r="H897" s="71" t="str">
        <x:v>文件未載明</x:v>
      </x:c>
      <x:c r="I897" s="72"/>
      <x:c r="J897" s="69" t="str">
        <x:v>文件未載明</x:v>
      </x:c>
      <x:c r="K897" s="70"/>
      <x:c r="L897" s="69" t="str">
        <x:v>文件未載明</x:v>
      </x:c>
      <x:c r="M897" s="70"/>
      <x:c r="N897" s="69" t="str">
        <x:v>文件未載明</x:v>
      </x:c>
      <x:c r="O897" s="71" t="str">
        <x:v>文件未載明</x:v>
      </x:c>
      <x:c r="P897" s="71" t="str">
        <x:v>HTML table 1 row 5</x:v>
      </x:c>
      <x:c r="Q897" s="71" t="str">
        <x:v>| 合計: 92,000折扣: -1,524稅額: 4,524總計: 95,000</x:v>
      </x:c>
      <x:c r="R897" s="71" t="str">
        <x:v>各廠商合約&amp; 報價\MD檔案\20251204長陽企業-格來得鐵捲門報價單回傳.md</x:v>
      </x:c>
    </x:row>
    <x:row r="898">
      <x:c r="A898" s="69" t="str">
        <x:v>ITEM00894</x:v>
      </x:c>
      <x:c r="B898" s="69" t="str">
        <x:v>SRC058</x:v>
      </x:c>
      <x:c r="C898" s="69" t="str">
        <x:v>2025-2026</x:v>
      </x:c>
      <x:c r="D898" s="69" t="str">
        <x:v>detail</x:v>
      </x:c>
      <x:c r="E898" s="69" t="str">
        <x:v>文件未載明</x:v>
      </x:c>
      <x:c r="F898" s="71" t="str">
        <x:v>公司:長陽企業社/格來得竹苗分廠</x:v>
      </x:c>
      <x:c r="G898" s="71" t="str">
        <x:v>文件未載明</x:v>
      </x:c>
      <x:c r="H898" s="71" t="str">
        <x:v>文件未載明</x:v>
      </x:c>
      <x:c r="I898" s="72"/>
      <x:c r="J898" s="69" t="str">
        <x:v>文件未載明</x:v>
      </x:c>
      <x:c r="K898" s="70"/>
      <x:c r="L898" s="69" t="str">
        <x:v>文件未載明</x:v>
      </x:c>
      <x:c r="M898" s="70"/>
      <x:c r="N898" s="69" t="str">
        <x:v>文件未載明</x:v>
      </x:c>
      <x:c r="O898" s="71" t="str">
        <x:v>文件未載明</x:v>
      </x:c>
      <x:c r="P898" s="71" t="str">
        <x:v>HTML table 2 row 1</x:v>
      </x:c>
      <x:c r="Q898" s="71" t="str">
        <x:v>公司:長陽企業社/格來得竹苗分廠</x:v>
      </x:c>
      <x:c r="R898" s="71" t="str">
        <x:v>各廠商合約&amp; 報價\MD檔案\20251204長陽企業-格來得鐵捲門報價單回傳.md</x:v>
      </x:c>
    </x:row>
    <x:row r="899">
      <x:c r="A899" s="69" t="str">
        <x:v>ITEM00895</x:v>
      </x:c>
      <x:c r="B899" s="69" t="str">
        <x:v>SRC058</x:v>
      </x:c>
      <x:c r="C899" s="69" t="str">
        <x:v>2025-2026</x:v>
      </x:c>
      <x:c r="D899" s="69" t="str">
        <x:v>detail</x:v>
      </x:c>
      <x:c r="E899" s="69" t="str">
        <x:v>文件未載明</x:v>
      </x:c>
      <x:c r="F899" s="71" t="str">
        <x:v>電話:03-5926-125</x:v>
      </x:c>
      <x:c r="G899" s="71" t="str">
        <x:v>文件未載明</x:v>
      </x:c>
      <x:c r="H899" s="71" t="str">
        <x:v>文件未載明</x:v>
      </x:c>
      <x:c r="I899" s="72"/>
      <x:c r="J899" s="69" t="str">
        <x:v>文件未載明</x:v>
      </x:c>
      <x:c r="K899" s="70"/>
      <x:c r="L899" s="69" t="str">
        <x:v>文件未載明</x:v>
      </x:c>
      <x:c r="M899" s="70"/>
      <x:c r="N899" s="69" t="str">
        <x:v>文件未載明</x:v>
      </x:c>
      <x:c r="O899" s="71" t="str">
        <x:v>文件未載明</x:v>
      </x:c>
      <x:c r="P899" s="71" t="str">
        <x:v>HTML table 2 row 2</x:v>
      </x:c>
      <x:c r="Q899" s="71" t="str">
        <x:v>電話:03-5926-125</x:v>
      </x:c>
      <x:c r="R899" s="71" t="str">
        <x:v>各廠商合約&amp; 報價\MD檔案\20251204長陽企業-格來得鐵捲門報價單回傳.md</x:v>
      </x:c>
    </x:row>
    <x:row r="900">
      <x:c r="A900" s="69" t="str">
        <x:v>ITEM00896</x:v>
      </x:c>
      <x:c r="B900" s="69" t="str">
        <x:v>SRC058</x:v>
      </x:c>
      <x:c r="C900" s="69" t="str">
        <x:v>2025-2026</x:v>
      </x:c>
      <x:c r="D900" s="69" t="str">
        <x:v>detail</x:v>
      </x:c>
      <x:c r="E900" s="69" t="str">
        <x:v>文件未載明</x:v>
      </x:c>
      <x:c r="F900" s="71" t="str">
        <x:v>傳真:03-5926-617</x:v>
      </x:c>
      <x:c r="G900" s="71" t="str">
        <x:v>文件未載明</x:v>
      </x:c>
      <x:c r="H900" s="71" t="str">
        <x:v>文件未載明</x:v>
      </x:c>
      <x:c r="I900" s="72"/>
      <x:c r="J900" s="69" t="str">
        <x:v>文件未載明</x:v>
      </x:c>
      <x:c r="K900" s="70"/>
      <x:c r="L900" s="69" t="str">
        <x:v>文件未載明</x:v>
      </x:c>
      <x:c r="M900" s="70"/>
      <x:c r="N900" s="69" t="str">
        <x:v>文件未載明</x:v>
      </x:c>
      <x:c r="O900" s="71" t="str">
        <x:v>文件未載明</x:v>
      </x:c>
      <x:c r="P900" s="71" t="str">
        <x:v>HTML table 2 row 3</x:v>
      </x:c>
      <x:c r="Q900" s="71" t="str">
        <x:v>傳真:03-5926-617</x:v>
      </x:c>
      <x:c r="R900" s="71" t="str">
        <x:v>各廠商合約&amp; 報價\MD檔案\20251204長陽企業-格來得鐵捲門報價單回傳.md</x:v>
      </x:c>
    </x:row>
    <x:row r="901">
      <x:c r="A901" s="69" t="str">
        <x:v>ITEM00897</x:v>
      </x:c>
      <x:c r="B901" s="69" t="str">
        <x:v>SRC058</x:v>
      </x:c>
      <x:c r="C901" s="69" t="str">
        <x:v>2025-2026</x:v>
      </x:c>
      <x:c r="D901" s="69" t="str">
        <x:v>detail</x:v>
      </x:c>
      <x:c r="E901" s="69" t="str">
        <x:v>文件未載明</x:v>
      </x:c>
      <x:c r="F901" s="71" t="str">
        <x:v>住址:新竹縣芎林鄉文明路57號</x:v>
      </x:c>
      <x:c r="G901" s="71" t="str">
        <x:v>文件未載明</x:v>
      </x:c>
      <x:c r="H901" s="71" t="str">
        <x:v>文件未載明</x:v>
      </x:c>
      <x:c r="I901" s="72"/>
      <x:c r="J901" s="69" t="str">
        <x:v>文件未載明</x:v>
      </x:c>
      <x:c r="K901" s="70"/>
      <x:c r="L901" s="69" t="str">
        <x:v>文件未載明</x:v>
      </x:c>
      <x:c r="M901" s="70"/>
      <x:c r="N901" s="69" t="str">
        <x:v>文件未載明</x:v>
      </x:c>
      <x:c r="O901" s="71" t="str">
        <x:v>文件未載明</x:v>
      </x:c>
      <x:c r="P901" s="71" t="str">
        <x:v>HTML table 2 row 4</x:v>
      </x:c>
      <x:c r="Q901" s="71" t="str">
        <x:v>住址:新竹縣芎林鄉文明路57號</x:v>
      </x:c>
      <x:c r="R901" s="71" t="str">
        <x:v>各廠商合約&amp; 報價\MD檔案\20251204長陽企業-格來得鐵捲門報價單回傳.md</x:v>
      </x:c>
    </x:row>
    <x:row r="902">
      <x:c r="A902" s="69" t="str">
        <x:v>ITEM00898</x:v>
      </x:c>
      <x:c r="B902" s="69" t="str">
        <x:v>SRC058</x:v>
      </x:c>
      <x:c r="C902" s="69" t="str">
        <x:v>2025-2026</x:v>
      </x:c>
      <x:c r="D902" s="69" t="str">
        <x:v>detail</x:v>
      </x:c>
      <x:c r="E902" s="69" t="str">
        <x:v>文件未載明</x:v>
      </x:c>
      <x:c r="F902" s="71" t="str">
        <x:v>聯絡人:黃品欣 0938-649-292</x:v>
      </x:c>
      <x:c r="G902" s="71" t="str">
        <x:v>文件未載明</x:v>
      </x:c>
      <x:c r="H902" s="71" t="str">
        <x:v>文件未載明</x:v>
      </x:c>
      <x:c r="I902" s="72"/>
      <x:c r="J902" s="69" t="str">
        <x:v>文件未載明</x:v>
      </x:c>
      <x:c r="K902" s="70"/>
      <x:c r="L902" s="69" t="str">
        <x:v>文件未載明</x:v>
      </x:c>
      <x:c r="M902" s="70"/>
      <x:c r="N902" s="69" t="str">
        <x:v>文件未載明</x:v>
      </x:c>
      <x:c r="O902" s="71" t="str">
        <x:v>文件未載明</x:v>
      </x:c>
      <x:c r="P902" s="71" t="str">
        <x:v>HTML table 2 row 5</x:v>
      </x:c>
      <x:c r="Q902" s="71" t="str">
        <x:v>聯絡人:黃品欣 0938-649-292</x:v>
      </x:c>
      <x:c r="R902" s="71" t="str">
        <x:v>各廠商合約&amp; 報價\MD檔案\20251204長陽企業-格來得鐵捲門報價單回傳.md</x:v>
      </x:c>
    </x:row>
    <x:row r="903">
      <x:c r="A903" s="69" t="str">
        <x:v>ITEM00899</x:v>
      </x:c>
      <x:c r="B903" s="69" t="str">
        <x:v>SRC059</x:v>
      </x:c>
      <x:c r="C903" s="69" t="str">
        <x:v>2025-2026</x:v>
      </x:c>
      <x:c r="D903" s="69" t="str">
        <x:v>header</x:v>
      </x:c>
      <x:c r="E903" s="69" t="str">
        <x:v>項次</x:v>
      </x:c>
      <x:c r="F903" s="71" t="str">
        <x:v>工程名稱</x:v>
      </x:c>
      <x:c r="G903" s="71" t="str">
        <x:v>文件未載明</x:v>
      </x:c>
      <x:c r="H903" s="71" t="str">
        <x:v>單位</x:v>
      </x:c>
      <x:c r="I903" s="72"/>
      <x:c r="J903" s="69" t="str">
        <x:v>數量</x:v>
      </x:c>
      <x:c r="K903" s="70"/>
      <x:c r="L903" s="69" t="str">
        <x:v>單價</x:v>
      </x:c>
      <x:c r="M903" s="70"/>
      <x:c r="N903" s="69" t="str">
        <x:v>金額</x:v>
      </x:c>
      <x:c r="O903" s="71" t="str">
        <x:v>備註說明</x:v>
      </x:c>
      <x:c r="P903" s="71" t="str">
        <x:v>HTML table 1 row 1</x:v>
      </x:c>
      <x:c r="Q903" s="71" t="str">
        <x:v>項次 | 工程名稱 | 單位 | 數量 | 單價 | 金額 | 備註說明</x:v>
      </x:c>
      <x:c r="R903" s="71" t="str">
        <x:v>各廠商合約&amp; 報價\MD檔案\20251205上順家-壓花地坪報價單回傳.md</x:v>
      </x:c>
    </x:row>
    <x:row r="904">
      <x:c r="A904" s="69" t="str">
        <x:v>ITEM00900</x:v>
      </x:c>
      <x:c r="B904" s="69" t="str">
        <x:v>SRC059</x:v>
      </x:c>
      <x:c r="C904" s="69" t="str">
        <x:v>2025-2026</x:v>
      </x:c>
      <x:c r="D904" s="69" t="str">
        <x:v>detail</x:v>
      </x:c>
      <x:c r="E904" s="69" t="str">
        <x:v>1.</x:v>
      </x:c>
      <x:c r="F904" s="71" t="str">
        <x:v>彩石硬化料(金鋼砂)</x:v>
      </x:c>
      <x:c r="G904" s="71" t="str">
        <x:v>文件未載明</x:v>
      </x:c>
      <x:c r="H904" s="71" t="str">
        <x:v>M2</x:v>
      </x:c>
      <x:c r="I904" s="72"/>
      <x:c r="J904" s="69" t="str">
        <x:v>文件未載明</x:v>
      </x:c>
      <x:c r="K904" s="70"/>
      <x:c r="L904" s="69" t="str">
        <x:v>文件未載明</x:v>
      </x:c>
      <x:c r="M904" s="70"/>
      <x:c r="N904" s="69" t="str">
        <x:v>文件未載明</x:v>
      </x:c>
      <x:c r="O904" s="71" t="str">
        <x:v>3kg/1m2. 數量:約160㎡</x:v>
      </x:c>
      <x:c r="P904" s="71" t="str">
        <x:v>HTML table 1 row 2</x:v>
      </x:c>
      <x:c r="Q904" s="71" t="str">
        <x:v>1. | 彩石硬化料(金鋼砂) | M2 | | | | 3kg/1m2. 數量:約160㎡</x:v>
      </x:c>
      <x:c r="R904" s="71" t="str">
        <x:v>各廠商合約&amp; 報價\MD檔案\20251205上順家-壓花地坪報價單回傳.md</x:v>
      </x:c>
    </x:row>
    <x:row r="905">
      <x:c r="A905" s="69" t="str">
        <x:v>ITEM00901</x:v>
      </x:c>
      <x:c r="B905" s="69" t="str">
        <x:v>SRC059</x:v>
      </x:c>
      <x:c r="C905" s="69" t="str">
        <x:v>2025-2026</x:v>
      </x:c>
      <x:c r="D905" s="69" t="str">
        <x:v>detail</x:v>
      </x:c>
      <x:c r="E905" s="69" t="str">
        <x:v>2.</x:v>
      </x:c>
      <x:c r="F905" s="71" t="str">
        <x:v>脱膜粉</x:v>
      </x:c>
      <x:c r="G905" s="71" t="str">
        <x:v>文件未載明</x:v>
      </x:c>
      <x:c r="H905" s="71" t="str">
        <x:v>M2</x:v>
      </x:c>
      <x:c r="I905" s="72"/>
      <x:c r="J905" s="69" t="str">
        <x:v>文件未載明</x:v>
      </x:c>
      <x:c r="K905" s="70"/>
      <x:c r="L905" s="69" t="str">
        <x:v>文件未載明</x:v>
      </x:c>
      <x:c r="M905" s="70"/>
      <x:c r="N905" s="69" t="str">
        <x:v>文件未載明</x:v>
      </x:c>
      <x:c r="O905" s="71" t="str">
        <x:v>文件未載明</x:v>
      </x:c>
      <x:c r="P905" s="71" t="str">
        <x:v>HTML table 1 row 3</x:v>
      </x:c>
      <x:c r="Q905" s="71" t="str">
        <x:v>2. | 脱膜粉 | M2 | | | |</x:v>
      </x:c>
      <x:c r="R905" s="71" t="str">
        <x:v>各廠商合約&amp; 報價\MD檔案\20251205上順家-壓花地坪報價單回傳.md</x:v>
      </x:c>
    </x:row>
    <x:row r="906">
      <x:c r="A906" s="69" t="str">
        <x:v>ITEM00902</x:v>
      </x:c>
      <x:c r="B906" s="69" t="str">
        <x:v>SRC059</x:v>
      </x:c>
      <x:c r="C906" s="69" t="str">
        <x:v>2025-2026</x:v>
      </x:c>
      <x:c r="D906" s="69" t="str">
        <x:v>detail</x:v>
      </x:c>
      <x:c r="E906" s="69" t="str">
        <x:v>3.</x:v>
      </x:c>
      <x:c r="F906" s="71" t="str">
        <x:v>封面劑</x:v>
      </x:c>
      <x:c r="G906" s="71" t="str">
        <x:v>文件未載明</x:v>
      </x:c>
      <x:c r="H906" s="71" t="str">
        <x:v>M2</x:v>
      </x:c>
      <x:c r="I906" s="72"/>
      <x:c r="J906" s="69" t="str">
        <x:v>文件未載明</x:v>
      </x:c>
      <x:c r="K906" s="70" t="n">
        <x:v>280</x:v>
      </x:c>
      <x:c r="L906" s="69" t="str">
        <x:v>280</x:v>
      </x:c>
      <x:c r="M906" s="70"/>
      <x:c r="N906" s="69" t="str">
        <x:v>文件未載明</x:v>
      </x:c>
      <x:c r="O906" s="71" t="str">
        <x:v>文件未載明</x:v>
      </x:c>
      <x:c r="P906" s="71" t="str">
        <x:v>HTML table 1 row 4</x:v>
      </x:c>
      <x:c r="Q906" s="71" t="str">
        <x:v>3. | 封面劑 | M2 | | 280 | |</x:v>
      </x:c>
      <x:c r="R906" s="71" t="str">
        <x:v>各廠商合約&amp; 報價\MD檔案\20251205上順家-壓花地坪報價單回傳.md</x:v>
      </x:c>
    </x:row>
    <x:row r="907">
      <x:c r="A907" s="69" t="str">
        <x:v>ITEM00903</x:v>
      </x:c>
      <x:c r="B907" s="69" t="str">
        <x:v>SRC059</x:v>
      </x:c>
      <x:c r="C907" s="69" t="str">
        <x:v>2025-2026</x:v>
      </x:c>
      <x:c r="D907" s="69" t="str">
        <x:v>detail</x:v>
      </x:c>
      <x:c r="E907" s="69" t="str">
        <x:v>4.</x:v>
      </x:c>
      <x:c r="F907" s="71" t="str">
        <x:v>壓模施工工資</x:v>
      </x:c>
      <x:c r="G907" s="71" t="str">
        <x:v>文件未載明</x:v>
      </x:c>
      <x:c r="H907" s="71" t="str">
        <x:v>M2</x:v>
      </x:c>
      <x:c r="I907" s="72"/>
      <x:c r="J907" s="69" t="str">
        <x:v>文件未載明</x:v>
      </x:c>
      <x:c r="K907" s="70"/>
      <x:c r="L907" s="69" t="str">
        <x:v>文件未載明</x:v>
      </x:c>
      <x:c r="M907" s="70"/>
      <x:c r="N907" s="69" t="str">
        <x:v>文件未載明</x:v>
      </x:c>
      <x:c r="O907" s="71" t="str">
        <x:v>文件未載明</x:v>
      </x:c>
      <x:c r="P907" s="71" t="str">
        <x:v>HTML table 1 row 5</x:v>
      </x:c>
      <x:c r="Q907" s="71" t="str">
        <x:v>4. | 壓模施工工資 | M2 | | | |</x:v>
      </x:c>
      <x:c r="R907" s="71" t="str">
        <x:v>各廠商合約&amp; 報價\MD檔案\20251205上順家-壓花地坪報價單回傳.md</x:v>
      </x:c>
    </x:row>
    <x:row r="908">
      <x:c r="A908" s="69" t="str">
        <x:v>ITEM00904</x:v>
      </x:c>
      <x:c r="B908" s="69" t="str">
        <x:v>SRC059</x:v>
      </x:c>
      <x:c r="C908" s="69" t="str">
        <x:v>2025-2026</x:v>
      </x:c>
      <x:c r="D908" s="69" t="str">
        <x:v>detail</x:v>
      </x:c>
      <x:c r="E908" s="69" t="str">
        <x:v>5.</x:v>
      </x:c>
      <x:c r="F908" s="71" t="str">
        <x:v>清洗養護</x:v>
      </x:c>
      <x:c r="G908" s="71" t="str">
        <x:v>文件未載明</x:v>
      </x:c>
      <x:c r="H908" s="71" t="str">
        <x:v>M2</x:v>
      </x:c>
      <x:c r="I908" s="72"/>
      <x:c r="J908" s="69" t="str">
        <x:v>文件未載明</x:v>
      </x:c>
      <x:c r="K908" s="70"/>
      <x:c r="L908" s="69" t="str">
        <x:v>文件未載明</x:v>
      </x:c>
      <x:c r="M908" s="70"/>
      <x:c r="N908" s="69" t="str">
        <x:v>文件未載明</x:v>
      </x:c>
      <x:c r="O908" s="71" t="str">
        <x:v>文件未載明</x:v>
      </x:c>
      <x:c r="P908" s="71" t="str">
        <x:v>HTML table 1 row 6</x:v>
      </x:c>
      <x:c r="Q908" s="71" t="str">
        <x:v>5. | 清洗養護 | M2 | | | |</x:v>
      </x:c>
      <x:c r="R908" s="71" t="str">
        <x:v>各廠商合約&amp; 報價\MD檔案\20251205上順家-壓花地坪報價單回傳.md</x:v>
      </x:c>
    </x:row>
    <x:row r="909">
      <x:c r="A909" s="69" t="str">
        <x:v>ITEM00905</x:v>
      </x:c>
      <x:c r="B909" s="69" t="str">
        <x:v>SRC059</x:v>
      </x:c>
      <x:c r="C909" s="69" t="str">
        <x:v>2025-2026</x:v>
      </x:c>
      <x:c r="D909" s="69" t="str">
        <x:v>detail</x:v>
      </x:c>
      <x:c r="E909" s="69" t="str">
        <x:v>6.</x:v>
      </x:c>
      <x:c r="F909" s="71" t="str">
        <x:v>文件未載明</x:v>
      </x:c>
      <x:c r="G909" s="71" t="str">
        <x:v>文件未載明</x:v>
      </x:c>
      <x:c r="H909" s="71" t="str">
        <x:v>文件未載明</x:v>
      </x:c>
      <x:c r="I909" s="72"/>
      <x:c r="J909" s="69" t="str">
        <x:v>文件未載明</x:v>
      </x:c>
      <x:c r="K909" s="70"/>
      <x:c r="L909" s="69" t="str">
        <x:v>文件未載明</x:v>
      </x:c>
      <x:c r="M909" s="70"/>
      <x:c r="N909" s="69" t="str">
        <x:v>文件未載明</x:v>
      </x:c>
      <x:c r="O909" s="71" t="str">
        <x:v>文件未載明</x:v>
      </x:c>
      <x:c r="P909" s="71" t="str">
        <x:v>HTML table 1 row 7</x:v>
      </x:c>
      <x:c r="Q909" s="71" t="str">
        <x:v>6. | | | | | |</x:v>
      </x:c>
      <x:c r="R909" s="71" t="str">
        <x:v>各廠商合約&amp; 報價\MD檔案\20251205上順家-壓花地坪報價單回傳.md</x:v>
      </x:c>
    </x:row>
    <x:row r="910">
      <x:c r="A910" s="69" t="str">
        <x:v>ITEM00906</x:v>
      </x:c>
      <x:c r="B910" s="69" t="str">
        <x:v>SRC059</x:v>
      </x:c>
      <x:c r="C910" s="69" t="str">
        <x:v>2025-2026</x:v>
      </x:c>
      <x:c r="D910" s="69" t="str">
        <x:v>detail</x:v>
      </x:c>
      <x:c r="E910" s="69" t="str">
        <x:v>7.</x:v>
      </x:c>
      <x:c r="F910" s="71" t="str">
        <x:v>文件未載明</x:v>
      </x:c>
      <x:c r="G910" s="71" t="str">
        <x:v>文件未載明</x:v>
      </x:c>
      <x:c r="H910" s="71" t="str">
        <x:v>文件未載明</x:v>
      </x:c>
      <x:c r="I910" s="72"/>
      <x:c r="J910" s="69" t="str">
        <x:v>文件未載明</x:v>
      </x:c>
      <x:c r="K910" s="70"/>
      <x:c r="L910" s="69" t="str">
        <x:v>文件未載明</x:v>
      </x:c>
      <x:c r="M910" s="70"/>
      <x:c r="N910" s="69" t="str">
        <x:v>文件未載明</x:v>
      </x:c>
      <x:c r="O910" s="71" t="str">
        <x:v>文件未載明</x:v>
      </x:c>
      <x:c r="P910" s="71" t="str">
        <x:v>HTML table 1 row 8</x:v>
      </x:c>
      <x:c r="Q910" s="71" t="str">
        <x:v>7. | | | | | |</x:v>
      </x:c>
      <x:c r="R910" s="71" t="str">
        <x:v>各廠商合約&amp; 報價\MD檔案\20251205上順家-壓花地坪報價單回傳.md</x:v>
      </x:c>
    </x:row>
    <x:row r="911">
      <x:c r="A911" s="69" t="str">
        <x:v>ITEM00907</x:v>
      </x:c>
      <x:c r="B911" s="69" t="str">
        <x:v>SRC059</x:v>
      </x:c>
      <x:c r="C911" s="69" t="str">
        <x:v>2025-2026</x:v>
      </x:c>
      <x:c r="D911" s="69" t="str">
        <x:v>detail</x:v>
      </x:c>
      <x:c r="E911" s="69" t="str">
        <x:v>8.</x:v>
      </x:c>
      <x:c r="F911" s="71" t="str">
        <x:v>文件未載明</x:v>
      </x:c>
      <x:c r="G911" s="71" t="str">
        <x:v>文件未載明</x:v>
      </x:c>
      <x:c r="H911" s="71" t="str">
        <x:v>文件未載明</x:v>
      </x:c>
      <x:c r="I911" s="72"/>
      <x:c r="J911" s="69" t="str">
        <x:v>文件未載明</x:v>
      </x:c>
      <x:c r="K911" s="70"/>
      <x:c r="L911" s="69" t="str">
        <x:v>文件未載明</x:v>
      </x:c>
      <x:c r="M911" s="70"/>
      <x:c r="N911" s="69" t="str">
        <x:v>文件未載明</x:v>
      </x:c>
      <x:c r="O911" s="71" t="str">
        <x:v>文件未載明</x:v>
      </x:c>
      <x:c r="P911" s="71" t="str">
        <x:v>HTML table 1 row 9</x:v>
      </x:c>
      <x:c r="Q911" s="71" t="str">
        <x:v>8. | | | | | |</x:v>
      </x:c>
      <x:c r="R911" s="71" t="str">
        <x:v>各廠商合約&amp; 報價\MD檔案\20251205上順家-壓花地坪報價單回傳.md</x:v>
      </x:c>
    </x:row>
    <x:row r="912">
      <x:c r="A912" s="69" t="str">
        <x:v>ITEM00908</x:v>
      </x:c>
      <x:c r="B912" s="69" t="str">
        <x:v>SRC059</x:v>
      </x:c>
      <x:c r="C912" s="69" t="str">
        <x:v>2025-2026</x:v>
      </x:c>
      <x:c r="D912" s="69" t="str">
        <x:v>detail</x:v>
      </x:c>
      <x:c r="E912" s="69" t="str">
        <x:v>9.</x:v>
      </x:c>
      <x:c r="F912" s="71" t="str">
        <x:v>文件未載明</x:v>
      </x:c>
      <x:c r="G912" s="71" t="str">
        <x:v>文件未載明</x:v>
      </x:c>
      <x:c r="H912" s="71" t="str">
        <x:v>文件未載明</x:v>
      </x:c>
      <x:c r="I912" s="72"/>
      <x:c r="J912" s="69" t="str">
        <x:v>文件未載明</x:v>
      </x:c>
      <x:c r="K912" s="70"/>
      <x:c r="L912" s="69" t="str">
        <x:v>文件未載明</x:v>
      </x:c>
      <x:c r="M912" s="70"/>
      <x:c r="N912" s="69" t="str">
        <x:v>文件未載明</x:v>
      </x:c>
      <x:c r="O912" s="71" t="str">
        <x:v>文件未載明</x:v>
      </x:c>
      <x:c r="P912" s="71" t="str">
        <x:v>HTML table 1 row 10</x:v>
      </x:c>
      <x:c r="Q912" s="71" t="str">
        <x:v>9. | | | | | |</x:v>
      </x:c>
      <x:c r="R912" s="71" t="str">
        <x:v>各廠商合約&amp; 報價\MD檔案\20251205上順家-壓花地坪報價單回傳.md</x:v>
      </x:c>
    </x:row>
    <x:row r="913">
      <x:c r="A913" s="69" t="str">
        <x:v>ITEM00909</x:v>
      </x:c>
      <x:c r="B913" s="69" t="str">
        <x:v>SRC059</x:v>
      </x:c>
      <x:c r="C913" s="69" t="str">
        <x:v>2025-2026</x:v>
      </x:c>
      <x:c r="D913" s="69" t="str">
        <x:v>detail</x:v>
      </x:c>
      <x:c r="E913" s="69" t="str">
        <x:v>10.</x:v>
      </x:c>
      <x:c r="F913" s="71" t="str">
        <x:v>文件未載明</x:v>
      </x:c>
      <x:c r="G913" s="71" t="str">
        <x:v>文件未載明</x:v>
      </x:c>
      <x:c r="H913" s="71" t="str">
        <x:v>文件未載明</x:v>
      </x:c>
      <x:c r="I913" s="72"/>
      <x:c r="J913" s="69" t="str">
        <x:v>文件未載明</x:v>
      </x:c>
      <x:c r="K913" s="70"/>
      <x:c r="L913" s="69" t="str">
        <x:v>文件未載明</x:v>
      </x:c>
      <x:c r="M913" s="70"/>
      <x:c r="N913" s="69" t="str">
        <x:v>文件未載明</x:v>
      </x:c>
      <x:c r="O913" s="71" t="str">
        <x:v>文件未載明</x:v>
      </x:c>
      <x:c r="P913" s="71" t="str">
        <x:v>HTML table 1 row 11</x:v>
      </x:c>
      <x:c r="Q913" s="71" t="str">
        <x:v>10. | | | | | |</x:v>
      </x:c>
      <x:c r="R913" s="71" t="str">
        <x:v>各廠商合約&amp; 報價\MD檔案\20251205上順家-壓花地坪報價單回傳.md</x:v>
      </x:c>
    </x:row>
    <x:row r="914">
      <x:c r="A914" s="69" t="str">
        <x:v>ITEM00910</x:v>
      </x:c>
      <x:c r="B914" s="69" t="str">
        <x:v>SRC059</x:v>
      </x:c>
      <x:c r="C914" s="69" t="str">
        <x:v>2025-2026</x:v>
      </x:c>
      <x:c r="D914" s="69" t="str">
        <x:v>summary</x:v>
      </x:c>
      <x:c r="E914" s="69" t="str">
        <x:v>小計</x:v>
      </x:c>
      <x:c r="F914" s="71" t="str">
        <x:v>文件未載明</x:v>
      </x:c>
      <x:c r="G914" s="71" t="str">
        <x:v>文件未載明</x:v>
      </x:c>
      <x:c r="H914" s="71" t="str">
        <x:v>文件未載明</x:v>
      </x:c>
      <x:c r="I914" s="72" t="n">
        <x:v>280</x:v>
      </x:c>
      <x:c r="J914" s="69" t="str">
        <x:v>280</x:v>
      </x:c>
      <x:c r="K914" s="70"/>
      <x:c r="L914" s="69" t="str">
        <x:v>文件未載明</x:v>
      </x:c>
      <x:c r="M914" s="70"/>
      <x:c r="N914" s="69" t="str">
        <x:v>文件未載明</x:v>
      </x:c>
      <x:c r="O914" s="71" t="str">
        <x:v>文件未載明</x:v>
      </x:c>
      <x:c r="P914" s="71" t="str">
        <x:v>HTML table 1 row 12</x:v>
      </x:c>
      <x:c r="Q914" s="71" t="str">
        <x:v>小計 | | | 280 | |</x:v>
      </x:c>
      <x:c r="R914" s="71" t="str">
        <x:v>各廠商合約&amp; 報價\MD檔案\20251205上順家-壓花地坪報價單回傳.md</x:v>
      </x:c>
    </x:row>
    <x:row r="915">
      <x:c r="A915" s="69" t="str">
        <x:v>ITEM00911</x:v>
      </x:c>
      <x:c r="B915" s="69" t="str">
        <x:v>SRC059</x:v>
      </x:c>
      <x:c r="C915" s="69" t="str">
        <x:v>2025-2026</x:v>
      </x:c>
      <x:c r="D915" s="69" t="str">
        <x:v>summary</x:v>
      </x:c>
      <x:c r="E915" s="69" t="str">
        <x:v>營業稅</x:v>
      </x:c>
      <x:c r="F915" s="71" t="str">
        <x:v>未稅</x:v>
      </x:c>
      <x:c r="G915" s="71" t="str">
        <x:v>文件未載明</x:v>
      </x:c>
      <x:c r="H915" s="71" t="str">
        <x:v>文件未載明</x:v>
      </x:c>
      <x:c r="I915" s="72"/>
      <x:c r="J915" s="69" t="str">
        <x:v>未稅</x:v>
      </x:c>
      <x:c r="K915" s="70"/>
      <x:c r="L915" s="69" t="str">
        <x:v>文件未載明</x:v>
      </x:c>
      <x:c r="M915" s="70"/>
      <x:c r="N915" s="69" t="str">
        <x:v>文件未載明</x:v>
      </x:c>
      <x:c r="O915" s="71" t="str">
        <x:v>文件未載明</x:v>
      </x:c>
      <x:c r="P915" s="71" t="str">
        <x:v>HTML table 1 row 13</x:v>
      </x:c>
      <x:c r="Q915" s="71" t="str">
        <x:v>營業稅 | | | 未稅 |</x:v>
      </x:c>
      <x:c r="R915" s="71" t="str">
        <x:v>各廠商合約&amp; 報價\MD檔案\20251205上順家-壓花地坪報價單回傳.md</x:v>
      </x:c>
    </x:row>
    <x:row r="916">
      <x:c r="A916" s="69" t="str">
        <x:v>ITEM00912</x:v>
      </x:c>
      <x:c r="B916" s="69" t="str">
        <x:v>SRC059</x:v>
      </x:c>
      <x:c r="C916" s="69" t="str">
        <x:v>2025-2026</x:v>
      </x:c>
      <x:c r="D916" s="69" t="str">
        <x:v>summary</x:v>
      </x:c>
      <x:c r="E916" s="69" t="str">
        <x:v>總合計</x:v>
      </x:c>
      <x:c r="F916" s="71" t="str">
        <x:v>文件未載明</x:v>
      </x:c>
      <x:c r="G916" s="71" t="str">
        <x:v>文件未載明</x:v>
      </x:c>
      <x:c r="H916" s="71" t="str">
        <x:v>文件未載明</x:v>
      </x:c>
      <x:c r="I916" s="72"/>
      <x:c r="J916" s="69" t="str">
        <x:v>文件未載明</x:v>
      </x:c>
      <x:c r="K916" s="70"/>
      <x:c r="L916" s="69" t="str">
        <x:v>文件未載明</x:v>
      </x:c>
      <x:c r="M916" s="70"/>
      <x:c r="N916" s="69" t="str">
        <x:v>文件未載明</x:v>
      </x:c>
      <x:c r="O916" s="71" t="str">
        <x:v>文件未載明</x:v>
      </x:c>
      <x:c r="P916" s="71" t="str">
        <x:v>HTML table 1 row 14</x:v>
      </x:c>
      <x:c r="Q916" s="71" t="str">
        <x:v>總合計 | | | |</x:v>
      </x:c>
      <x:c r="R916" s="71" t="str">
        <x:v>各廠商合約&amp; 報價\MD檔案\20251205上順家-壓花地坪報價單回傳.md</x:v>
      </x:c>
    </x:row>
    <x:row r="917">
      <x:c r="A917" s="69" t="str">
        <x:v>ITEM00913</x:v>
      </x:c>
      <x:c r="B917" s="69" t="str">
        <x:v>SRC059</x:v>
      </x:c>
      <x:c r="C917" s="69" t="str">
        <x:v>2025-2026</x:v>
      </x:c>
      <x:c r="D917" s="69" t="str">
        <x:v>summary</x:v>
      </x:c>
      <x:c r="E917" s="69" t="str">
        <x:v>報價說明: 1.本工程單價之付款方式:50%現金票50%30天期票、無保留款。2.以上單價不含5%營業稅。3.本工程計價依實際工程數量為準。4.本工程不含土尾、壓送、混凝土、點焊鋼絲網、標高、伸縮縫切割、垃圾清運。5.模具型式:人字型模具。6.顏色:S01色顏色乙方目錄為依據。7.以上報價為60天期限。</x:v>
      </x:c>
      <x:c r="F917" s="71" t="str">
        <x:v>文件未載明</x:v>
      </x:c>
      <x:c r="G917" s="71" t="str">
        <x:v>文件未載明</x:v>
      </x:c>
      <x:c r="H917" s="71" t="str">
        <x:v>文件未載明</x:v>
      </x:c>
      <x:c r="I917" s="72"/>
      <x:c r="J917" s="69" t="str">
        <x:v>文件未載明</x:v>
      </x:c>
      <x:c r="K917" s="70"/>
      <x:c r="L917" s="69" t="str">
        <x:v>文件未載明</x:v>
      </x:c>
      <x:c r="M917" s="70"/>
      <x:c r="N917" s="69" t="str">
        <x:v>文件未載明</x:v>
      </x:c>
      <x:c r="O917" s="71" t="str">
        <x:v>文件未載明</x:v>
      </x:c>
      <x:c r="P917" s="71" t="str">
        <x:v>HTML table 1 row 15</x:v>
      </x:c>
      <x:c r="Q917" s="71" t="str">
        <x:v>報價說明: 1.本工程單價之付款方式:50%現金票50%30天期票、無保留款。2.以上單價不含5%營業稅。3.本工程計價依實際工程數量為準。4.本工程不含土尾、壓送、混凝土、點焊鋼絲網、標高、伸縮縫切割、垃圾清運。5.模具型式:人字型模具。6.顏色:S01色顏色乙方目錄為依據。7.以上報價為60天期限。</x:v>
      </x:c>
      <x:c r="R917" s="71" t="str">
        <x:v>各廠商合約&amp; 報價\MD檔案\20251205上順家-壓花地坪報價單回傳.md</x:v>
      </x:c>
    </x:row>
    <x:row r="918">
      <x:c r="A918" s="69" t="str">
        <x:v>ITEM00914</x:v>
      </x:c>
      <x:c r="B918" s="69" t="str">
        <x:v>SRC060</x:v>
      </x:c>
      <x:c r="C918" s="69" t="str">
        <x:v>2025-2026</x:v>
      </x:c>
      <x:c r="D918" s="69" t="str">
        <x:v>header</x:v>
      </x:c>
      <x:c r="E918" s="69" t="str">
        <x:v>項目</x:v>
      </x:c>
      <x:c r="F918" s="71" t="str">
        <x:v>項目</x:v>
      </x:c>
      <x:c r="G918" s="71" t="str">
        <x:v>文件未載明</x:v>
      </x:c>
      <x:c r="H918" s="71" t="str">
        <x:v>文件未載明</x:v>
      </x:c>
      <x:c r="I918" s="72"/>
      <x:c r="J918" s="69" t="str">
        <x:v>數量</x:v>
      </x:c>
      <x:c r="K918" s="70"/>
      <x:c r="L918" s="69" t="str">
        <x:v>單價</x:v>
      </x:c>
      <x:c r="M918" s="70"/>
      <x:c r="N918" s="69" t="str">
        <x:v>總價</x:v>
      </x:c>
      <x:c r="O918" s="71" t="str">
        <x:v>文件未載明</x:v>
      </x:c>
      <x:c r="P918" s="71" t="str">
        <x:v>HTML table 1 row 1</x:v>
      </x:c>
      <x:c r="Q918" s="71" t="str">
        <x:v>項目 | 數量 | 單價 | 總價</x:v>
      </x:c>
      <x:c r="R918" s="71" t="str">
        <x:v>各廠商合約&amp; 報價\MD檔案\20251211浩森-細清報價單回傳.md</x:v>
      </x:c>
    </x:row>
    <x:row r="919">
      <x:c r="A919" s="69" t="str">
        <x:v>ITEM00915</x:v>
      </x:c>
      <x:c r="B919" s="69" t="str">
        <x:v>SRC060</x:v>
      </x:c>
      <x:c r="C919" s="69" t="str">
        <x:v>2025-2026</x:v>
      </x:c>
      <x:c r="D919" s="69" t="str">
        <x:v>detail</x:v>
      </x:c>
      <x:c r="E919" s="69" t="str">
        <x:v>1。交屋細清+公設清潔</x:v>
      </x:c>
      <x:c r="F919" s="71" t="str">
        <x:v>1。交屋細清+公設清潔</x:v>
      </x:c>
      <x:c r="G919" s="71" t="str">
        <x:v>文件未載明</x:v>
      </x:c>
      <x:c r="H919" s="71" t="str">
        <x:v>文件未載明</x:v>
      </x:c>
      <x:c r="I919" s="72"/>
      <x:c r="J919" s="69" t="str">
        <x:v>文件未載明</x:v>
      </x:c>
      <x:c r="K919" s="70" t="n">
        <x:v>72000</x:v>
      </x:c>
      <x:c r="L919" s="69" t="str">
        <x:v>$72000</x:v>
      </x:c>
      <x:c r="M919" s="70" t="n">
        <x:v>72000</x:v>
      </x:c>
      <x:c r="N919" s="69" t="str">
        <x:v>$72000</x:v>
      </x:c>
      <x:c r="O919" s="71" t="str">
        <x:v>文件未載明</x:v>
      </x:c>
      <x:c r="P919" s="71" t="str">
        <x:v>HTML table 1 row 2</x:v>
      </x:c>
      <x:c r="Q919" s="71" t="str">
        <x:v>1。交屋細清+公設清潔 | | $72000 | $72000</x:v>
      </x:c>
      <x:c r="R919" s="71" t="str">
        <x:v>各廠商合約&amp; 報價\MD檔案\20251211浩森-細清報價單回傳.md</x:v>
      </x:c>
    </x:row>
    <x:row r="920">
      <x:c r="A920" s="69" t="str">
        <x:v>ITEM00916</x:v>
      </x:c>
      <x:c r="B920" s="69" t="str">
        <x:v>SRC060</x:v>
      </x:c>
      <x:c r="C920" s="69" t="str">
        <x:v>2025-2026</x:v>
      </x:c>
      <x:c r="D920" s="69" t="str">
        <x:v>detail</x:v>
      </x:c>
      <x:c r="E920" s="69" t="str">
        <x:v>派工人數:4~6人</x:v>
      </x:c>
      <x:c r="F920" s="71" t="str">
        <x:v>派工人數:4~6人</x:v>
      </x:c>
      <x:c r="G920" s="71" t="str">
        <x:v>文件未載明</x:v>
      </x:c>
      <x:c r="H920" s="71" t="str">
        <x:v>文件未載明</x:v>
      </x:c>
      <x:c r="I920" s="72"/>
      <x:c r="J920" s="69" t="str">
        <x:v>文件未載明</x:v>
      </x:c>
      <x:c r="K920" s="70"/>
      <x:c r="L920" s="69" t="str">
        <x:v>文件未載明</x:v>
      </x:c>
      <x:c r="M920" s="70"/>
      <x:c r="N920" s="69" t="str">
        <x:v>文件未載明</x:v>
      </x:c>
      <x:c r="O920" s="71" t="str">
        <x:v>文件未載明</x:v>
      </x:c>
      <x:c r="P920" s="71" t="str">
        <x:v>HTML table 1 row 3</x:v>
      </x:c>
      <x:c r="Q920" s="71" t="str">
        <x:v>派工人數:4~6人</x:v>
      </x:c>
      <x:c r="R920" s="71" t="str">
        <x:v>各廠商合約&amp; 報價\MD檔案\20251211浩森-細清報價單回傳.md</x:v>
      </x:c>
    </x:row>
    <x:row r="921">
      <x:c r="A921" s="69" t="str">
        <x:v>ITEM00917</x:v>
      </x:c>
      <x:c r="B921" s="69" t="str">
        <x:v>SRC060</x:v>
      </x:c>
      <x:c r="C921" s="69" t="str">
        <x:v>2025-2026</x:v>
      </x:c>
      <x:c r="D921" s="69" t="str">
        <x:v>detail</x:v>
      </x:c>
      <x:c r="E921" s="69" t="str">
        <x:v>入場日期:12/17~20</x:v>
      </x:c>
      <x:c r="F921" s="71" t="str">
        <x:v>入場日期:12/17~20</x:v>
      </x:c>
      <x:c r="G921" s="71" t="str">
        <x:v>文件未載明</x:v>
      </x:c>
      <x:c r="H921" s="71" t="str">
        <x:v>文件未載明</x:v>
      </x:c>
      <x:c r="I921" s="72"/>
      <x:c r="J921" s="69" t="str">
        <x:v>文件未載明</x:v>
      </x:c>
      <x:c r="K921" s="70"/>
      <x:c r="L921" s="69" t="str">
        <x:v>文件未載明</x:v>
      </x:c>
      <x:c r="M921" s="70"/>
      <x:c r="N921" s="69" t="str">
        <x:v>文件未載明</x:v>
      </x:c>
      <x:c r="O921" s="71" t="str">
        <x:v>文件未載明</x:v>
      </x:c>
      <x:c r="P921" s="71" t="str">
        <x:v>HTML table 1 row 4</x:v>
      </x:c>
      <x:c r="Q921" s="71" t="str">
        <x:v>入場日期:12/17~20</x:v>
      </x:c>
      <x:c r="R921" s="71" t="str">
        <x:v>各廠商合約&amp; 報價\MD檔案\20251211浩森-細清報價單回傳.md</x:v>
      </x:c>
    </x:row>
    <x:row r="922">
      <x:c r="A922" s="69" t="str">
        <x:v>ITEM00918</x:v>
      </x:c>
      <x:c r="B922" s="69" t="str">
        <x:v>SRC060</x:v>
      </x:c>
      <x:c r="C922" s="69" t="str">
        <x:v>2025-2026</x:v>
      </x:c>
      <x:c r="D922" s="69" t="str">
        <x:v>summary</x:v>
      </x:c>
      <x:c r="E922" s="69" t="str">
        <x:v>文件未載明</x:v>
      </x:c>
      <x:c r="F922" s="71" t="str">
        <x:v>總報價金額</x:v>
      </x:c>
      <x:c r="G922" s="71" t="str">
        <x:v>文件未載明</x:v>
      </x:c>
      <x:c r="H922" s="71" t="str">
        <x:v>文件未載明</x:v>
      </x:c>
      <x:c r="I922" s="72"/>
      <x:c r="J922" s="69" t="str">
        <x:v>總報價金額</x:v>
      </x:c>
      <x:c r="K922" s="70" t="n">
        <x:v>72000</x:v>
      </x:c>
      <x:c r="L922" s="69" t="str">
        <x:v>$72000(含稅)</x:v>
      </x:c>
      <x:c r="M922" s="70"/>
      <x:c r="N922" s="69" t="str">
        <x:v>文件未載明</x:v>
      </x:c>
      <x:c r="O922" s="71" t="str">
        <x:v>文件未載明</x:v>
      </x:c>
      <x:c r="P922" s="71" t="str">
        <x:v>HTML table 1 row 5</x:v>
      </x:c>
      <x:c r="Q922" s="71" t="str">
        <x:v>| 總報價金額 | $72000(含稅)</x:v>
      </x:c>
      <x:c r="R922" s="71" t="str">
        <x:v>各廠商合約&amp; 報價\MD檔案\20251211浩森-細清報價單回傳.md</x:v>
      </x:c>
    </x:row>
    <x:row r="923">
      <x:c r="A923" s="69" t="str">
        <x:v>ITEM00919</x:v>
      </x:c>
      <x:c r="B923" s="69" t="str">
        <x:v>SRC060</x:v>
      </x:c>
      <x:c r="C923" s="69" t="str">
        <x:v>2025-2026</x:v>
      </x:c>
      <x:c r="D923" s="69" t="str">
        <x:v>detail</x:v>
      </x:c>
      <x:c r="E923" s="69" t="str">
        <x:v>室內清潔內容天花板牆面除塵全室地板除塵除膠清潔窗戶落地門窗玻璃窗溝窗框除塵除膠清洗全室房門大門關關除塵擦拭清潔</x:v>
      </x:c>
      <x:c r="F923" s="71" t="str">
        <x:v>室內清潔內容天花板牆面除塵全室地板除塵除膠清潔窗戶落地門窗玻璃窗溝窗框除塵除膠清洗全室房門大門關關除塵擦拭清潔</x:v>
      </x:c>
      <x:c r="G923" s="71" t="str">
        <x:v>文件未載明</x:v>
      </x:c>
      <x:c r="H923" s="71" t="str">
        <x:v>文件未載明</x:v>
      </x:c>
      <x:c r="I923" s="72"/>
      <x:c r="J923" s="69" t="str">
        <x:v>廁所馬桶洗手台牆面地板清洗廚房樹框洗手台抽油煙機瓦斯爐除塵清潔陽台磁磚地板玻璃欄杆清洗變電箱吸塵</x:v>
      </x:c>
      <x:c r="K923" s="70"/>
      <x:c r="L923" s="69" t="str">
        <x:v>公設清潔內容樓梯+扶手除塵清潔機械車位除塵清潔電梯內外除塵清潔梯口磁磚地板清潔公設陽台地板玻璃欄杆清洗安全門開關除塵擦拭清潔</x:v>
      </x:c>
      <x:c r="M923" s="70"/>
      <x:c r="N923" s="69" t="str">
        <x:v>窗戶以安全為主,若無法全開式窗戶則以內部清潔為主抽屉層板可拆卸皆會拆卸清潔內部木地板採微濕清潔(平板乾跑吸塵後微濕拖過)</x:v>
      </x:c>
      <x:c r="O923" s="71" t="str">
        <x:v>文件未載明</x:v>
      </x:c>
      <x:c r="P923" s="71" t="str">
        <x:v>HTML table 1 row 6</x:v>
      </x:c>
      <x:c r="Q923" s="71" t="str">
        <x:v>室內清潔內容天花板牆面除塵全室地板除塵除膠清潔窗戶落地門窗玻璃窗溝窗框除塵除膠清洗全室房門大門關關除塵擦拭清潔 | 廁所馬桶洗手台牆面地板清洗廚房樹框洗手台抽油煙機瓦斯爐除塵清潔陽台磁磚地板玻璃欄杆清洗變電箱吸塵 | 公設清潔內容樓梯+扶手除塵清潔機械車位除塵清潔電梯內外除塵清潔梯口磁磚地板清潔公設陽台地板玻璃欄杆清洗安全門開關除塵擦拭清潔 | 窗戶以安全為主,若無法全開式窗戶則以內部清潔為主抽屉層板可拆卸皆會拆卸清潔內部木地板採微濕清潔(平板乾跑吸塵後微濕拖過)</x:v>
      </x:c>
      <x:c r="R923" s="71" t="str">
        <x:v>各廠商合約&amp; 報價\MD檔案\20251211浩森-細清報價單回傳.md</x:v>
      </x:c>
    </x:row>
    <x:row r="924">
      <x:c r="A924" s="69" t="str">
        <x:v>ITEM00920</x:v>
      </x:c>
      <x:c r="B924" s="69" t="str">
        <x:v>SRC060</x:v>
      </x:c>
      <x:c r="C924" s="69" t="str">
        <x:v>2025-2026</x:v>
      </x:c>
      <x:c r="D924" s="69" t="str">
        <x:v>party</x:v>
      </x:c>
      <x:c r="E924" s="69" t="str">
        <x:v>戶名:浩森專業清潔工作室任守一銀行:台北富邦銀行012分行:北屯分行收款帳號:82110000426868匯款後請提供後五碼或轉帳明細以便對帳!</x:v>
      </x:c>
      <x:c r="F924" s="71" t="str">
        <x:v>戶名:浩森專業清潔工作室任守一銀行:台北富邦銀行012分行:北屯分行收款帳號:82110000426868匯款後請提供後五碼或轉帳明細以便對帳!</x:v>
      </x:c>
      <x:c r="G924" s="71" t="str">
        <x:v>文件未載明</x:v>
      </x:c>
      <x:c r="H924" s="71" t="str">
        <x:v>文件未載明</x:v>
      </x:c>
      <x:c r="I924" s="72" t="n">
        <x:v>94480447</x:v>
      </x:c>
      <x:c r="J924" s="69" t="str">
        <x:v>可開統一發票統一編號94480447LINE:@hs_clean9488電話:0975-268-055 (楊's)EMAIL: benywawayang@gmail.com</x:v>
      </x:c>
      <x:c r="K924" s="70"/>
      <x:c r="L924" s="69" t="str">
        <x:v>文件未載明</x:v>
      </x:c>
      <x:c r="M924" s="70"/>
      <x:c r="N924" s="69" t="str">
        <x:v>文件未載明</x:v>
      </x:c>
      <x:c r="O924" s="71" t="str">
        <x:v>文件未載明</x:v>
      </x:c>
      <x:c r="P924" s="71" t="str">
        <x:v>HTML table 1 row 7</x:v>
      </x:c>
      <x:c r="Q924" s="71" t="str">
        <x:v>戶名:浩森專業清潔工作室任守一銀行:台北富邦銀行012分行:北屯分行收款帳號:82110000426868匯款後請提供後五碼或轉帳明細以便對帳! | 可開統一發票統一編號94480447LINE:@hs_clean9488電話:0975-268-055 (楊's)EMAIL: benywawayang@gmail.com</x:v>
      </x:c>
      <x:c r="R924" s="71" t="str">
        <x:v>各廠商合約&amp; 報價\MD檔案\20251211浩森-細清報價單回傳.md</x:v>
      </x:c>
    </x:row>
    <x:row r="925">
      <x:c r="A925" s="69" t="str">
        <x:v>ITEM00921</x:v>
      </x:c>
      <x:c r="B925" s="69" t="str">
        <x:v>SRC061</x:v>
      </x:c>
      <x:c r="C925" s="69" t="str">
        <x:v>2025-2026</x:v>
      </x:c>
      <x:c r="D925" s="69" t="str">
        <x:v>party</x:v>
      </x:c>
      <x:c r="E925" s="69" t="str">
        <x:v>文件未載明</x:v>
      </x:c>
      <x:c r="F925" s="71" t="str">
        <x:v>公司名稱:向上建設股份有限公司</x:v>
      </x:c>
      <x:c r="G925" s="71" t="str">
        <x:v>文件未載明</x:v>
      </x:c>
      <x:c r="H925" s="71" t="str">
        <x:v>文件未載明</x:v>
      </x:c>
      <x:c r="I925" s="72"/>
      <x:c r="J925" s="69" t="str">
        <x:v>文件未載明</x:v>
      </x:c>
      <x:c r="K925" s="70"/>
      <x:c r="L925" s="69" t="str">
        <x:v>文件未載明</x:v>
      </x:c>
      <x:c r="M925" s="70"/>
      <x:c r="N925" s="69" t="str">
        <x:v>文件未載明</x:v>
      </x:c>
      <x:c r="O925" s="71" t="str">
        <x:v>文件未載明</x:v>
      </x:c>
      <x:c r="P925" s="71" t="str">
        <x:v>HTML table 1 row 1</x:v>
      </x:c>
      <x:c r="Q925" s="71" t="str">
        <x:v>公司名稱:向上建設股份有限公司 | 地址:苗栗縣竹南鎮中正路423號</x:v>
      </x:c>
      <x:c r="R925" s="71" t="str">
        <x:v>各廠商合約&amp; 報價\MD檔案\20251222TOTO-衛浴報價單回傳.md</x:v>
      </x:c>
    </x:row>
    <x:row r="926">
      <x:c r="A926" s="69" t="str">
        <x:v>ITEM00922</x:v>
      </x:c>
      <x:c r="B926" s="69" t="str">
        <x:v>SRC061</x:v>
      </x:c>
      <x:c r="C926" s="69" t="str">
        <x:v>2025-2026</x:v>
      </x:c>
      <x:c r="D926" s="69" t="str">
        <x:v>detail</x:v>
      </x:c>
      <x:c r="E926" s="69" t="str">
        <x:v>文件未載明</x:v>
      </x:c>
      <x:c r="F926" s="71" t="str">
        <x:v>案件名稱:</x:v>
      </x:c>
      <x:c r="G926" s="71" t="str">
        <x:v>文件未載明</x:v>
      </x:c>
      <x:c r="H926" s="71" t="str">
        <x:v>文件未載明</x:v>
      </x:c>
      <x:c r="I926" s="72"/>
      <x:c r="J926" s="69" t="str">
        <x:v>文件未載明</x:v>
      </x:c>
      <x:c r="K926" s="70"/>
      <x:c r="L926" s="69" t="str">
        <x:v>文件未載明</x:v>
      </x:c>
      <x:c r="M926" s="70"/>
      <x:c r="N926" s="69" t="str">
        <x:v>文件未載明</x:v>
      </x:c>
      <x:c r="O926" s="71" t="str">
        <x:v>文件未載明</x:v>
      </x:c>
      <x:c r="P926" s="71" t="str">
        <x:v>HTML table 1 row 2</x:v>
      </x:c>
      <x:c r="Q926" s="71" t="str">
        <x:v>案件名稱: | 電話:0932-695878</x:v>
      </x:c>
      <x:c r="R926" s="71" t="str">
        <x:v>各廠商合約&amp; 報價\MD檔案\20251222TOTO-衛浴報價單回傳.md</x:v>
      </x:c>
    </x:row>
    <x:row r="927">
      <x:c r="A927" s="69" t="str">
        <x:v>ITEM00923</x:v>
      </x:c>
      <x:c r="B927" s="69" t="str">
        <x:v>SRC061</x:v>
      </x:c>
      <x:c r="C927" s="69" t="str">
        <x:v>2025-2026</x:v>
      </x:c>
      <x:c r="D927" s="69" t="str">
        <x:v>detail</x:v>
      </x:c>
      <x:c r="E927" s="69" t="str">
        <x:v>文件未載明</x:v>
      </x:c>
      <x:c r="F927" s="71" t="str">
        <x:v>聯絡人:洪建豪先生</x:v>
      </x:c>
      <x:c r="G927" s="71" t="str">
        <x:v>文件未載明</x:v>
      </x:c>
      <x:c r="H927" s="71" t="str">
        <x:v>文件未載明</x:v>
      </x:c>
      <x:c r="I927" s="72"/>
      <x:c r="J927" s="69" t="str">
        <x:v>文件未載明</x:v>
      </x:c>
      <x:c r="K927" s="70"/>
      <x:c r="L927" s="69" t="str">
        <x:v>文件未載明</x:v>
      </x:c>
      <x:c r="M927" s="70"/>
      <x:c r="N927" s="69" t="str">
        <x:v>文件未載明</x:v>
      </x:c>
      <x:c r="O927" s="71" t="str">
        <x:v>文件未載明</x:v>
      </x:c>
      <x:c r="P927" s="71" t="str">
        <x:v>HTML table 1 row 3</x:v>
      </x:c>
      <x:c r="Q927" s="71" t="str">
        <x:v>聯絡人:洪建豪先生 | 傳真:</x:v>
      </x:c>
      <x:c r="R927" s="71" t="str">
        <x:v>各廠商合約&amp; 報價\MD檔案\20251222TOTO-衛浴報價單回傳.md</x:v>
      </x:c>
    </x:row>
    <x:row r="928">
      <x:c r="A928" s="69" t="str">
        <x:v>ITEM00924</x:v>
      </x:c>
      <x:c r="B928" s="69" t="str">
        <x:v>SRC061</x:v>
      </x:c>
      <x:c r="C928" s="69" t="str">
        <x:v>2025-2026</x:v>
      </x:c>
      <x:c r="D928" s="69" t="str">
        <x:v>header</x:v>
      </x:c>
      <x:c r="E928" s="69" t="str">
        <x:v>項次</x:v>
      </x:c>
      <x:c r="F928" s="71" t="str">
        <x:v>品名</x:v>
      </x:c>
      <x:c r="G928" s="71" t="str">
        <x:v>規格</x:v>
      </x:c>
      <x:c r="H928" s="71" t="str">
        <x:v>文件未載明</x:v>
      </x:c>
      <x:c r="I928" s="72"/>
      <x:c r="J928" s="69" t="str">
        <x:v>數量</x:v>
      </x:c>
      <x:c r="K928" s="70"/>
      <x:c r="L928" s="69" t="str">
        <x:v>單價</x:v>
      </x:c>
      <x:c r="M928" s="70"/>
      <x:c r="N928" s="69" t="str">
        <x:v>金額</x:v>
      </x:c>
      <x:c r="O928" s="71" t="str">
        <x:v>備註</x:v>
      </x:c>
      <x:c r="P928" s="71" t="str">
        <x:v>HTML table 1 row 4</x:v>
      </x:c>
      <x:c r="Q928" s="71" t="str">
        <x:v>項次 | 品名 | 規格 | 數量 | 單價 | 金額 | 備註</x:v>
      </x:c>
      <x:c r="R928" s="71" t="str">
        <x:v>各廠商合約&amp; 報價\MD檔案\20251222TOTO-衛浴報價單回傳.md</x:v>
      </x:c>
    </x:row>
    <x:row r="929">
      <x:c r="A929" s="69" t="str">
        <x:v>ITEM00925</x:v>
      </x:c>
      <x:c r="B929" s="69" t="str">
        <x:v>SRC061</x:v>
      </x:c>
      <x:c r="C929" s="69" t="str">
        <x:v>2025-2026</x:v>
      </x:c>
      <x:c r="D929" s="69" t="str">
        <x:v>detail</x:v>
      </x:c>
      <x:c r="E929" s="69" t="str">
        <x:v>1</x:v>
      </x:c>
      <x:c r="F929" s="71" t="str">
        <x:v>單體馬桶</x:v>
      </x:c>
      <x:c r="G929" s="71" t="str">
        <x:v>CW288SGUR</x:v>
      </x:c>
      <x:c r="H929" s="71" t="str">
        <x:v>文件未載明</x:v>
      </x:c>
      <x:c r="I929" s="72" t="n">
        <x:v>11</x:v>
      </x:c>
      <x:c r="J929" s="69" t="str">
        <x:v>11</x:v>
      </x:c>
      <x:c r="K929" s="70" t="n">
        <x:v>13620</x:v>
      </x:c>
      <x:c r="L929" s="69" t="str">
        <x:v>13,620</x:v>
      </x:c>
      <x:c r="M929" s="70" t="n">
        <x:v>149820</x:v>
      </x:c>
      <x:c r="N929" s="69" t="str">
        <x:v>149,820</x:v>
      </x:c>
      <x:c r="O929" s="71" t="str">
        <x:v>文件未載明</x:v>
      </x:c>
      <x:c r="P929" s="71" t="str">
        <x:v>HTML table 1 row 5</x:v>
      </x:c>
      <x:c r="Q929" s="71" t="str">
        <x:v>1 | 單體馬桶 | CW288SGUR | 11 | 13,620 | 149,820 |</x:v>
      </x:c>
      <x:c r="R929" s="71" t="str">
        <x:v>各廠商合約&amp; 報價\MD檔案\20251222TOTO-衛浴報價單回傳.md</x:v>
      </x:c>
    </x:row>
    <x:row r="930">
      <x:c r="A930" s="69" t="str">
        <x:v>ITEM00926</x:v>
      </x:c>
      <x:c r="B930" s="69" t="str">
        <x:v>SRC061</x:v>
      </x:c>
      <x:c r="C930" s="69" t="str">
        <x:v>2025-2026</x:v>
      </x:c>
      <x:c r="D930" s="69" t="str">
        <x:v>detail</x:v>
      </x:c>
      <x:c r="E930" s="69" t="str">
        <x:v>2</x:v>
      </x:c>
      <x:c r="F930" s="71" t="str">
        <x:v>單體馬桶</x:v>
      </x:c>
      <x:c r="G930" s="71" t="str">
        <x:v>CW889CDRTW</x:v>
      </x:c>
      <x:c r="H930" s="71" t="str">
        <x:v>文件未載明</x:v>
      </x:c>
      <x:c r="I930" s="72" t="n">
        <x:v>11</x:v>
      </x:c>
      <x:c r="J930" s="69" t="str">
        <x:v>11</x:v>
      </x:c>
      <x:c r="K930" s="70" t="n">
        <x:v>12300</x:v>
      </x:c>
      <x:c r="L930" s="69" t="str">
        <x:v>12,300</x:v>
      </x:c>
      <x:c r="M930" s="70" t="n">
        <x:v>135300</x:v>
      </x:c>
      <x:c r="N930" s="69" t="str">
        <x:v>135,300</x:v>
      </x:c>
      <x:c r="O930" s="71" t="str">
        <x:v>文件未載明</x:v>
      </x:c>
      <x:c r="P930" s="71" t="str">
        <x:v>HTML table 1 row 6</x:v>
      </x:c>
      <x:c r="Q930" s="71" t="str">
        <x:v>2 | 單體馬桶 | CW889CDRTW | 11 | 12,300 | 135,300 |</x:v>
      </x:c>
      <x:c r="R930" s="71" t="str">
        <x:v>各廠商合約&amp; 報價\MD檔案\20251222TOTO-衛浴報價單回傳.md</x:v>
      </x:c>
    </x:row>
    <x:row r="931">
      <x:c r="A931" s="69" t="str">
        <x:v>ITEM00927</x:v>
      </x:c>
      <x:c r="B931" s="69" t="str">
        <x:v>SRC061</x:v>
      </x:c>
      <x:c r="C931" s="69" t="str">
        <x:v>2025-2026</x:v>
      </x:c>
      <x:c r="D931" s="69" t="str">
        <x:v>detail</x:v>
      </x:c>
      <x:c r="E931" s="69" t="str">
        <x:v>3</x:v>
      </x:c>
      <x:c r="F931" s="71" t="str">
        <x:v>溫水洗淨便座</x:v>
      </x:c>
      <x:c r="G931" s="71" t="str">
        <x:v>TCF4911ETR</x:v>
      </x:c>
      <x:c r="H931" s="71" t="str">
        <x:v>文件未載明</x:v>
      </x:c>
      <x:c r="I931" s="72" t="n">
        <x:v>11</x:v>
      </x:c>
      <x:c r="J931" s="69" t="str">
        <x:v>11</x:v>
      </x:c>
      <x:c r="K931" s="70" t="n">
        <x:v>31410</x:v>
      </x:c>
      <x:c r="L931" s="69" t="str">
        <x:v>31,410</x:v>
      </x:c>
      <x:c r="M931" s="70" t="n">
        <x:v>345510</x:v>
      </x:c>
      <x:c r="N931" s="69" t="str">
        <x:v>345,510</x:v>
      </x:c>
      <x:c r="O931" s="71" t="str">
        <x:v>特惠價</x:v>
      </x:c>
      <x:c r="P931" s="71" t="str">
        <x:v>HTML table 1 row 7</x:v>
      </x:c>
      <x:c r="Q931" s="71" t="str">
        <x:v>3 | 溫水洗淨便座 | TCF4911ETR | 11 | 31,410 | 345,510 | 特惠價</x:v>
      </x:c>
      <x:c r="R931" s="71" t="str">
        <x:v>各廠商合約&amp; 報價\MD檔案\20251222TOTO-衛浴報價單回傳.md</x:v>
      </x:c>
    </x:row>
    <x:row r="932">
      <x:c r="A932" s="69" t="str">
        <x:v>ITEM00928</x:v>
      </x:c>
      <x:c r="B932" s="69" t="str">
        <x:v>SRC061</x:v>
      </x:c>
      <x:c r="C932" s="69" t="str">
        <x:v>2025-2026</x:v>
      </x:c>
      <x:c r="D932" s="69" t="str">
        <x:v>detail</x:v>
      </x:c>
      <x:c r="E932" s="69" t="str">
        <x:v>4</x:v>
      </x:c>
      <x:c r="F932" s="71" t="str">
        <x:v>溫水洗淨便座</x:v>
      </x:c>
      <x:c r="G932" s="71" t="str">
        <x:v>TCF23360ATW</x:v>
      </x:c>
      <x:c r="H932" s="71" t="str">
        <x:v>文件未載明</x:v>
      </x:c>
      <x:c r="I932" s="72" t="n">
        <x:v>11</x:v>
      </x:c>
      <x:c r="J932" s="69" t="str">
        <x:v>11</x:v>
      </x:c>
      <x:c r="K932" s="70" t="n">
        <x:v>10260</x:v>
      </x:c>
      <x:c r="L932" s="69" t="str">
        <x:v>10,260</x:v>
      </x:c>
      <x:c r="M932" s="70" t="n">
        <x:v>112860</x:v>
      </x:c>
      <x:c r="N932" s="69" t="str">
        <x:v>112,860</x:v>
      </x:c>
      <x:c r="O932" s="71" t="str">
        <x:v>特惠價</x:v>
      </x:c>
      <x:c r="P932" s="71" t="str">
        <x:v>HTML table 1 row 8</x:v>
      </x:c>
      <x:c r="Q932" s="71" t="str">
        <x:v>4 | 溫水洗淨便座 | TCF23360ATW | 11 | 10,260 | 112,860 | 特惠價</x:v>
      </x:c>
      <x:c r="R932" s="71" t="str">
        <x:v>各廠商合約&amp; 報價\MD檔案\20251222TOTO-衛浴報價單回傳.md</x:v>
      </x:c>
    </x:row>
    <x:row r="933">
      <x:c r="A933" s="69" t="str">
        <x:v>ITEM00929</x:v>
      </x:c>
      <x:c r="B933" s="69" t="str">
        <x:v>SRC061</x:v>
      </x:c>
      <x:c r="C933" s="69" t="str">
        <x:v>2025-2026</x:v>
      </x:c>
      <x:c r="D933" s="69" t="str">
        <x:v>detail</x:v>
      </x:c>
      <x:c r="E933" s="69" t="str">
        <x:v>5</x:v>
      </x:c>
      <x:c r="F933" s="71" t="str">
        <x:v>檯面盆</x:v>
      </x:c>
      <x:c r="G933" s="71" t="str">
        <x:v>LW1615CTW 數量更動</x:v>
      </x:c>
      <x:c r="H933" s="71" t="str">
        <x:v>文件未載明</x:v>
      </x:c>
      <x:c r="I933" s="72" t="n">
        <x:v>20</x:v>
      </x:c>
      <x:c r="J933" s="69" t="str">
        <x:v>20</x:v>
      </x:c>
      <x:c r="K933" s="70" t="n">
        <x:v>8220</x:v>
      </x:c>
      <x:c r="L933" s="69" t="str">
        <x:v>8,220</x:v>
      </x:c>
      <x:c r="M933" s="70" t="n">
        <x:v>164400</x:v>
      </x:c>
      <x:c r="N933" s="69" t="str">
        <x:v>164,400</x:v>
      </x:c>
      <x:c r="O933" s="71" t="str">
        <x:v>文件未載明</x:v>
      </x:c>
      <x:c r="P933" s="71" t="str">
        <x:v>HTML table 1 row 9</x:v>
      </x:c>
      <x:c r="Q933" s="71" t="str">
        <x:v>5 | 檯面盆 | LW1615CTW 數量更動 | 20 | 8,220 | 164,400 |</x:v>
      </x:c>
      <x:c r="R933" s="71" t="str">
        <x:v>各廠商合約&amp; 報價\MD檔案\20251222TOTO-衛浴報價單回傳.md</x:v>
      </x:c>
    </x:row>
    <x:row r="934">
      <x:c r="A934" s="69" t="str">
        <x:v>ITEM00930</x:v>
      </x:c>
      <x:c r="B934" s="69" t="str">
        <x:v>SRC061</x:v>
      </x:c>
      <x:c r="C934" s="69" t="str">
        <x:v>2025-2026</x:v>
      </x:c>
      <x:c r="D934" s="69" t="str">
        <x:v>detail</x:v>
      </x:c>
      <x:c r="E934" s="69" t="str">
        <x:v>6</x:v>
      </x:c>
      <x:c r="F934" s="71" t="str">
        <x:v>檯面盆</x:v>
      </x:c>
      <x:c r="G934" s="71" t="str">
        <x:v>LW1616CTW 數量更動</x:v>
      </x:c>
      <x:c r="H934" s="71" t="str">
        <x:v>文件未載明</x:v>
      </x:c>
      <x:c r="I934" s="72" t="n">
        <x:v>2</x:v>
      </x:c>
      <x:c r="J934" s="69" t="str">
        <x:v>2</x:v>
      </x:c>
      <x:c r="K934" s="70" t="n">
        <x:v>9360</x:v>
      </x:c>
      <x:c r="L934" s="69" t="str">
        <x:v>9,360</x:v>
      </x:c>
      <x:c r="M934" s="70" t="n">
        <x:v>18720</x:v>
      </x:c>
      <x:c r="N934" s="69" t="str">
        <x:v>18,720</x:v>
      </x:c>
      <x:c r="O934" s="71" t="str">
        <x:v>文件未載明</x:v>
      </x:c>
      <x:c r="P934" s="71" t="str">
        <x:v>HTML table 1 row 10</x:v>
      </x:c>
      <x:c r="Q934" s="71" t="str">
        <x:v>6 | 檯面盆 | LW1616CTW 數量更動 | 2 | 9,360 | 18,720 |</x:v>
      </x:c>
      <x:c r="R934" s="71" t="str">
        <x:v>各廠商合約&amp; 報價\MD檔案\20251222TOTO-衛浴報價單回傳.md</x:v>
      </x:c>
    </x:row>
    <x:row r="935">
      <x:c r="A935" s="69" t="str">
        <x:v>ITEM00931</x:v>
      </x:c>
      <x:c r="B935" s="69" t="str">
        <x:v>SRC061</x:v>
      </x:c>
      <x:c r="C935" s="69" t="str">
        <x:v>2025-2026</x:v>
      </x:c>
      <x:c r="D935" s="69" t="str">
        <x:v>detail</x:v>
      </x:c>
      <x:c r="E935" s="69" t="str">
        <x:v>7</x:v>
      </x:c>
      <x:c r="F935" s="71" t="str">
        <x:v>白色浴櫃</x:v>
      </x:c>
      <x:c r="G935" s="71" t="str">
        <x:v>C-1615 數量更動</x:v>
      </x:c>
      <x:c r="H935" s="71" t="str">
        <x:v>文件未載明</x:v>
      </x:c>
      <x:c r="I935" s="72" t="n">
        <x:v>20</x:v>
      </x:c>
      <x:c r="J935" s="69" t="str">
        <x:v>20</x:v>
      </x:c>
      <x:c r="K935" s="70" t="n">
        <x:v>6500</x:v>
      </x:c>
      <x:c r="L935" s="69" t="str">
        <x:v>6,500</x:v>
      </x:c>
      <x:c r="M935" s="70" t="n">
        <x:v>130000</x:v>
      </x:c>
      <x:c r="N935" s="69" t="str">
        <x:v>130,000</x:v>
      </x:c>
      <x:c r="O935" s="71" t="str">
        <x:v>需開衛生紙孔</x:v>
      </x:c>
      <x:c r="P935" s="71" t="str">
        <x:v>HTML table 1 row 11</x:v>
      </x:c>
      <x:c r="Q935" s="71" t="str">
        <x:v>7 | 白色浴櫃 | C-1615 數量更動 | 20 | 6,500 | 130,000 | 需開衛生紙孔</x:v>
      </x:c>
      <x:c r="R935" s="71" t="str">
        <x:v>各廠商合約&amp; 報價\MD檔案\20251222TOTO-衛浴報價單回傳.md</x:v>
      </x:c>
    </x:row>
    <x:row r="936">
      <x:c r="A936" s="69" t="str">
        <x:v>ITEM00932</x:v>
      </x:c>
      <x:c r="B936" s="69" t="str">
        <x:v>SRC061</x:v>
      </x:c>
      <x:c r="C936" s="69" t="str">
        <x:v>2025-2026</x:v>
      </x:c>
      <x:c r="D936" s="69" t="str">
        <x:v>detail</x:v>
      </x:c>
      <x:c r="E936" s="69" t="str">
        <x:v>8</x:v>
      </x:c>
      <x:c r="F936" s="71" t="str">
        <x:v>白色浴櫃</x:v>
      </x:c>
      <x:c r="G936" s="71" t="str">
        <x:v>C-1616 數量更動</x:v>
      </x:c>
      <x:c r="H936" s="71" t="str">
        <x:v>文件未載明</x:v>
      </x:c>
      <x:c r="I936" s="72" t="n">
        <x:v>2</x:v>
      </x:c>
      <x:c r="J936" s="69" t="str">
        <x:v>2</x:v>
      </x:c>
      <x:c r="K936" s="70" t="n">
        <x:v>7000</x:v>
      </x:c>
      <x:c r="L936" s="69" t="str">
        <x:v>7,000</x:v>
      </x:c>
      <x:c r="M936" s="70" t="n">
        <x:v>14000</x:v>
      </x:c>
      <x:c r="N936" s="69" t="str">
        <x:v>14,000</x:v>
      </x:c>
      <x:c r="O936" s="71" t="str">
        <x:v>###</x:v>
      </x:c>
      <x:c r="P936" s="71" t="str">
        <x:v>HTML table 1 row 12</x:v>
      </x:c>
      <x:c r="Q936" s="71" t="str">
        <x:v>8 | 白色浴櫃 | C-1616 數量更動 | 2 | 7,000 | 14,000 | ###</x:v>
      </x:c>
      <x:c r="R936" s="71" t="str">
        <x:v>各廠商合約&amp; 報價\MD檔案\20251222TOTO-衛浴報價單回傳.md</x:v>
      </x:c>
    </x:row>
    <x:row r="937">
      <x:c r="A937" s="69" t="str">
        <x:v>ITEM00933</x:v>
      </x:c>
      <x:c r="B937" s="69" t="str">
        <x:v>SRC061</x:v>
      </x:c>
      <x:c r="C937" s="69" t="str">
        <x:v>2025-2026</x:v>
      </x:c>
      <x:c r="D937" s="69" t="str">
        <x:v>detail</x:v>
      </x:c>
      <x:c r="E937" s="69" t="str">
        <x:v>9</x:v>
      </x:c>
      <x:c r="F937" s="71" t="str">
        <x:v>面盆龍頭</x:v>
      </x:c>
      <x:c r="G937" s="71" t="str">
        <x:v>TLG02301PC</x:v>
      </x:c>
      <x:c r="H937" s="71" t="str">
        <x:v>文件未載明</x:v>
      </x:c>
      <x:c r="I937" s="72" t="n">
        <x:v>22</x:v>
      </x:c>
      <x:c r="J937" s="69" t="str">
        <x:v>22</x:v>
      </x:c>
      <x:c r="K937" s="70" t="n">
        <x:v>6780</x:v>
      </x:c>
      <x:c r="L937" s="69" t="str">
        <x:v>6,780</x:v>
      </x:c>
      <x:c r="M937" s="70" t="n">
        <x:v>149160</x:v>
      </x:c>
      <x:c r="N937" s="69" t="str">
        <x:v>149,160</x:v>
      </x:c>
      <x:c r="O937" s="71" t="str">
        <x:v>文件未載明</x:v>
      </x:c>
      <x:c r="P937" s="71" t="str">
        <x:v>HTML table 1 row 13</x:v>
      </x:c>
      <x:c r="Q937" s="71" t="str">
        <x:v>9 | 面盆龍頭 | TLG02301PC | 22 | 6,780 | 149,160 |</x:v>
      </x:c>
      <x:c r="R937" s="71" t="str">
        <x:v>各廠商合約&amp; 報價\MD檔案\20251222TOTO-衛浴報價單回傳.md</x:v>
      </x:c>
    </x:row>
    <x:row r="938">
      <x:c r="A938" s="69" t="str">
        <x:v>ITEM00934</x:v>
      </x:c>
      <x:c r="B938" s="69" t="str">
        <x:v>SRC061</x:v>
      </x:c>
      <x:c r="C938" s="69" t="str">
        <x:v>2025-2026</x:v>
      </x:c>
      <x:c r="D938" s="69" t="str">
        <x:v>detail</x:v>
      </x:c>
      <x:c r="E938" s="69" t="str">
        <x:v>10</x:v>
      </x:c>
      <x:c r="F938" s="71" t="str">
        <x:v>淋浴控溫龍頭</x:v>
      </x:c>
      <x:c r="G938" s="71" t="str">
        <x:v>TBV03426P-S2</x:v>
      </x:c>
      <x:c r="H938" s="71" t="str">
        <x:v>文件未載明</x:v>
      </x:c>
      <x:c r="I938" s="72" t="n">
        <x:v>22</x:v>
      </x:c>
      <x:c r="J938" s="69" t="str">
        <x:v>22</x:v>
      </x:c>
      <x:c r="K938" s="70" t="n">
        <x:v>8024</x:v>
      </x:c>
      <x:c r="L938" s="69" t="str">
        <x:v>8,024</x:v>
      </x:c>
      <x:c r="M938" s="70" t="n">
        <x:v>176528</x:v>
      </x:c>
      <x:c r="N938" s="69" t="str">
        <x:v>176,528</x:v>
      </x:c>
      <x:c r="O938" s="71" t="str">
        <x:v>文件未載明</x:v>
      </x:c>
      <x:c r="P938" s="71" t="str">
        <x:v>HTML table 1 row 14</x:v>
      </x:c>
      <x:c r="Q938" s="71" t="str">
        <x:v>10 | 淋浴控溫龍頭 | TBV03426P-S2 | 22 | 8,024 | 176,528 |</x:v>
      </x:c>
      <x:c r="R938" s="71" t="str">
        <x:v>各廠商合約&amp; 報價\MD檔案\20251222TOTO-衛浴報價單回傳.md</x:v>
      </x:c>
    </x:row>
    <x:row r="939">
      <x:c r="A939" s="69" t="str">
        <x:v>ITEM00935</x:v>
      </x:c>
      <x:c r="B939" s="69" t="str">
        <x:v>SRC061</x:v>
      </x:c>
      <x:c r="C939" s="69" t="str">
        <x:v>2025-2026</x:v>
      </x:c>
      <x:c r="D939" s="69" t="str">
        <x:v>detail</x:v>
      </x:c>
      <x:c r="E939" s="69" t="str">
        <x:v>11</x:v>
      </x:c>
      <x:c r="F939" s="71" t="str">
        <x:v>蓮蓬頭一段</x:v>
      </x:c>
      <x:c r="G939" s="71" t="str">
        <x:v>9A519RY-1</x:v>
      </x:c>
      <x:c r="H939" s="71" t="str">
        <x:v>文件未載明</x:v>
      </x:c>
      <x:c r="I939" s="72" t="n">
        <x:v>12</x:v>
      </x:c>
      <x:c r="J939" s="69" t="str">
        <x:v>12</x:v>
      </x:c>
      <x:c r="K939" s="70" t="n">
        <x:v>1593</x:v>
      </x:c>
      <x:c r="L939" s="69" t="str">
        <x:v>1,593</x:v>
      </x:c>
      <x:c r="M939" s="70" t="n">
        <x:v>19116</x:v>
      </x:c>
      <x:c r="N939" s="69" t="str">
        <x:v>19,116</x:v>
      </x:c>
      <x:c r="O939" s="71" t="str">
        <x:v>文件未載明</x:v>
      </x:c>
      <x:c r="P939" s="71" t="str">
        <x:v>HTML table 1 row 15</x:v>
      </x:c>
      <x:c r="Q939" s="71" t="str">
        <x:v>11 | 蓮蓬頭一段 | 9A519RY-1 | 12 | 1,593 | 19,116 |</x:v>
      </x:c>
      <x:c r="R939" s="71" t="str">
        <x:v>各廠商合約&amp; 報價\MD檔案\20251222TOTO-衛浴報價單回傳.md</x:v>
      </x:c>
    </x:row>
    <x:row r="940">
      <x:c r="A940" s="69" t="str">
        <x:v>ITEM00936</x:v>
      </x:c>
      <x:c r="B940" s="69" t="str">
        <x:v>SRC061</x:v>
      </x:c>
      <x:c r="C940" s="69" t="str">
        <x:v>2025-2026</x:v>
      </x:c>
      <x:c r="D940" s="69" t="str">
        <x:v>detail</x:v>
      </x:c>
      <x:c r="E940" s="69" t="str">
        <x:v>12</x:v>
      </x:c>
      <x:c r="F940" s="71" t="str">
        <x:v>蓮蓬頭三段</x:v>
      </x:c>
      <x:c r="G940" s="71" t="str">
        <x:v>9A520SY-1</x:v>
      </x:c>
      <x:c r="H940" s="71" t="str">
        <x:v>文件未載明</x:v>
      </x:c>
      <x:c r="I940" s="72" t="n">
        <x:v>11</x:v>
      </x:c>
      <x:c r="J940" s="69" t="str">
        <x:v>11</x:v>
      </x:c>
      <x:c r="K940" s="70" t="n">
        <x:v>2596</x:v>
      </x:c>
      <x:c r="L940" s="69" t="str">
        <x:v>2,596</x:v>
      </x:c>
      <x:c r="M940" s="70" t="n">
        <x:v>28556</x:v>
      </x:c>
      <x:c r="N940" s="69" t="str">
        <x:v>28,556</x:v>
      </x:c>
      <x:c r="O940" s="71" t="str">
        <x:v>文件未載明</x:v>
      </x:c>
      <x:c r="P940" s="71" t="str">
        <x:v>HTML table 1 row 16</x:v>
      </x:c>
      <x:c r="Q940" s="71" t="str">
        <x:v>12 | 蓮蓬頭三段 | 9A520SY-1 | 11 | 2,596 | 28,556 |</x:v>
      </x:c>
      <x:c r="R940" s="71" t="str">
        <x:v>各廠商合約&amp; 報價\MD檔案\20251222TOTO-衛浴報價單回傳.md</x:v>
      </x:c>
    </x:row>
    <x:row r="941">
      <x:c r="A941" s="69" t="str">
        <x:v>ITEM00937</x:v>
      </x:c>
      <x:c r="B941" s="69" t="str">
        <x:v>SRC061</x:v>
      </x:c>
      <x:c r="C941" s="69" t="str">
        <x:v>2025-2026</x:v>
      </x:c>
      <x:c r="D941" s="69" t="str">
        <x:v>detail</x:v>
      </x:c>
      <x:c r="E941" s="69" t="str">
        <x:v>13</x:v>
      </x:c>
      <x:c r="F941" s="71" t="str">
        <x:v>升降桿</x:v>
      </x:c>
      <x:c r="G941" s="71" t="str">
        <x:v>TBW01016P</x:v>
      </x:c>
      <x:c r="H941" s="71" t="str">
        <x:v>文件未載明</x:v>
      </x:c>
      <x:c r="I941" s="72" t="n">
        <x:v>22</x:v>
      </x:c>
      <x:c r="J941" s="69" t="str">
        <x:v>22</x:v>
      </x:c>
      <x:c r="K941" s="70" t="n">
        <x:v>1534</x:v>
      </x:c>
      <x:c r="L941" s="69" t="str">
        <x:v>1,534</x:v>
      </x:c>
      <x:c r="M941" s="70" t="n">
        <x:v>33748</x:v>
      </x:c>
      <x:c r="N941" s="69" t="str">
        <x:v>33,748</x:v>
      </x:c>
      <x:c r="O941" s="71" t="str">
        <x:v>文件未載明</x:v>
      </x:c>
      <x:c r="P941" s="71" t="str">
        <x:v>HTML table 1 row 17</x:v>
      </x:c>
      <x:c r="Q941" s="71" t="str">
        <x:v>13 | 升降桿 | TBW01016P | 22 | 1,534 | 33,748 |</x:v>
      </x:c>
      <x:c r="R941" s="71" t="str">
        <x:v>各廠商合約&amp; 報價\MD檔案\20251222TOTO-衛浴報價單回傳.md</x:v>
      </x:c>
    </x:row>
    <x:row r="942">
      <x:c r="A942" s="69" t="str">
        <x:v>ITEM00938</x:v>
      </x:c>
      <x:c r="B942" s="69" t="str">
        <x:v>SRC061</x:v>
      </x:c>
      <x:c r="C942" s="69" t="str">
        <x:v>2025-2026</x:v>
      </x:c>
      <x:c r="D942" s="69" t="str">
        <x:v>detail</x:v>
      </x:c>
      <x:c r="E942" s="69" t="str">
        <x:v>14</x:v>
      </x:c>
      <x:c r="F942" s="71" t="str">
        <x:v>暖風乾燥機(無線 220V)</x:v>
      </x:c>
      <x:c r="G942" s="71" t="str">
        <x:v>TYB3151ADR</x:v>
      </x:c>
      <x:c r="H942" s="71" t="str">
        <x:v>文件未載明</x:v>
      </x:c>
      <x:c r="I942" s="72" t="n">
        <x:v>22</x:v>
      </x:c>
      <x:c r="J942" s="69" t="str">
        <x:v>22</x:v>
      </x:c>
      <x:c r="K942" s="70" t="n">
        <x:v>13260</x:v>
      </x:c>
      <x:c r="L942" s="69" t="str">
        <x:v>13,260</x:v>
      </x:c>
      <x:c r="M942" s="70" t="n">
        <x:v>291720</x:v>
      </x:c>
      <x:c r="N942" s="69" t="str">
        <x:v>291,720</x:v>
      </x:c>
      <x:c r="O942" s="71" t="str">
        <x:v>文件未載明</x:v>
      </x:c>
      <x:c r="P942" s="71" t="str">
        <x:v>HTML table 1 row 18</x:v>
      </x:c>
      <x:c r="Q942" s="71" t="str">
        <x:v>14 | 暖風乾燥機(無線 220V) | TYB3151ADR | 22 | 13,260 | 291,720 |</x:v>
      </x:c>
      <x:c r="R942" s="71" t="str">
        <x:v>各廠商合約&amp; 報價\MD檔案\20251222TOTO-衛浴報價單回傳.md</x:v>
      </x:c>
    </x:row>
    <x:row r="943">
      <x:c r="A943" s="69" t="str">
        <x:v>ITEM00939</x:v>
      </x:c>
      <x:c r="B943" s="69" t="str">
        <x:v>SRC061</x:v>
      </x:c>
      <x:c r="C943" s="69" t="str">
        <x:v>2025-2026</x:v>
      </x:c>
      <x:c r="D943" s="69" t="str">
        <x:v>detail</x:v>
      </x:c>
      <x:c r="E943" s="69" t="str">
        <x:v>15</x:v>
      </x:c>
      <x:c r="F943" s="71" t="str">
        <x:v>暖風乾燥機(有線 220V)</x:v>
      </x:c>
      <x:c r="G943" s="71" t="str">
        <x:v>TYB3151AAR</x:v>
      </x:c>
      <x:c r="H943" s="71" t="str">
        <x:v>文件未載明</x:v>
      </x:c>
      <x:c r="I943" s="72" t="n">
        <x:v>1</x:v>
      </x:c>
      <x:c r="J943" s="69" t="str">
        <x:v>1</x:v>
      </x:c>
      <x:c r="K943" s="70" t="n">
        <x:v>9700</x:v>
      </x:c>
      <x:c r="L943" s="69" t="str">
        <x:v>9,700</x:v>
      </x:c>
      <x:c r="M943" s="70" t="n">
        <x:v>9700</x:v>
      </x:c>
      <x:c r="N943" s="69" t="str">
        <x:v>9,700</x:v>
      </x:c>
      <x:c r="O943" s="71" t="str">
        <x:v>已出貨</x:v>
      </x:c>
      <x:c r="P943" s="71" t="str">
        <x:v>HTML table 1 row 19</x:v>
      </x:c>
      <x:c r="Q943" s="71" t="str">
        <x:v>15 | 暖風乾燥機(有線 220V) | TYB3151AAR | 1 | 9,700 | 9,700 | 已出貨</x:v>
      </x:c>
      <x:c r="R943" s="71" t="str">
        <x:v>各廠商合約&amp; 報價\MD檔案\20251222TOTO-衛浴報價單回傳.md</x:v>
      </x:c>
    </x:row>
    <x:row r="944">
      <x:c r="A944" s="69" t="str">
        <x:v>ITEM00940</x:v>
      </x:c>
      <x:c r="B944" s="69" t="str">
        <x:v>SRC061</x:v>
      </x:c>
      <x:c r="C944" s="69" t="str">
        <x:v>2025-2026</x:v>
      </x:c>
      <x:c r="D944" s="69" t="str">
        <x:v>detail</x:v>
      </x:c>
      <x:c r="E944" s="69" t="str">
        <x:v>16</x:v>
      </x:c>
      <x:c r="F944" s="71" t="str">
        <x:v>置衣平台</x:v>
      </x:c>
      <x:c r="G944" s="71" t="str">
        <x:v>AK15</x:v>
      </x:c>
      <x:c r="H944" s="71" t="str">
        <x:v>文件未載明</x:v>
      </x:c>
      <x:c r="I944" s="72" t="n">
        <x:v>22</x:v>
      </x:c>
      <x:c r="J944" s="69" t="str">
        <x:v>22</x:v>
      </x:c>
      <x:c r="K944" s="70" t="n">
        <x:v>2040</x:v>
      </x:c>
      <x:c r="L944" s="69" t="str">
        <x:v>2,040</x:v>
      </x:c>
      <x:c r="M944" s="70" t="n">
        <x:v>44880</x:v>
      </x:c>
      <x:c r="N944" s="69" t="str">
        <x:v>44,880</x:v>
      </x:c>
      <x:c r="O944" s="71" t="str">
        <x:v>訂金80萬元</x:v>
      </x:c>
      <x:c r="P944" s="71" t="str">
        <x:v>HTML table 1 row 20</x:v>
      </x:c>
      <x:c r="Q944" s="71" t="str">
        <x:v>16 | 置衣平台 | AK15 | 22 | 2,040 | 44,880 | 訂金80萬元</x:v>
      </x:c>
      <x:c r="R944" s="71" t="str">
        <x:v>各廠商合約&amp; 報價\MD檔案\20251222TOTO-衛浴報價單回傳.md</x:v>
      </x:c>
    </x:row>
    <x:row r="945">
      <x:c r="A945" s="69" t="str">
        <x:v>ITEM00941</x:v>
      </x:c>
      <x:c r="B945" s="69" t="str">
        <x:v>SRC061</x:v>
      </x:c>
      <x:c r="C945" s="69" t="str">
        <x:v>2025-2026</x:v>
      </x:c>
      <x:c r="D945" s="69" t="str">
        <x:v>detail</x:v>
      </x:c>
      <x:c r="E945" s="69" t="str">
        <x:v>17</x:v>
      </x:c>
      <x:c r="F945" s="71" t="str">
        <x:v>安裝費</x:v>
      </x:c>
      <x:c r="G945" s="71" t="str">
        <x:v>文件未載明</x:v>
      </x:c>
      <x:c r="H945" s="71" t="str">
        <x:v>文件未載明</x:v>
      </x:c>
      <x:c r="I945" s="72" t="n">
        <x:v>1</x:v>
      </x:c>
      <x:c r="J945" s="69" t="str">
        <x:v>1</x:v>
      </x:c>
      <x:c r="K945" s="70" t="n">
        <x:v>141260</x:v>
      </x:c>
      <x:c r="L945" s="69" t="str">
        <x:v>141,260</x:v>
      </x:c>
      <x:c r="M945" s="70" t="n">
        <x:v>141260</x:v>
      </x:c>
      <x:c r="N945" s="69" t="str">
        <x:v>141,260</x:v>
      </x:c>
      <x:c r="O945" s="71" t="str">
        <x:v>文件未載明</x:v>
      </x:c>
      <x:c r="P945" s="71" t="str">
        <x:v>HTML table 1 row 21</x:v>
      </x:c>
      <x:c r="Q945" s="71" t="str">
        <x:v>17 | 安裝費 | | 1 | 141,260 | 141,260 |</x:v>
      </x:c>
      <x:c r="R945" s="71" t="str">
        <x:v>各廠商合約&amp; 報價\MD檔案\20251222TOTO-衛浴報價單回傳.md</x:v>
      </x:c>
    </x:row>
    <x:row r="946">
      <x:c r="A946" s="69" t="str">
        <x:v>ITEM00942</x:v>
      </x:c>
      <x:c r="B946" s="69" t="str">
        <x:v>SRC061</x:v>
      </x:c>
      <x:c r="C946" s="69" t="str">
        <x:v>2025-2026</x:v>
      </x:c>
      <x:c r="D946" s="69" t="str">
        <x:v>detail</x:v>
      </x:c>
      <x:c r="E946" s="69" t="str">
        <x:v>18</x:v>
      </x:c>
      <x:c r="F946" s="71" t="str">
        <x:v>淋浴控溫龍頭</x:v>
      </x:c>
      <x:c r="G946" s="71" t="str">
        <x:v>TBV03426P-S2</x:v>
      </x:c>
      <x:c r="H946" s="71" t="str">
        <x:v>文件未載明</x:v>
      </x:c>
      <x:c r="I946" s="72" t="n">
        <x:v>1</x:v>
      </x:c>
      <x:c r="J946" s="69" t="str">
        <x:v>1</x:v>
      </x:c>
      <x:c r="K946" s="70" t="n">
        <x:v>9000</x:v>
      </x:c>
      <x:c r="L946" s="69" t="str">
        <x:v>9,000</x:v>
      </x:c>
      <x:c r="M946" s="70" t="n">
        <x:v>9000</x:v>
      </x:c>
      <x:c r="N946" s="69" t="str">
        <x:v>9,000</x:v>
      </x:c>
      <x:c r="O946" s="71" t="str">
        <x:v>追加</x:v>
      </x:c>
      <x:c r="P946" s="71" t="str">
        <x:v>HTML table 1 row 22</x:v>
      </x:c>
      <x:c r="Q946" s="71" t="str">
        <x:v>18 | 淋浴控溫龍頭 | TBV03426P-S2 | 1 | 9,000 | 9,000 | 追加</x:v>
      </x:c>
      <x:c r="R946" s="71" t="str">
        <x:v>各廠商合約&amp; 報價\MD檔案\20251222TOTO-衛浴報價單回傳.md</x:v>
      </x:c>
    </x:row>
    <x:row r="947">
      <x:c r="A947" s="69" t="str">
        <x:v>ITEM00943</x:v>
      </x:c>
      <x:c r="B947" s="69" t="str">
        <x:v>SRC061</x:v>
      </x:c>
      <x:c r="C947" s="69" t="str">
        <x:v>2025-2026</x:v>
      </x:c>
      <x:c r="D947" s="69" t="str">
        <x:v>detail</x:v>
      </x:c>
      <x:c r="E947" s="69" t="str">
        <x:v>19</x:v>
      </x:c>
      <x:c r="F947" s="71" t="str">
        <x:v>升降桿</x:v>
      </x:c>
      <x:c r="G947" s="71" t="str">
        <x:v>TBW01016P</x:v>
      </x:c>
      <x:c r="H947" s="71" t="str">
        <x:v>文件未載明</x:v>
      </x:c>
      <x:c r="I947" s="72" t="n">
        <x:v>1</x:v>
      </x:c>
      <x:c r="J947" s="69" t="str">
        <x:v>1</x:v>
      </x:c>
      <x:c r="K947" s="70" t="n">
        <x:v>1740</x:v>
      </x:c>
      <x:c r="L947" s="69" t="str">
        <x:v>1,740</x:v>
      </x:c>
      <x:c r="M947" s="70" t="n">
        <x:v>1740</x:v>
      </x:c>
      <x:c r="N947" s="69" t="str">
        <x:v>1,740</x:v>
      </x:c>
      <x:c r="O947" s="71" t="str">
        <x:v>追加</x:v>
      </x:c>
      <x:c r="P947" s="71" t="str">
        <x:v>HTML table 1 row 23</x:v>
      </x:c>
      <x:c r="Q947" s="71" t="str">
        <x:v>19 | 升降桿 | TBW01016P | 1 | 1,740 | 1,740 | 追加</x:v>
      </x:c>
      <x:c r="R947" s="71" t="str">
        <x:v>各廠商合約&amp; 報價\MD檔案\20251222TOTO-衛浴報價單回傳.md</x:v>
      </x:c>
    </x:row>
    <x:row r="948">
      <x:c r="A948" s="69" t="str">
        <x:v>ITEM00944</x:v>
      </x:c>
      <x:c r="B948" s="69" t="str">
        <x:v>SRC061</x:v>
      </x:c>
      <x:c r="C948" s="69" t="str">
        <x:v>2025-2026</x:v>
      </x:c>
      <x:c r="D948" s="69" t="str">
        <x:v>detail</x:v>
      </x:c>
      <x:c r="E948" s="69" t="str">
        <x:v>20</x:v>
      </x:c>
      <x:c r="F948" s="71" t="str">
        <x:v>遙控器</x:v>
      </x:c>
      <x:c r="G948" s="71" t="str">
        <x:v>TCM7340R#M</x:v>
      </x:c>
      <x:c r="H948" s="71" t="str">
        <x:v>文件未載明</x:v>
      </x:c>
      <x:c r="I948" s="72" t="n">
        <x:v>1</x:v>
      </x:c>
      <x:c r="J948" s="69" t="str">
        <x:v>1</x:v>
      </x:c>
      <x:c r="K948" s="70" t="n">
        <x:v>4000</x:v>
      </x:c>
      <x:c r="L948" s="69" t="str">
        <x:v>4,000</x:v>
      </x:c>
      <x:c r="M948" s="70" t="n">
        <x:v>4000</x:v>
      </x:c>
      <x:c r="N948" s="69" t="str">
        <x:v>4,000</x:v>
      </x:c>
      <x:c r="O948" s="71" t="str">
        <x:v>追加</x:v>
      </x:c>
      <x:c r="P948" s="71" t="str">
        <x:v>HTML table 1 row 24</x:v>
      </x:c>
      <x:c r="Q948" s="71" t="str">
        <x:v>20 | 遙控器 | TCM7340R#M | 1 | 4,000 | 4,000 | 追加</x:v>
      </x:c>
      <x:c r="R948" s="71" t="str">
        <x:v>各廠商合約&amp; 報價\MD檔案\20251222TOTO-衛浴報價單回傳.md</x:v>
      </x:c>
    </x:row>
    <x:row r="949">
      <x:c r="A949" s="69" t="str">
        <x:v>ITEM00945</x:v>
      </x:c>
      <x:c r="B949" s="69" t="str">
        <x:v>SRC061</x:v>
      </x:c>
      <x:c r="C949" s="69" t="str">
        <x:v>2025-2026</x:v>
      </x:c>
      <x:c r="D949" s="69" t="str">
        <x:v>detail</x:v>
      </x:c>
      <x:c r="E949" s="69" t="str">
        <x:v>21</x:v>
      </x:c>
      <x:c r="F949" s="71" t="str">
        <x:v>文件未載明</x:v>
      </x:c>
      <x:c r="G949" s="71" t="str">
        <x:v>文件未載明</x:v>
      </x:c>
      <x:c r="H949" s="71" t="str">
        <x:v>文件未載明</x:v>
      </x:c>
      <x:c r="I949" s="72"/>
      <x:c r="J949" s="69" t="str">
        <x:v>文件未載明</x:v>
      </x:c>
      <x:c r="K949" s="70"/>
      <x:c r="L949" s="69" t="str">
        <x:v>文件未載明</x:v>
      </x:c>
      <x:c r="M949" s="70"/>
      <x:c r="N949" s="69" t="str">
        <x:v>文件未載明</x:v>
      </x:c>
      <x:c r="O949" s="71" t="str">
        <x:v>文件未載明</x:v>
      </x:c>
      <x:c r="P949" s="71" t="str">
        <x:v>HTML table 1 row 25</x:v>
      </x:c>
      <x:c r="Q949" s="71" t="str">
        <x:v>21 | | | | | |</x:v>
      </x:c>
      <x:c r="R949" s="71" t="str">
        <x:v>各廠商合約&amp; 報價\MD檔案\20251222TOTO-衛浴報價單回傳.md</x:v>
      </x:c>
    </x:row>
    <x:row r="950">
      <x:c r="A950" s="69" t="str">
        <x:v>ITEM00946</x:v>
      </x:c>
      <x:c r="B950" s="69" t="str">
        <x:v>SRC061</x:v>
      </x:c>
      <x:c r="C950" s="69" t="str">
        <x:v>2025-2026</x:v>
      </x:c>
      <x:c r="D950" s="69" t="str">
        <x:v>summary</x:v>
      </x:c>
      <x:c r="E950" s="69" t="str">
        <x:v>22</x:v>
      </x:c>
      <x:c r="F950" s="71" t="str">
        <x:v>小計 1,980,018</x:v>
      </x:c>
      <x:c r="G950" s="71" t="str">
        <x:v>文件未載明</x:v>
      </x:c>
      <x:c r="H950" s="71" t="str">
        <x:v>文件未載明</x:v>
      </x:c>
      <x:c r="I950" s="72" t="n">
        <x:v>1980018</x:v>
      </x:c>
      <x:c r="J950" s="69" t="str">
        <x:v>小計 1,980,018</x:v>
      </x:c>
      <x:c r="K950" s="70"/>
      <x:c r="L950" s="69" t="str">
        <x:v>元整</x:v>
      </x:c>
      <x:c r="M950" s="70"/>
      <x:c r="N950" s="69" t="str">
        <x:v>文件未載明</x:v>
      </x:c>
      <x:c r="O950" s="71" t="str">
        <x:v>文件未載明</x:v>
      </x:c>
      <x:c r="P950" s="71" t="str">
        <x:v>HTML table 1 row 26</x:v>
      </x:c>
      <x:c r="Q950" s="71" t="str">
        <x:v>22 | | | 小計 1,980,018 | 元整</x:v>
      </x:c>
      <x:c r="R950" s="71" t="str">
        <x:v>各廠商合約&amp; 報價\MD檔案\20251222TOTO-衛浴報價單回傳.md</x:v>
      </x:c>
    </x:row>
    <x:row r="951">
      <x:c r="A951" s="69" t="str">
        <x:v>ITEM00947</x:v>
      </x:c>
      <x:c r="B951" s="69" t="str">
        <x:v>SRC061</x:v>
      </x:c>
      <x:c r="C951" s="69" t="str">
        <x:v>2025-2026</x:v>
      </x:c>
      <x:c r="D951" s="69" t="str">
        <x:v>detail</x:v>
      </x:c>
      <x:c r="E951" s="69" t="str">
        <x:v>23</x:v>
      </x:c>
      <x:c r="F951" s="71" t="str">
        <x:v>税額 99,001</x:v>
      </x:c>
      <x:c r="G951" s="71" t="str">
        <x:v>文件未載明</x:v>
      </x:c>
      <x:c r="H951" s="71" t="str">
        <x:v>文件未載明</x:v>
      </x:c>
      <x:c r="I951" s="72" t="n">
        <x:v>99001</x:v>
      </x:c>
      <x:c r="J951" s="69" t="str">
        <x:v>税額 99,001</x:v>
      </x:c>
      <x:c r="K951" s="70"/>
      <x:c r="L951" s="69" t="str">
        <x:v>元整</x:v>
      </x:c>
      <x:c r="M951" s="70"/>
      <x:c r="N951" s="69" t="str">
        <x:v>文件未載明</x:v>
      </x:c>
      <x:c r="O951" s="71" t="str">
        <x:v>文件未載明</x:v>
      </x:c>
      <x:c r="P951" s="71" t="str">
        <x:v>HTML table 1 row 27</x:v>
      </x:c>
      <x:c r="Q951" s="71" t="str">
        <x:v>23 | | | 税額 99,001 | 元整</x:v>
      </x:c>
      <x:c r="R951" s="71" t="str">
        <x:v>各廠商合約&amp; 報價\MD檔案\20251222TOTO-衛浴報價單回傳.md</x:v>
      </x:c>
    </x:row>
    <x:row r="952">
      <x:c r="A952" s="69" t="str">
        <x:v>ITEM00948</x:v>
      </x:c>
      <x:c r="B952" s="69" t="str">
        <x:v>SRC061</x:v>
      </x:c>
      <x:c r="C952" s="69" t="str">
        <x:v>2025-2026</x:v>
      </x:c>
      <x:c r="D952" s="69" t="str">
        <x:v>summary</x:v>
      </x:c>
      <x:c r="E952" s="69" t="str">
        <x:v>24</x:v>
      </x:c>
      <x:c r="F952" s="71" t="str">
        <x:v>總計 2,079,019</x:v>
      </x:c>
      <x:c r="G952" s="71" t="str">
        <x:v>文件未載明</x:v>
      </x:c>
      <x:c r="H952" s="71" t="str">
        <x:v>文件未載明</x:v>
      </x:c>
      <x:c r="I952" s="72" t="n">
        <x:v>2079019</x:v>
      </x:c>
      <x:c r="J952" s="69" t="str">
        <x:v>總計 2,079,019</x:v>
      </x:c>
      <x:c r="K952" s="70"/>
      <x:c r="L952" s="69" t="str">
        <x:v>元整</x:v>
      </x:c>
      <x:c r="M952" s="70"/>
      <x:c r="N952" s="69" t="str">
        <x:v>文件未載明</x:v>
      </x:c>
      <x:c r="O952" s="71" t="str">
        <x:v>文件未載明</x:v>
      </x:c>
      <x:c r="P952" s="71" t="str">
        <x:v>HTML table 1 row 28</x:v>
      </x:c>
      <x:c r="Q952" s="71" t="str">
        <x:v>24 | | | 總計 2,079,019 | 元整</x:v>
      </x:c>
      <x:c r="R952" s="71" t="str">
        <x:v>各廠商合約&amp; 報價\MD檔案\20251222TOTO-衛浴報價單回傳.md</x:v>
      </x:c>
    </x:row>
    <x:row r="953">
      <x:c r="A953" s="69" t="str">
        <x:v>ITEM00949</x:v>
      </x:c>
      <x:c r="B953" s="69" t="str">
        <x:v>SRC061</x:v>
      </x:c>
      <x:c r="C953" s="69" t="str">
        <x:v>2025-2026</x:v>
      </x:c>
      <x:c r="D953" s="69" t="str">
        <x:v>summary</x:v>
      </x:c>
      <x:c r="E953" s="69" t="str">
        <x:v>1.本報價單在有效期限內使生效.有效期限至 113年9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6.本報價單僅限本案使用,不得挪為其他案件使用。7.基於誠信保密原則,本報價單均不得揭露予第三人知悉。8.如因天災或不可抗力之事由,供應商之產線價乏,致本契約產品不能繼續供應時,雙方得同意更換其它產品取代,另股份有限。</x:v>
      </x:c>
      <x:c r="F953" s="71" t="str">
        <x:v>9.若付款方式為匯款/轉帳,請提供帳號後5碼及匯款人姓名。◆匯款帳戶如下:銀行:台灣土地銀行 東新竹分行 (銀行代碼:005)戶名:晉展股份有限公司 帳號:103-001-005883:1.遙控器內為測試用電池,安裝後三個月內需更換,請使用碳鋅電池.2.瓷器.五金零件請使用軟質抹布.海綿沾中性清潔劑或牙膏清潔保養.3.…（詳原文索引）</x:v>
      </x:c>
      <x:c r="G953" s="71" t="str">
        <x:v>文件未載明</x:v>
      </x:c>
      <x:c r="H953" s="71" t="str">
        <x:v>文件未載明</x:v>
      </x:c>
      <x:c r="I953" s="72"/>
      <x:c r="J953" s="69" t="str">
        <x:v>文件未載明</x:v>
      </x:c>
      <x:c r="K953" s="70"/>
      <x:c r="L953" s="69" t="str">
        <x:v>文件未載明</x:v>
      </x:c>
      <x:c r="M953" s="70"/>
      <x:c r="N953" s="69" t="str">
        <x:v>文件未載明</x:v>
      </x:c>
      <x:c r="O953" s="71" t="str">
        <x:v>文件未載明</x:v>
      </x:c>
      <x:c r="P953" s="71" t="str">
        <x:v>HTML table 1 row 29</x:v>
      </x:c>
      <x:c r="Q953" s="71" t="str">
        <x:v>1.本報價單在有效期限內使生效.有效期限至 113年9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6.本報價單僅限本案使用,不得挪為其他案件使用。7.基於誠信保密原則,本報價單均不得揭露予第三人知悉。8.如因天災或不可抗力之事由,供應商之產線價乏,致本契約產品不能繼續供應時,雙方得同意更換其它產品取代,另股份有限。 | 9.若付款方式為匯款/轉帳,請提供帳號後5碼及匯款人…（詳原文索引）</x:v>
      </x:c>
      <x:c r="R953" s="71" t="str">
        <x:v>各廠商合約&amp; 報價\MD檔案\20251222TOTO-衛浴報價單回傳.md</x:v>
      </x:c>
    </x:row>
    <x:row r="954">
      <x:c r="A954" s="69" t="str">
        <x:v>ITEM00950</x:v>
      </x:c>
      <x:c r="B954" s="69" t="str">
        <x:v>SRC062</x:v>
      </x:c>
      <x:c r="C954" s="69" t="str">
        <x:v>2025-2026</x:v>
      </x:c>
      <x:c r="D954" s="69" t="str">
        <x:v>header</x:v>
      </x:c>
      <x:c r="E954" s="69" t="str">
        <x:v>文件未載明</x:v>
      </x:c>
      <x:c r="F954" s="71" t="str">
        <x:v>報價注意事項</x:v>
      </x:c>
      <x:c r="G954" s="71" t="str">
        <x:v>1.型式照本公司標準用料製造。2.一般附屬五金配件、鋁門把手均使用本公司標準規格。3.鋁紗門窗,一律使用國產特製灰色或黑色太陽紗網。4.單價與小計、合計不符時,以單價為準。5.本報價單有效日期15天。6.本報價單經買方訂購簽認蓋章後視同合約。</x:v>
      </x:c>
      <x:c r="H954" s="71" t="str">
        <x:v>文件未載明</x:v>
      </x:c>
      <x:c r="I954" s="72" t="n">
        <x:v>1</x:v>
      </x:c>
      <x:c r="J954" s="69" t="str">
        <x:v>一般事項:1.尺寸、數量及內容有變更時均予以重新計價。2.訂貨產品開始製造後,發生規格變更或取消訂貨時其損失由客戶負擔。3.除事前談妥之特殊情況下,下列各物不包括在內:特殊五金配件:地鉸鏈、踏腳板、門弓器特殊裝置:搖窗機、氣密裝置、自動門機、拉門鎖。</x:v>
      </x:c>
      <x:c r="K954" s="70" t="n">
        <x:v>1</x:v>
      </x:c>
      <x:c r="L954" s="69" t="str">
        <x:v>1.型式照本公司標準用料製造。2.一般附屬五金配件、鋁門把手均使用本公司標準規格。3.鋁紗門窗,一律使用國產特製灰色或黑色太陽紗網。4.單價與小計、合計不符時,以單價為準。5.本報價單有效日期15天。6.本報價單經買方訂購簽認蓋章後視同合約。</x:v>
      </x:c>
      <x:c r="M954" s="70" t="n">
        <x:v>1</x:v>
      </x:c>
      <x:c r="N954" s="69" t="str">
        <x:v>1.型式照本公司標準用料製造。2.一般附屬五金配件、鋁門把手均使用本公司標準規格。3.鋁紗門窗,一律使用國產特製灰色或黑色太陽紗網。4.單價與小計、合計不符時,以單價為準。5.本報價單有效日期15天。6.本報價單經買方訂購簽認蓋章後視同合約。</x:v>
      </x:c>
      <x:c r="O954" s="71" t="str">
        <x:v>文件未載明</x:v>
      </x:c>
      <x:c r="P954" s="71" t="str">
        <x:v>HTML table 1 row 1</x:v>
      </x:c>
      <x:c r="Q954" s="71" t="str">
        <x:v>報價注意事項 | 1.型式照本公司標準用料製造。2.一般附屬五金配件、鋁門把手均使用本公司標準規格。3.鋁紗門窗,一律使用國產特製灰色或黑色太陽紗網。4.單價與小計、合計不符時,以單價為準。5.本報價單有效日期15天。6.本報價單經買方訂購簽認蓋章後視同合約。 | 一般事項:1.尺寸、數量及內容有變更時均予以重新計價。2.訂貨產品開始製造後,發生規格變更或取消訂貨時其損失由客戶負擔。3.除事前談妥之特殊情況下,下列各物不包括在內:特殊五金配件:地鉸鏈、踏腳板、門弓器特殊裝置:搖窗機、氣密裝置、自動門機、拉門鎖。 | 鋁門窗含安裝配合條款:1.安裝所需之搭架、吊車,電力及崁補使用之水泥砂漿等,須…（詳原文索引）</x:v>
      </x:c>
      <x:c r="R954" s="71" t="str">
        <x:v>各廠商合約&amp; 報價\MD檔案\20260108塑豐-一樓追加報價單回傳.md</x:v>
      </x:c>
    </x:row>
    <x:row r="955">
      <x:c r="A955" s="69" t="str">
        <x:v>ITEM00951</x:v>
      </x:c>
      <x:c r="B955" s="69" t="str">
        <x:v>SRC062</x:v>
      </x:c>
      <x:c r="C955" s="69" t="str">
        <x:v>2025-2026</x:v>
      </x:c>
      <x:c r="D955" s="69" t="str">
        <x:v>header</x:v>
      </x:c>
      <x:c r="E955" s="69" t="str">
        <x:v>項目</x:v>
      </x:c>
      <x:c r="F955" s="71" t="str">
        <x:v>項目</x:v>
      </x:c>
      <x:c r="G955" s="71" t="str">
        <x:v>圖號</x:v>
      </x:c>
      <x:c r="H955" s="71" t="str">
        <x:v>文件未載明</x:v>
      </x:c>
      <x:c r="I955" s="72"/>
      <x:c r="J955" s="69" t="str">
        <x:v>數量</x:v>
      </x:c>
      <x:c r="K955" s="70"/>
      <x:c r="L955" s="69" t="str">
        <x:v>文件未載明</x:v>
      </x:c>
      <x:c r="M955" s="70"/>
      <x:c r="N955" s="69" t="str">
        <x:v>小計</x:v>
      </x:c>
      <x:c r="O955" s="71" t="str">
        <x:v>備註</x:v>
      </x:c>
      <x:c r="P955" s="71" t="str">
        <x:v>HTML table 2 row 1</x:v>
      </x:c>
      <x:c r="Q955" s="71" t="str">
        <x:v>項目 | 圖號 | 窗型 | 尺寸 | 數量 | 小計 | 合計 | 備註</x:v>
      </x:c>
      <x:c r="R955" s="71" t="str">
        <x:v>各廠商合約&amp; 報價\MD檔案\20260108塑豐-一樓追加報價單回傳.md</x:v>
      </x:c>
    </x:row>
    <x:row r="956">
      <x:c r="A956" s="69" t="str">
        <x:v>ITEM00952</x:v>
      </x:c>
      <x:c r="B956" s="69" t="str">
        <x:v>SRC062</x:v>
      </x:c>
      <x:c r="C956" s="69" t="str">
        <x:v>2025-2026</x:v>
      </x:c>
      <x:c r="D956" s="69" t="str">
        <x:v>detail</x:v>
      </x:c>
      <x:c r="E956" s="69" t="str">
        <x:v>寬度(mm)</x:v>
      </x:c>
      <x:c r="F956" s="71" t="str">
        <x:v>寬度(mm)</x:v>
      </x:c>
      <x:c r="G956" s="71" t="str">
        <x:v>開天(mm)</x:v>
      </x:c>
      <x:c r="H956" s="71" t="str">
        <x:v>文件未載明</x:v>
      </x:c>
      <x:c r="I956" s="72"/>
      <x:c r="J956" s="69" t="str">
        <x:v>文件未載明</x:v>
      </x:c>
      <x:c r="K956" s="70"/>
      <x:c r="L956" s="69" t="str">
        <x:v>文件未載明</x:v>
      </x:c>
      <x:c r="M956" s="70"/>
      <x:c r="N956" s="69" t="str">
        <x:v>文件未載明</x:v>
      </x:c>
      <x:c r="O956" s="71" t="str">
        <x:v>文件未載明</x:v>
      </x:c>
      <x:c r="P956" s="71" t="str">
        <x:v>HTML table 2 row 2</x:v>
      </x:c>
      <x:c r="Q956" s="71" t="str">
        <x:v>寬度(mm) | 開天(mm) | 高度(mm)</x:v>
      </x:c>
      <x:c r="R956" s="71" t="str">
        <x:v>各廠商合約&amp; 報價\MD檔案\20260108塑豐-一樓追加報價單回傳.md</x:v>
      </x:c>
    </x:row>
    <x:row r="957">
      <x:c r="A957" s="69" t="str">
        <x:v>ITEM00953</x:v>
      </x:c>
      <x:c r="B957" s="69" t="str">
        <x:v>SRC062</x:v>
      </x:c>
      <x:c r="C957" s="69" t="str">
        <x:v>2025-2026</x:v>
      </x:c>
      <x:c r="D957" s="69" t="str">
        <x:v>detail</x:v>
      </x:c>
      <x:c r="E957" s="69" t="str">
        <x:v>1</x:v>
      </x:c>
      <x:c r="F957" s="71" t="str">
        <x:v>1</x:v>
      </x:c>
      <x:c r="G957" s="71" t="str">
        <x:v>D01</x:v>
      </x:c>
      <x:c r="H957" s="71" t="str">
        <x:v>文件未載明</x:v>
      </x:c>
      <x:c r="I957" s="72"/>
      <x:c r="J957" s="69" t="str">
        <x:v>文件未載明</x:v>
      </x:c>
      <x:c r="K957" s="70"/>
      <x:c r="L957" s="69" t="str">
        <x:v>文件未載明</x:v>
      </x:c>
      <x:c r="M957" s="70" t="n">
        <x:v>2250</x:v>
      </x:c>
      <x:c r="N957" s="69" t="str">
        <x:v>2250</x:v>
      </x:c>
      <x:c r="O957" s="71" t="str">
        <x:v>64,407</x:v>
      </x:c>
      <x:c r="P957" s="71" t="str">
        <x:v>HTML table 2 row 3</x:v>
      </x:c>
      <x:c r="Q957" s="71" t="str">
        <x:v>1 | D01 | 111/D 111單開鋁框自動門 | 1100 | | 2250 | 1 | 64,407 | 64,407 |</x:v>
      </x:c>
      <x:c r="R957" s="71" t="str">
        <x:v>各廠商合約&amp; 報價\MD檔案\20260108塑豐-一樓追加報價單回傳.md</x:v>
      </x:c>
    </x:row>
    <x:row r="958">
      <x:c r="A958" s="69" t="str">
        <x:v>ITEM00954</x:v>
      </x:c>
      <x:c r="B958" s="69" t="str">
        <x:v>SRC062</x:v>
      </x:c>
      <x:c r="C958" s="69" t="str">
        <x:v>2025-2026</x:v>
      </x:c>
      <x:c r="D958" s="69" t="str">
        <x:v>detail</x:v>
      </x:c>
      <x:c r="E958" s="69" t="str">
        <x:v>2</x:v>
      </x:c>
      <x:c r="F958" s="71" t="str">
        <x:v>2</x:v>
      </x:c>
      <x:c r="G958" s="71" t="str">
        <x:v>D02</x:v>
      </x:c>
      <x:c r="H958" s="71" t="str">
        <x:v>文件未載明</x:v>
      </x:c>
      <x:c r="I958" s="72"/>
      <x:c r="J958" s="69" t="str">
        <x:v>文件未載明</x:v>
      </x:c>
      <x:c r="K958" s="70"/>
      <x:c r="L958" s="69" t="str">
        <x:v>文件未載明</x:v>
      </x:c>
      <x:c r="M958" s="70" t="n">
        <x:v>2200</x:v>
      </x:c>
      <x:c r="N958" s="69" t="str">
        <x:v>2200</x:v>
      </x:c>
      <x:c r="O958" s="71" t="str">
        <x:v>40,782</x:v>
      </x:c>
      <x:c r="P958" s="71" t="str">
        <x:v>HTML table 2 row 4</x:v>
      </x:c>
      <x:c r="Q958" s="71" t="str">
        <x:v>2 | D02 | 111/D 111單開鋁門無開天 | 1100 | | 2200 | 1 | 40,782 | 40,782 |</x:v>
      </x:c>
      <x:c r="R958" s="71" t="str">
        <x:v>各廠商合約&amp; 報價\MD檔案\20260108塑豐-一樓追加報價單回傳.md</x:v>
      </x:c>
    </x:row>
    <x:row r="959">
      <x:c r="A959" s="69" t="str">
        <x:v>ITEM00955</x:v>
      </x:c>
      <x:c r="B959" s="69" t="str">
        <x:v>SRC062</x:v>
      </x:c>
      <x:c r="C959" s="69" t="str">
        <x:v>2025-2026</x:v>
      </x:c>
      <x:c r="D959" s="69" t="str">
        <x:v>detail</x:v>
      </x:c>
      <x:c r="E959" s="69" t="str">
        <x:v>3</x:v>
      </x:c>
      <x:c r="F959" s="71" t="str">
        <x:v>3</x:v>
      </x:c>
      <x:c r="G959" s="71" t="str">
        <x:v>D03</x:v>
      </x:c>
      <x:c r="H959" s="71" t="str">
        <x:v>文件未載明</x:v>
      </x:c>
      <x:c r="I959" s="72" t="n">
        <x:v>1020</x:v>
      </x:c>
      <x:c r="J959" s="69" t="str">
        <x:v>1020</x:v>
      </x:c>
      <x:c r="K959" s="70"/>
      <x:c r="L959" s="69" t="str">
        <x:v>文件未載明</x:v>
      </x:c>
      <x:c r="M959" s="70" t="n">
        <x:v>3120</x:v>
      </x:c>
      <x:c r="N959" s="69" t="str">
        <x:v>3120</x:v>
      </x:c>
      <x:c r="O959" s="71" t="str">
        <x:v>56,080</x:v>
      </x:c>
      <x:c r="P959" s="71" t="str">
        <x:v>HTML table 2 row 5</x:v>
      </x:c>
      <x:c r="Q959" s="71" t="str">
        <x:v>3 | D03 | @鍍鋅烤漆鋼製防盜門+不銹鋼烤漆固定窗分2格 | 2230 | 1020 | 3120 | 1 | 56,080 | 56,080 | 鋼板門樣式:EC-013 流蘇壓花</x:v>
      </x:c>
      <x:c r="R959" s="71" t="str">
        <x:v>各廠商合約&amp; 報價\MD檔案\20260108塑豐-一樓追加報價單回傳.md</x:v>
      </x:c>
    </x:row>
    <x:row r="960">
      <x:c r="A960" s="69" t="str">
        <x:v>ITEM00956</x:v>
      </x:c>
      <x:c r="B960" s="69" t="str">
        <x:v>SRC062</x:v>
      </x:c>
      <x:c r="C960" s="69" t="str">
        <x:v>2025-2026</x:v>
      </x:c>
      <x:c r="D960" s="69" t="str">
        <x:v>detail</x:v>
      </x:c>
      <x:c r="E960" s="69" t="str">
        <x:v>4</x:v>
      </x:c>
      <x:c r="F960" s="71" t="str">
        <x:v>4</x:v>
      </x:c>
      <x:c r="G960" s="71" t="str">
        <x:v>D04</x:v>
      </x:c>
      <x:c r="H960" s="71" t="str">
        <x:v>文件未載明</x:v>
      </x:c>
      <x:c r="I960" s="72" t="n">
        <x:v>1200</x:v>
      </x:c>
      <x:c r="J960" s="69" t="str">
        <x:v>1200</x:v>
      </x:c>
      <x:c r="K960" s="70"/>
      <x:c r="L960" s="69" t="str">
        <x:v>文件未載明</x:v>
      </x:c>
      <x:c r="M960" s="70" t="n">
        <x:v>3400</x:v>
      </x:c>
      <x:c r="N960" s="69" t="str">
        <x:v>3400</x:v>
      </x:c>
      <x:c r="O960" s="71" t="str">
        <x:v>93,560</x:v>
      </x:c>
      <x:c r="P960" s="71" t="str">
        <x:v>HTML table 2 row 6</x:v>
      </x:c>
      <x:c r="Q960" s="71" t="str">
        <x:v>4 | D04 | 4J 不銹鋼烤漆單開推拉門+固定窗(3併) | 4140 | 1200 | 3400 | 1 | 93,560 | 93,560 |</x:v>
      </x:c>
      <x:c r="R960" s="71" t="str">
        <x:v>各廠商合約&amp; 報價\MD檔案\20260108塑豐-一樓追加報價單回傳.md</x:v>
      </x:c>
    </x:row>
    <x:row r="961">
      <x:c r="A961" s="69" t="str">
        <x:v>ITEM00957</x:v>
      </x:c>
      <x:c r="B961" s="69" t="str">
        <x:v>SRC062</x:v>
      </x:c>
      <x:c r="C961" s="69" t="str">
        <x:v>2025-2026</x:v>
      </x:c>
      <x:c r="D961" s="69" t="str">
        <x:v>summary</x:v>
      </x:c>
      <x:c r="E961" s="69" t="str">
        <x:v>各項合計 總樘數: 4 合計: 254,829營業稅: 12,741總計: 267,570</x:v>
      </x:c>
      <x:c r="F961" s="71" t="str">
        <x:v>各項合計 總樘數: 4 合計: 254,829營業稅: 12,741總計: 267,570</x:v>
      </x:c>
      <x:c r="G961" s="71" t="str">
        <x:v>文件未載明</x:v>
      </x:c>
      <x:c r="H961" s="71" t="str">
        <x:v>文件未載明</x:v>
      </x:c>
      <x:c r="I961" s="72"/>
      <x:c r="J961" s="69" t="str">
        <x:v>文件未載明</x:v>
      </x:c>
      <x:c r="K961" s="70"/>
      <x:c r="L961" s="69" t="str">
        <x:v>文件未載明</x:v>
      </x:c>
      <x:c r="M961" s="70"/>
      <x:c r="N961" s="69" t="str">
        <x:v>文件未載明</x:v>
      </x:c>
      <x:c r="O961" s="71" t="str">
        <x:v>文件未載明</x:v>
      </x:c>
      <x:c r="P961" s="71" t="str">
        <x:v>HTML table 2 row 7</x:v>
      </x:c>
      <x:c r="Q961" s="71" t="str">
        <x:v>各項合計 總樘數: 4 合計: 254,829營業稅: 12,741總計: 267,570</x:v>
      </x:c>
      <x:c r="R961" s="71" t="str">
        <x:v>各廠商合約&amp; 報價\MD檔案\20260108塑豐-一樓追加報價單回傳.md</x:v>
      </x:c>
    </x:row>
    <x:row r="962">
      <x:c r="A962" s="69" t="str">
        <x:v>ITEM00958</x:v>
      </x:c>
      <x:c r="B962" s="69" t="str">
        <x:v>SRC062</x:v>
      </x:c>
      <x:c r="C962" s="69" t="str">
        <x:v>2025-2026</x:v>
      </x:c>
      <x:c r="D962" s="69" t="str">
        <x:v>detail</x:v>
      </x:c>
      <x:c r="E962" s="69" t="str">
        <x:v>總金額新台幣(NT$):貳拾陸萬柒仟伍佰柒拾元整附一圖號D01 D02採用大同鋁框10cm系列產品,表面處理塗粉體涂裝鑰打魚(40216)或咖啡魚(8106)等系列,若採用其他魚魚塗裝打魚。</x:v>
      </x:c>
      <x:c r="F962" s="71" t="str">
        <x:v>總金額新台幣(NT$):貳拾陸萬柒仟伍佰柒拾元整附一圖號D01 D02採用大同鋁框10cm系列產品,表面處理塗粉體涂裝鑰打魚(40216)或咖啡魚(8106)等系列,若採用其他魚魚塗裝打魚。</x:v>
      </x:c>
      <x:c r="G962" s="71" t="str">
        <x:v>文件未載明</x:v>
      </x:c>
      <x:c r="H962" s="71" t="str">
        <x:v>文件未載明</x:v>
      </x:c>
      <x:c r="I962" s="72"/>
      <x:c r="J962" s="69" t="str">
        <x:v>文件未載明</x:v>
      </x:c>
      <x:c r="K962" s="70"/>
      <x:c r="L962" s="69" t="str">
        <x:v>文件未載明</x:v>
      </x:c>
      <x:c r="M962" s="70"/>
      <x:c r="N962" s="69" t="str">
        <x:v>文件未載明</x:v>
      </x:c>
      <x:c r="O962" s="71" t="str">
        <x:v>文件未載明</x:v>
      </x:c>
      <x:c r="P962" s="71" t="str">
        <x:v>HTML table 2 row 8</x:v>
      </x:c>
      <x:c r="Q962" s="71" t="str">
        <x:v>總金額新台幣(NT$):貳拾陸萬柒仟伍佰柒拾元整附一圖號D01 D02採用大同鋁框10cm系列產品,表面處理塗粉體涂裝鑰打魚(40216)或咖啡魚(8106)等系列,若採用其他魚魚塗裝打魚。</x:v>
      </x:c>
      <x:c r="R962" s="71" t="str">
        <x:v>各廠商合約&amp; 報價\MD檔案\20260108塑豐-一樓追加報價單回傳.md</x:v>
      </x:c>
    </x:row>
    <x:row r="963">
      <x:c r="A963" s="69" t="str">
        <x:v>ITEM00959</x:v>
      </x:c>
      <x:c r="B963" s="69" t="str">
        <x:v>SRC062</x:v>
      </x:c>
      <x:c r="C963" s="69" t="str">
        <x:v>2025-2026</x:v>
      </x:c>
      <x:c r="D963" s="69" t="str">
        <x:v>header</x:v>
      </x:c>
      <x:c r="E963" s="69" t="str">
        <x:v>項目</x:v>
      </x:c>
      <x:c r="F963" s="71" t="str">
        <x:v>項目</x:v>
      </x:c>
      <x:c r="G963" s="71" t="str">
        <x:v>圖號</x:v>
      </x:c>
      <x:c r="H963" s="71" t="str">
        <x:v>文件未載明</x:v>
      </x:c>
      <x:c r="I963" s="72"/>
      <x:c r="J963" s="69" t="str">
        <x:v>數量</x:v>
      </x:c>
      <x:c r="K963" s="70"/>
      <x:c r="L963" s="69" t="str">
        <x:v>文件未載明</x:v>
      </x:c>
      <x:c r="M963" s="70"/>
      <x:c r="N963" s="69" t="str">
        <x:v>小計</x:v>
      </x:c>
      <x:c r="O963" s="71" t="str">
        <x:v>備註</x:v>
      </x:c>
      <x:c r="P963" s="71" t="str">
        <x:v>HTML table 3 row 1</x:v>
      </x:c>
      <x:c r="Q963" s="71" t="str">
        <x:v>項目 | 圖號 | 窗型 | 尺寸 | 數量 | 小計 | 合計 | 備註</x:v>
      </x:c>
      <x:c r="R963" s="71" t="str">
        <x:v>各廠商合約&amp; 報價\MD檔案\20260108塑豐-一樓追加報價單回傳.md</x:v>
      </x:c>
    </x:row>
    <x:row r="964">
      <x:c r="A964" s="69" t="str">
        <x:v>ITEM00960</x:v>
      </x:c>
      <x:c r="B964" s="69" t="str">
        <x:v>SRC062</x:v>
      </x:c>
      <x:c r="C964" s="69" t="str">
        <x:v>2025-2026</x:v>
      </x:c>
      <x:c r="D964" s="69" t="str">
        <x:v>detail</x:v>
      </x:c>
      <x:c r="E964" s="69" t="str">
        <x:v>寬度(mm)</x:v>
      </x:c>
      <x:c r="F964" s="71" t="str">
        <x:v>寬度(mm)</x:v>
      </x:c>
      <x:c r="G964" s="71" t="str">
        <x:v>開天(mm)</x:v>
      </x:c>
      <x:c r="H964" s="71" t="str">
        <x:v>文件未載明</x:v>
      </x:c>
      <x:c r="I964" s="72"/>
      <x:c r="J964" s="69" t="str">
        <x:v>文件未載明</x:v>
      </x:c>
      <x:c r="K964" s="70"/>
      <x:c r="L964" s="69" t="str">
        <x:v>文件未載明</x:v>
      </x:c>
      <x:c r="M964" s="70"/>
      <x:c r="N964" s="69" t="str">
        <x:v>文件未載明</x:v>
      </x:c>
      <x:c r="O964" s="71" t="str">
        <x:v>文件未載明</x:v>
      </x:c>
      <x:c r="P964" s="71" t="str">
        <x:v>HTML table 3 row 2</x:v>
      </x:c>
      <x:c r="Q964" s="71" t="str">
        <x:v>寬度(mm) | 開天(mm) | 高度(mm)</x:v>
      </x:c>
      <x:c r="R964" s="71" t="str">
        <x:v>各廠商合約&amp; 報價\MD檔案\20260108塑豐-一樓追加報價單回傳.md</x:v>
      </x:c>
    </x:row>
    <x:row r="965">
      <x:c r="A965" s="69" t="str">
        <x:v>ITEM00961</x:v>
      </x:c>
      <x:c r="B965" s="69" t="str">
        <x:v>SRC062</x:v>
      </x:c>
      <x:c r="C965" s="69" t="str">
        <x:v>2025-2026</x:v>
      </x:c>
      <x:c r="D965" s="69" t="str">
        <x:v>party</x:v>
      </x:c>
      <x:c r="E965" s="69" t="str">
        <x:v>買方訂購簽認</x:v>
      </x:c>
      <x:c r="F965" s="71" t="str">
        <x:v>買方訂購簽認</x:v>
      </x:c>
      <x:c r="G965" s="71" t="str">
        <x:v>公司名稱:向上建設股份有限公司 負責人: 簽章: 統一編號: 住址:350苗栗縣竹南鎮康德街71號 電話: 傳真: 向上建設股份有限公司 統一發票專用章 統一編號 90057101 TEL:037-775355 負責人:洪建豪</x:v>
      </x:c>
      <x:c r="H965" s="71" t="str">
        <x:v>文件未載明</x:v>
      </x:c>
      <x:c r="I965" s="72"/>
      <x:c r="J965" s="69" t="str">
        <x:v>文件未載明</x:v>
      </x:c>
      <x:c r="K965" s="70"/>
      <x:c r="L965" s="69" t="str">
        <x:v>文件未載明</x:v>
      </x:c>
      <x:c r="M965" s="70"/>
      <x:c r="N965" s="69" t="str">
        <x:v>文件未載明</x:v>
      </x:c>
      <x:c r="O965" s="71" t="str">
        <x:v>文件未載明</x:v>
      </x:c>
      <x:c r="P965" s="71" t="str">
        <x:v>HTML table 3 row 3</x:v>
      </x:c>
      <x:c r="Q965" s="71" t="str">
        <x:v>買方訂購簽認 | 公司名稱:向上建設股份有限公司 負責人: 簽章: 統一編號: 住址:350苗栗縣竹南鎮康德街71號 電話: 傳真: 向上建設股份有限公司 統一發票專用章 統一編號 90057101 TEL:037-775355 負責人:洪建豪 | 承包廠商 | 公司名稱:塑豐實業股份有限公司 統一編號:22665579 住址:苗栗縣頭份市自強路二段477號 電話:(037)636192 傳真:(037)626860 業務:顏志豪 0937-771332</x:v>
      </x:c>
      <x:c r="R965" s="71" t="str">
        <x:v>各廠商合約&amp; 報價\MD檔案\20260108塑豐-一樓追加報價單回傳.md</x:v>
      </x:c>
    </x:row>
    <x:row r="966">
      <x:c r="A966" s="69" t="str">
        <x:v>ITEM00962</x:v>
      </x:c>
      <x:c r="B966" s="69" t="str">
        <x:v>SRC062</x:v>
      </x:c>
      <x:c r="C966" s="69" t="str">
        <x:v>2025-2026</x:v>
      </x:c>
      <x:c r="D966" s="69" t="str">
        <x:v>detail</x:v>
      </x:c>
      <x:c r="E966" s="69" t="str">
        <x:v>※如確定製作,請蓋章後回傳,謝謝</x:v>
      </x:c>
      <x:c r="F966" s="71" t="str">
        <x:v>※如確定製作,請蓋章後回傳,謝謝</x:v>
      </x:c>
      <x:c r="G966" s="71" t="str">
        <x:v>文件未載明</x:v>
      </x:c>
      <x:c r="H966" s="71" t="str">
        <x:v>文件未載明</x:v>
      </x:c>
      <x:c r="I966" s="72"/>
      <x:c r="J966" s="69" t="str">
        <x:v>文件未載明</x:v>
      </x:c>
      <x:c r="K966" s="70"/>
      <x:c r="L966" s="69" t="str">
        <x:v>文件未載明</x:v>
      </x:c>
      <x:c r="M966" s="70"/>
      <x:c r="N966" s="69" t="str">
        <x:v>文件未載明</x:v>
      </x:c>
      <x:c r="O966" s="71" t="str">
        <x:v>文件未載明</x:v>
      </x:c>
      <x:c r="P966" s="71" t="str">
        <x:v>HTML table 3 row 4</x:v>
      </x:c>
      <x:c r="Q966" s="71" t="str">
        <x:v>※如確定製作,請蓋章後回傳,謝謝</x:v>
      </x:c>
      <x:c r="R966" s="71" t="str">
        <x:v>各廠商合約&amp; 報價\MD檔案\20260108塑豐-一樓追加報價單回傳.md</x:v>
      </x:c>
    </x:row>
    <x:row r="967">
      <x:c r="A967" s="69" t="str">
        <x:v>ITEM00963</x:v>
      </x:c>
      <x:c r="B967" s="69" t="str">
        <x:v>SRC063</x:v>
      </x:c>
      <x:c r="C967" s="69" t="str">
        <x:v>2025-2026</x:v>
      </x:c>
      <x:c r="D967" s="69" t="str">
        <x:v>header</x:v>
      </x:c>
      <x:c r="E967" s="69" t="str">
        <x:v>項目</x:v>
      </x:c>
      <x:c r="F967" s="71" t="str">
        <x:v>項目</x:v>
      </x:c>
      <x:c r="G967" s="71" t="str">
        <x:v>規格</x:v>
      </x:c>
      <x:c r="H967" s="71" t="str">
        <x:v>文件未載明</x:v>
      </x:c>
      <x:c r="I967" s="72"/>
      <x:c r="J967" s="69" t="str">
        <x:v>數量</x:v>
      </x:c>
      <x:c r="K967" s="70"/>
      <x:c r="L967" s="69" t="str">
        <x:v>單價</x:v>
      </x:c>
      <x:c r="M967" s="70"/>
      <x:c r="N967" s="69" t="str">
        <x:v>金額</x:v>
      </x:c>
      <x:c r="O967" s="71" t="str">
        <x:v>備註</x:v>
      </x:c>
      <x:c r="P967" s="71" t="str">
        <x:v>HTML table 1 row 1</x:v>
      </x:c>
      <x:c r="Q967" s="71" t="str">
        <x:v>項目 | 品名 | 規格 | 數量 | 單價 | 金額 | 備註</x:v>
      </x:c>
      <x:c r="R967" s="71" t="str">
        <x:v>各廠商合約&amp; 報價\MD檔案\20260127 全鑫-採光罩.md</x:v>
      </x:c>
    </x:row>
    <x:row r="968">
      <x:c r="A968" s="69" t="str">
        <x:v>ITEM00964</x:v>
      </x:c>
      <x:c r="B968" s="69" t="str">
        <x:v>SRC063</x:v>
      </x:c>
      <x:c r="C968" s="69" t="str">
        <x:v>2025-2026</x:v>
      </x:c>
      <x:c r="D968" s="69" t="str">
        <x:v>detail</x:v>
      </x:c>
      <x:c r="E968" s="69" t="str">
        <x:v>1</x:v>
      </x:c>
      <x:c r="F968" s="71" t="str">
        <x:v>1</x:v>
      </x:c>
      <x:c r="G968" s="71" t="str">
        <x:v>文件未載明</x:v>
      </x:c>
      <x:c r="H968" s="71" t="str">
        <x:v>文件未載明</x:v>
      </x:c>
      <x:c r="I968" s="72"/>
      <x:c r="J968" s="69" t="str">
        <x:v>文件未載明</x:v>
      </x:c>
      <x:c r="K968" s="70"/>
      <x:c r="L968" s="69" t="str">
        <x:v>文件未載明</x:v>
      </x:c>
      <x:c r="M968" s="70"/>
      <x:c r="N968" s="69" t="str">
        <x:v>文件未載明</x:v>
      </x:c>
      <x:c r="O968" s="71" t="str">
        <x:v>文件未載明</x:v>
      </x:c>
      <x:c r="P968" s="71" t="str">
        <x:v>HTML table 1 row 2</x:v>
      </x:c>
      <x:c r="Q968" s="71" t="str">
        <x:v>1 | 不鏽鋼粉體烤漆玻璃採光罩 | | | | |</x:v>
      </x:c>
      <x:c r="R968" s="71" t="str">
        <x:v>各廠商合約&amp; 報價\MD檔案\20260127 全鑫-採光罩.md</x:v>
      </x:c>
    </x:row>
    <x:row r="969">
      <x:c r="A969" s="69" t="str">
        <x:v>ITEM00965</x:v>
      </x:c>
      <x:c r="B969" s="69" t="str">
        <x:v>SRC063</x:v>
      </x:c>
      <x:c r="C969" s="69" t="str">
        <x:v>2025-2026</x:v>
      </x:c>
      <x:c r="D969" s="69" t="str">
        <x:v>detail</x:v>
      </x:c>
      <x:c r="E969" s="69" t="str">
        <x:v>2</x:v>
      </x:c>
      <x:c r="F969" s="71" t="str">
        <x:v>2</x:v>
      </x:c>
      <x:c r="G969" s="71" t="str">
        <x:v>坪</x:v>
      </x:c>
      <x:c r="H969" s="71" t="str">
        <x:v>文件未載明</x:v>
      </x:c>
      <x:c r="I969" s="72" t="n">
        <x:v>27</x:v>
      </x:c>
      <x:c r="J969" s="69" t="str">
        <x:v>27</x:v>
      </x:c>
      <x:c r="K969" s="70" t="n">
        <x:v>18000</x:v>
      </x:c>
      <x:c r="L969" s="69" t="str">
        <x:v>18000</x:v>
      </x:c>
      <x:c r="M969" s="70" t="n">
        <x:v>486000</x:v>
      </x:c>
      <x:c r="N969" s="69" t="str">
        <x:v>486000</x:v>
      </x:c>
      <x:c r="O969" s="71" t="str">
        <x:v>文件未載明</x:v>
      </x:c>
      <x:c r="P969" s="71" t="str">
        <x:v>HTML table 1 row 3</x:v>
      </x:c>
      <x:c r="Q969" s="71" t="str">
        <x:v>2 | 車道長4220寬21090 | 坪 | 27 | 18000 | 486000 |</x:v>
      </x:c>
      <x:c r="R969" s="71" t="str">
        <x:v>各廠商合約&amp; 報價\MD檔案\20260127 全鑫-採光罩.md</x:v>
      </x:c>
    </x:row>
    <x:row r="970">
      <x:c r="A970" s="69" t="str">
        <x:v>ITEM00966</x:v>
      </x:c>
      <x:c r="B970" s="69" t="str">
        <x:v>SRC063</x:v>
      </x:c>
      <x:c r="C970" s="69" t="str">
        <x:v>2025-2026</x:v>
      </x:c>
      <x:c r="D970" s="69" t="str">
        <x:v>detail</x:v>
      </x:c>
      <x:c r="E970" s="69" t="str">
        <x:v>3</x:v>
      </x:c>
      <x:c r="F970" s="71" t="str">
        <x:v>3</x:v>
      </x:c>
      <x:c r="G970" s="71" t="str">
        <x:v>式</x:v>
      </x:c>
      <x:c r="H970" s="71" t="str">
        <x:v>文件未載明</x:v>
      </x:c>
      <x:c r="I970" s="72" t="n">
        <x:v>1</x:v>
      </x:c>
      <x:c r="J970" s="69" t="str">
        <x:v>1</x:v>
      </x:c>
      <x:c r="K970" s="70"/>
      <x:c r="L970" s="69" t="str">
        <x:v>文件未載明</x:v>
      </x:c>
      <x:c r="M970" s="70" t="n">
        <x:v>35200</x:v>
      </x:c>
      <x:c r="N970" s="69" t="str">
        <x:v>35200</x:v>
      </x:c>
      <x:c r="O970" s="71" t="str">
        <x:v>文件未載明</x:v>
      </x:c>
      <x:c r="P970" s="71" t="str">
        <x:v>HTML table 1 row 4</x:v>
      </x:c>
      <x:c r="Q970" s="71" t="str">
        <x:v>3 | 不鏽鋼烤漆水槽長21990 | 式 | 1 | | 35200 |</x:v>
      </x:c>
      <x:c r="R970" s="71" t="str">
        <x:v>各廠商合約&amp; 報價\MD檔案\20260127 全鑫-採光罩.md</x:v>
      </x:c>
    </x:row>
    <x:row r="971">
      <x:c r="A971" s="69" t="str">
        <x:v>ITEM00967</x:v>
      </x:c>
      <x:c r="B971" s="69" t="str">
        <x:v>SRC063</x:v>
      </x:c>
      <x:c r="C971" s="69" t="str">
        <x:v>2025-2026</x:v>
      </x:c>
      <x:c r="D971" s="69" t="str">
        <x:v>detail</x:v>
      </x:c>
      <x:c r="E971" s="69" t="str">
        <x:v>4</x:v>
      </x:c>
      <x:c r="F971" s="71" t="str">
        <x:v>4</x:v>
      </x:c>
      <x:c r="G971" s="71" t="str">
        <x:v>式</x:v>
      </x:c>
      <x:c r="H971" s="71" t="str">
        <x:v>文件未載明</x:v>
      </x:c>
      <x:c r="I971" s="72" t="n">
        <x:v>1</x:v>
      </x:c>
      <x:c r="J971" s="69" t="str">
        <x:v>1</x:v>
      </x:c>
      <x:c r="K971" s="70"/>
      <x:c r="L971" s="69" t="str">
        <x:v>文件未載明</x:v>
      </x:c>
      <x:c r="M971" s="70" t="n">
        <x:v>35200</x:v>
      </x:c>
      <x:c r="N971" s="69" t="str">
        <x:v>35200</x:v>
      </x:c>
      <x:c r="O971" s="71" t="str">
        <x:v>文件未載明</x:v>
      </x:c>
      <x:c r="P971" s="71" t="str">
        <x:v>HTML table 1 row 5</x:v>
      </x:c>
      <x:c r="Q971" s="71" t="str">
        <x:v>4 | 不鏽鋼烤漆力霸長21990 | 式 | 1 | | 35200 |</x:v>
      </x:c>
      <x:c r="R971" s="71" t="str">
        <x:v>各廠商合約&amp; 報價\MD檔案\20260127 全鑫-採光罩.md</x:v>
      </x:c>
    </x:row>
    <x:row r="972">
      <x:c r="A972" s="69" t="str">
        <x:v>ITEM00968</x:v>
      </x:c>
      <x:c r="B972" s="69" t="str">
        <x:v>SRC063</x:v>
      </x:c>
      <x:c r="C972" s="69" t="str">
        <x:v>2025-2026</x:v>
      </x:c>
      <x:c r="D972" s="69" t="str">
        <x:v>detail</x:v>
      </x:c>
      <x:c r="E972" s="69" t="str">
        <x:v>5</x:v>
      </x:c>
      <x:c r="F972" s="71" t="str">
        <x:v>5</x:v>
      </x:c>
      <x:c r="G972" s="71" t="str">
        <x:v>文件未載明</x:v>
      </x:c>
      <x:c r="H972" s="71" t="str">
        <x:v>文件未載明</x:v>
      </x:c>
      <x:c r="I972" s="72"/>
      <x:c r="J972" s="69" t="str">
        <x:v>文件未載明</x:v>
      </x:c>
      <x:c r="K972" s="70"/>
      <x:c r="L972" s="69" t="str">
        <x:v>文件未載明</x:v>
      </x:c>
      <x:c r="M972" s="70"/>
      <x:c r="N972" s="69" t="str">
        <x:v>文件未載明</x:v>
      </x:c>
      <x:c r="O972" s="71" t="str">
        <x:v>文件未載明</x:v>
      </x:c>
      <x:c r="P972" s="71" t="str">
        <x:v>HTML table 1 row 6</x:v>
      </x:c>
      <x:c r="Q972" s="71" t="str">
        <x:v>5 | | | | | |</x:v>
      </x:c>
      <x:c r="R972" s="71" t="str">
        <x:v>各廠商合約&amp; 報價\MD檔案\20260127 全鑫-採光罩.md</x:v>
      </x:c>
    </x:row>
    <x:row r="973">
      <x:c r="A973" s="69" t="str">
        <x:v>ITEM00969</x:v>
      </x:c>
      <x:c r="B973" s="69" t="str">
        <x:v>SRC063</x:v>
      </x:c>
      <x:c r="C973" s="69" t="str">
        <x:v>2025-2026</x:v>
      </x:c>
      <x:c r="D973" s="69" t="str">
        <x:v>detail</x:v>
      </x:c>
      <x:c r="E973" s="69" t="str">
        <x:v>6</x:v>
      </x:c>
      <x:c r="F973" s="71" t="str">
        <x:v>6</x:v>
      </x:c>
      <x:c r="G973" s="71" t="str">
        <x:v>坪</x:v>
      </x:c>
      <x:c r="H973" s="71" t="str">
        <x:v>文件未載明</x:v>
      </x:c>
      <x:c r="I973" s="72" t="n">
        <x:v>1.5</x:v>
      </x:c>
      <x:c r="J973" s="69" t="str">
        <x:v>1.5</x:v>
      </x:c>
      <x:c r="K973" s="70" t="n">
        <x:v>18000</x:v>
      </x:c>
      <x:c r="L973" s="69" t="str">
        <x:v>18000</x:v>
      </x:c>
      <x:c r="M973" s="70" t="n">
        <x:v>27000</x:v>
      </x:c>
      <x:c r="N973" s="69" t="str">
        <x:v>27000</x:v>
      </x:c>
      <x:c r="O973" s="71" t="str">
        <x:v>文件未載明</x:v>
      </x:c>
      <x:c r="P973" s="71" t="str">
        <x:v>HTML table 1 row 7</x:v>
      </x:c>
      <x:c r="Q973" s="71" t="str">
        <x:v>6 | 捲門上長900寬4955 | 坪 | 1.5 | 18000 | 27000 |</x:v>
      </x:c>
      <x:c r="R973" s="71" t="str">
        <x:v>各廠商合約&amp; 報價\MD檔案\20260127 全鑫-採光罩.md</x:v>
      </x:c>
    </x:row>
    <x:row r="974">
      <x:c r="A974" s="69" t="str">
        <x:v>ITEM00970</x:v>
      </x:c>
      <x:c r="B974" s="69" t="str">
        <x:v>SRC063</x:v>
      </x:c>
      <x:c r="C974" s="69" t="str">
        <x:v>2025-2026</x:v>
      </x:c>
      <x:c r="D974" s="69" t="str">
        <x:v>detail</x:v>
      </x:c>
      <x:c r="E974" s="69" t="str">
        <x:v>7</x:v>
      </x:c>
      <x:c r="F974" s="71" t="str">
        <x:v>7</x:v>
      </x:c>
      <x:c r="G974" s="71" t="str">
        <x:v>式</x:v>
      </x:c>
      <x:c r="H974" s="71" t="str">
        <x:v>文件未載明</x:v>
      </x:c>
      <x:c r="I974" s="72" t="n">
        <x:v>1</x:v>
      </x:c>
      <x:c r="J974" s="69" t="str">
        <x:v>1</x:v>
      </x:c>
      <x:c r="K974" s="70"/>
      <x:c r="L974" s="69" t="str">
        <x:v>文件未載明</x:v>
      </x:c>
      <x:c r="M974" s="70" t="n">
        <x:v>8000</x:v>
      </x:c>
      <x:c r="N974" s="69" t="str">
        <x:v>8000</x:v>
      </x:c>
      <x:c r="O974" s="71" t="str">
        <x:v>文件未載明</x:v>
      </x:c>
      <x:c r="P974" s="71" t="str">
        <x:v>HTML table 1 row 8</x:v>
      </x:c>
      <x:c r="Q974" s="71" t="str">
        <x:v>7 | 不鏽鋼烤漆水槽長4955 | 式 | 1 | | 8000 |</x:v>
      </x:c>
      <x:c r="R974" s="71" t="str">
        <x:v>各廠商合約&amp; 報價\MD檔案\20260127 全鑫-採光罩.md</x:v>
      </x:c>
    </x:row>
    <x:row r="975">
      <x:c r="A975" s="69" t="str">
        <x:v>ITEM00971</x:v>
      </x:c>
      <x:c r="B975" s="69" t="str">
        <x:v>SRC063</x:v>
      </x:c>
      <x:c r="C975" s="69" t="str">
        <x:v>2025-2026</x:v>
      </x:c>
      <x:c r="D975" s="69" t="str">
        <x:v>detail</x:v>
      </x:c>
      <x:c r="E975" s="69" t="str">
        <x:v>8</x:v>
      </x:c>
      <x:c r="F975" s="71" t="str">
        <x:v>8</x:v>
      </x:c>
      <x:c r="G975" s="71" t="str">
        <x:v>式</x:v>
      </x:c>
      <x:c r="H975" s="71" t="str">
        <x:v>文件未載明</x:v>
      </x:c>
      <x:c r="I975" s="72" t="n">
        <x:v>1</x:v>
      </x:c>
      <x:c r="J975" s="69" t="str">
        <x:v>1</x:v>
      </x:c>
      <x:c r="K975" s="70"/>
      <x:c r="L975" s="69" t="str">
        <x:v>文件未載明</x:v>
      </x:c>
      <x:c r="M975" s="70" t="n">
        <x:v>8000</x:v>
      </x:c>
      <x:c r="N975" s="69" t="str">
        <x:v>8000</x:v>
      </x:c>
      <x:c r="O975" s="71" t="str">
        <x:v>文件未載明</x:v>
      </x:c>
      <x:c r="P975" s="71" t="str">
        <x:v>HTML table 1 row 9</x:v>
      </x:c>
      <x:c r="Q975" s="71" t="str">
        <x:v>8 | 不鏽鋼烤漆力霸長4955 | 式 | 1 | | 8000 |</x:v>
      </x:c>
      <x:c r="R975" s="71" t="str">
        <x:v>各廠商合約&amp; 報價\MD檔案\20260127 全鑫-採光罩.md</x:v>
      </x:c>
    </x:row>
    <x:row r="976">
      <x:c r="A976" s="69" t="str">
        <x:v>ITEM00972</x:v>
      </x:c>
      <x:c r="B976" s="69" t="str">
        <x:v>SRC063</x:v>
      </x:c>
      <x:c r="C976" s="69" t="str">
        <x:v>2025-2026</x:v>
      </x:c>
      <x:c r="D976" s="69" t="str">
        <x:v>detail</x:v>
      </x:c>
      <x:c r="E976" s="69" t="str">
        <x:v>9</x:v>
      </x:c>
      <x:c r="F976" s="71" t="str">
        <x:v>9</x:v>
      </x:c>
      <x:c r="G976" s="71" t="str">
        <x:v>文件未載明</x:v>
      </x:c>
      <x:c r="H976" s="71" t="str">
        <x:v>文件未載明</x:v>
      </x:c>
      <x:c r="I976" s="72"/>
      <x:c r="J976" s="69" t="str">
        <x:v>文件未載明</x:v>
      </x:c>
      <x:c r="K976" s="70"/>
      <x:c r="L976" s="69" t="str">
        <x:v>文件未載明</x:v>
      </x:c>
      <x:c r="M976" s="70"/>
      <x:c r="N976" s="69" t="str">
        <x:v>文件未載明</x:v>
      </x:c>
      <x:c r="O976" s="71" t="str">
        <x:v>文件未載明</x:v>
      </x:c>
      <x:c r="P976" s="71" t="str">
        <x:v>HTML table 1 row 10</x:v>
      </x:c>
      <x:c r="Q976" s="71" t="str">
        <x:v>9 | | | | | |</x:v>
      </x:c>
      <x:c r="R976" s="71" t="str">
        <x:v>各廠商合約&amp; 報價\MD檔案\20260127 全鑫-採光罩.md</x:v>
      </x:c>
    </x:row>
    <x:row r="977">
      <x:c r="A977" s="69" t="str">
        <x:v>ITEM00973</x:v>
      </x:c>
      <x:c r="B977" s="69" t="str">
        <x:v>SRC063</x:v>
      </x:c>
      <x:c r="C977" s="69" t="str">
        <x:v>2025-2026</x:v>
      </x:c>
      <x:c r="D977" s="69" t="str">
        <x:v>detail</x:v>
      </x:c>
      <x:c r="E977" s="69" t="str">
        <x:v>10</x:v>
      </x:c>
      <x:c r="F977" s="71" t="str">
        <x:v>10</x:v>
      </x:c>
      <x:c r="G977" s="71" t="str">
        <x:v>坪</x:v>
      </x:c>
      <x:c r="H977" s="71" t="str">
        <x:v>文件未載明</x:v>
      </x:c>
      <x:c r="I977" s="72" t="n">
        <x:v>2.5</x:v>
      </x:c>
      <x:c r="J977" s="69" t="str">
        <x:v>2.5</x:v>
      </x:c>
      <x:c r="K977" s="70" t="n">
        <x:v>18000</x:v>
      </x:c>
      <x:c r="L977" s="69" t="str">
        <x:v>18000</x:v>
      </x:c>
      <x:c r="M977" s="70" t="n">
        <x:v>45000</x:v>
      </x:c>
      <x:c r="N977" s="69" t="str">
        <x:v>45000</x:v>
      </x:c>
      <x:c r="O977" s="71" t="str">
        <x:v>文件未載明</x:v>
      </x:c>
      <x:c r="P977" s="71" t="str">
        <x:v>HTML table 1 row 11</x:v>
      </x:c>
      <x:c r="Q977" s="71" t="str">
        <x:v>10 | 天井長2900寬2500 | 坪 | 2.5 | 18000 | 45000 |</x:v>
      </x:c>
      <x:c r="R977" s="71" t="str">
        <x:v>各廠商合約&amp; 報價\MD檔案\20260127 全鑫-採光罩.md</x:v>
      </x:c>
    </x:row>
    <x:row r="978">
      <x:c r="A978" s="69" t="str">
        <x:v>ITEM00974</x:v>
      </x:c>
      <x:c r="B978" s="69" t="str">
        <x:v>SRC063</x:v>
      </x:c>
      <x:c r="C978" s="69" t="str">
        <x:v>2025-2026</x:v>
      </x:c>
      <x:c r="D978" s="69" t="str">
        <x:v>detail</x:v>
      </x:c>
      <x:c r="E978" s="69" t="str">
        <x:v>11</x:v>
      </x:c>
      <x:c r="F978" s="71" t="str">
        <x:v>11</x:v>
      </x:c>
      <x:c r="G978" s="71" t="str">
        <x:v>式</x:v>
      </x:c>
      <x:c r="H978" s="71" t="str">
        <x:v>文件未載明</x:v>
      </x:c>
      <x:c r="I978" s="72" t="n">
        <x:v>1</x:v>
      </x:c>
      <x:c r="J978" s="69" t="str">
        <x:v>1</x:v>
      </x:c>
      <x:c r="K978" s="70"/>
      <x:c r="L978" s="69" t="str">
        <x:v>文件未載明</x:v>
      </x:c>
      <x:c r="M978" s="70" t="n">
        <x:v>4000</x:v>
      </x:c>
      <x:c r="N978" s="69" t="str">
        <x:v>4000</x:v>
      </x:c>
      <x:c r="O978" s="71" t="str">
        <x:v>文件未載明</x:v>
      </x:c>
      <x:c r="P978" s="71" t="str">
        <x:v>HTML table 1 row 12</x:v>
      </x:c>
      <x:c r="Q978" s="71" t="str">
        <x:v>11 | 不鏽鋼烤漆水槽長2500 | 式 | 1 | | 4000 |</x:v>
      </x:c>
      <x:c r="R978" s="71" t="str">
        <x:v>各廠商合約&amp; 報價\MD檔案\20260127 全鑫-採光罩.md</x:v>
      </x:c>
    </x:row>
    <x:row r="979">
      <x:c r="A979" s="69" t="str">
        <x:v>ITEM00975</x:v>
      </x:c>
      <x:c r="B979" s="69" t="str">
        <x:v>SRC063</x:v>
      </x:c>
      <x:c r="C979" s="69" t="str">
        <x:v>2025-2026</x:v>
      </x:c>
      <x:c r="D979" s="69" t="str">
        <x:v>detail</x:v>
      </x:c>
      <x:c r="E979" s="69" t="str">
        <x:v>12</x:v>
      </x:c>
      <x:c r="F979" s="71" t="str">
        <x:v>12</x:v>
      </x:c>
      <x:c r="G979" s="71" t="str">
        <x:v>文件未載明</x:v>
      </x:c>
      <x:c r="H979" s="71" t="str">
        <x:v>文件未載明</x:v>
      </x:c>
      <x:c r="I979" s="72"/>
      <x:c r="J979" s="69" t="str">
        <x:v>文件未載明</x:v>
      </x:c>
      <x:c r="K979" s="70"/>
      <x:c r="L979" s="69" t="str">
        <x:v>文件未載明</x:v>
      </x:c>
      <x:c r="M979" s="70"/>
      <x:c r="N979" s="69" t="str">
        <x:v>文件未載明</x:v>
      </x:c>
      <x:c r="O979" s="71" t="str">
        <x:v>文件未載明</x:v>
      </x:c>
      <x:c r="P979" s="71" t="str">
        <x:v>HTML table 1 row 13</x:v>
      </x:c>
      <x:c r="Q979" s="71" t="str">
        <x:v>12 | | | | | |</x:v>
      </x:c>
      <x:c r="R979" s="71" t="str">
        <x:v>各廠商合約&amp; 報價\MD檔案\20260127 全鑫-採光罩.md</x:v>
      </x:c>
    </x:row>
    <x:row r="980">
      <x:c r="A980" s="69" t="str">
        <x:v>ITEM00976</x:v>
      </x:c>
      <x:c r="B980" s="69" t="str">
        <x:v>SRC063</x:v>
      </x:c>
      <x:c r="C980" s="69" t="str">
        <x:v>2025-2026</x:v>
      </x:c>
      <x:c r="D980" s="69" t="str">
        <x:v>detail</x:v>
      </x:c>
      <x:c r="E980" s="69" t="str">
        <x:v>13</x:v>
      </x:c>
      <x:c r="F980" s="71" t="str">
        <x:v>13</x:v>
      </x:c>
      <x:c r="G980" s="71" t="str">
        <x:v>文件未載明</x:v>
      </x:c>
      <x:c r="H980" s="71" t="str">
        <x:v>文件未載明</x:v>
      </x:c>
      <x:c r="I980" s="72"/>
      <x:c r="J980" s="69" t="str">
        <x:v>文件未載明</x:v>
      </x:c>
      <x:c r="K980" s="70"/>
      <x:c r="L980" s="69" t="str">
        <x:v>文件未載明</x:v>
      </x:c>
      <x:c r="M980" s="70"/>
      <x:c r="N980" s="69" t="str">
        <x:v>文件未載明</x:v>
      </x:c>
      <x:c r="O980" s="71" t="str">
        <x:v>文件未載明</x:v>
      </x:c>
      <x:c r="P980" s="71" t="str">
        <x:v>HTML table 1 row 14</x:v>
      </x:c>
      <x:c r="Q980" s="71" t="str">
        <x:v>13 | | | | | |</x:v>
      </x:c>
      <x:c r="R980" s="71" t="str">
        <x:v>各廠商合約&amp; 報價\MD檔案\20260127 全鑫-採光罩.md</x:v>
      </x:c>
    </x:row>
    <x:row r="981">
      <x:c r="A981" s="69" t="str">
        <x:v>ITEM00977</x:v>
      </x:c>
      <x:c r="B981" s="69" t="str">
        <x:v>SRC063</x:v>
      </x:c>
      <x:c r="C981" s="69" t="str">
        <x:v>2025-2026</x:v>
      </x:c>
      <x:c r="D981" s="69" t="str">
        <x:v>detail</x:v>
      </x:c>
      <x:c r="E981" s="69" t="str">
        <x:v>14</x:v>
      </x:c>
      <x:c r="F981" s="71" t="str">
        <x:v>14</x:v>
      </x:c>
      <x:c r="G981" s="71" t="str">
        <x:v>文件未載明</x:v>
      </x:c>
      <x:c r="H981" s="71" t="str">
        <x:v>文件未載明</x:v>
      </x:c>
      <x:c r="I981" s="72"/>
      <x:c r="J981" s="69" t="str">
        <x:v>文件未載明</x:v>
      </x:c>
      <x:c r="K981" s="70"/>
      <x:c r="L981" s="69" t="str">
        <x:v>文件未載明</x:v>
      </x:c>
      <x:c r="M981" s="70"/>
      <x:c r="N981" s="69" t="str">
        <x:v>文件未載明</x:v>
      </x:c>
      <x:c r="O981" s="71" t="str">
        <x:v>文件未載明</x:v>
      </x:c>
      <x:c r="P981" s="71" t="str">
        <x:v>HTML table 1 row 15</x:v>
      </x:c>
      <x:c r="Q981" s="71" t="str">
        <x:v>14 | | | | | |</x:v>
      </x:c>
      <x:c r="R981" s="71" t="str">
        <x:v>各廠商合約&amp; 報價\MD檔案\20260127 全鑫-採光罩.md</x:v>
      </x:c>
    </x:row>
    <x:row r="982">
      <x:c r="A982" s="69" t="str">
        <x:v>ITEM00978</x:v>
      </x:c>
      <x:c r="B982" s="69" t="str">
        <x:v>SRC063</x:v>
      </x:c>
      <x:c r="C982" s="69" t="str">
        <x:v>2025-2026</x:v>
      </x:c>
      <x:c r="D982" s="69" t="str">
        <x:v>summary</x:v>
      </x:c>
      <x:c r="E982" s="69" t="str">
        <x:v>15</x:v>
      </x:c>
      <x:c r="F982" s="71" t="str">
        <x:v>15</x:v>
      </x:c>
      <x:c r="G982" s="71" t="str">
        <x:v>文件未載明</x:v>
      </x:c>
      <x:c r="H982" s="71" t="str">
        <x:v>文件未載明</x:v>
      </x:c>
      <x:c r="I982" s="72"/>
      <x:c r="J982" s="69" t="str">
        <x:v>文件未載明</x:v>
      </x:c>
      <x:c r="K982" s="70"/>
      <x:c r="L982" s="69" t="str">
        <x:v>文件未載明</x:v>
      </x:c>
      <x:c r="M982" s="70"/>
      <x:c r="N982" s="69" t="str">
        <x:v>文件未載明</x:v>
      </x:c>
      <x:c r="O982" s="71" t="str">
        <x:v>文件未載明</x:v>
      </x:c>
      <x:c r="P982" s="71" t="str">
        <x:v>HTML table 1 row 16</x:v>
      </x:c>
      <x:c r="Q982" s="71" t="str">
        <x:v>15 | 合計$648400未稅 | | | | |</x:v>
      </x:c>
      <x:c r="R982" s="71" t="str">
        <x:v>各廠商合約&amp; 報價\MD檔案\20260127 全鑫-採光罩.md</x:v>
      </x:c>
    </x:row>
    <x:row r="983">
      <x:c r="A983" s="69" t="str">
        <x:v>ITEM00979</x:v>
      </x:c>
      <x:c r="B983" s="69" t="str">
        <x:v>SRC063</x:v>
      </x:c>
      <x:c r="C983" s="69" t="str">
        <x:v>2025-2026</x:v>
      </x:c>
      <x:c r="D983" s="69" t="str">
        <x:v>detail</x:v>
      </x:c>
      <x:c r="E983" s="69" t="str">
        <x:v>16</x:v>
      </x:c>
      <x:c r="F983" s="71" t="str">
        <x:v>16</x:v>
      </x:c>
      <x:c r="G983" s="71" t="str">
        <x:v>文件未載明</x:v>
      </x:c>
      <x:c r="H983" s="71" t="str">
        <x:v>文件未載明</x:v>
      </x:c>
      <x:c r="I983" s="72"/>
      <x:c r="J983" s="69" t="str">
        <x:v>文件未載明</x:v>
      </x:c>
      <x:c r="K983" s="70"/>
      <x:c r="L983" s="69" t="str">
        <x:v>文件未載明</x:v>
      </x:c>
      <x:c r="M983" s="70"/>
      <x:c r="N983" s="69" t="str">
        <x:v>文件未載明</x:v>
      </x:c>
      <x:c r="O983" s="71" t="str">
        <x:v>文件未載明</x:v>
      </x:c>
      <x:c r="P983" s="71" t="str">
        <x:v>HTML table 1 row 17</x:v>
      </x:c>
      <x:c r="Q983" s="71" t="str">
        <x:v>16 | | | | | |</x:v>
      </x:c>
      <x:c r="R983" s="71" t="str">
        <x:v>各廠商合約&amp; 報價\MD檔案\20260127 全鑫-採光罩.md</x:v>
      </x:c>
    </x:row>
    <x:row r="984">
      <x:c r="A984" s="69" t="str">
        <x:v>ITEM00980</x:v>
      </x:c>
      <x:c r="B984" s="69" t="str">
        <x:v>SRC063</x:v>
      </x:c>
      <x:c r="C984" s="69" t="str">
        <x:v>2025-2026</x:v>
      </x:c>
      <x:c r="D984" s="69" t="str">
        <x:v>detail</x:v>
      </x:c>
      <x:c r="E984" s="69" t="str">
        <x:v>17</x:v>
      </x:c>
      <x:c r="F984" s="71" t="str">
        <x:v>17</x:v>
      </x:c>
      <x:c r="G984" s="71" t="str">
        <x:v>文件未載明</x:v>
      </x:c>
      <x:c r="H984" s="71" t="str">
        <x:v>文件未載明</x:v>
      </x:c>
      <x:c r="I984" s="72"/>
      <x:c r="J984" s="69" t="str">
        <x:v>文件未載明</x:v>
      </x:c>
      <x:c r="K984" s="70"/>
      <x:c r="L984" s="69" t="str">
        <x:v>文件未載明</x:v>
      </x:c>
      <x:c r="M984" s="70"/>
      <x:c r="N984" s="69" t="str">
        <x:v>文件未載明</x:v>
      </x:c>
      <x:c r="O984" s="71" t="str">
        <x:v>文件未載明</x:v>
      </x:c>
      <x:c r="P984" s="71" t="str">
        <x:v>HTML table 1 row 18</x:v>
      </x:c>
      <x:c r="Q984" s="71" t="str">
        <x:v>17 | 議價後620000青銥 | | | | |</x:v>
      </x:c>
      <x:c r="R984" s="71" t="str">
        <x:v>各廠商合約&amp; 報價\MD檔案\20260127 全鑫-採光罩.md</x:v>
      </x:c>
    </x:row>
    <x:row r="985">
      <x:c r="A985" s="69" t="str">
        <x:v>ITEM00981</x:v>
      </x:c>
      <x:c r="B985" s="69" t="str">
        <x:v>SRC063</x:v>
      </x:c>
      <x:c r="C985" s="69" t="str">
        <x:v>2025-2026</x:v>
      </x:c>
      <x:c r="D985" s="69" t="str">
        <x:v>detail</x:v>
      </x:c>
      <x:c r="E985" s="69" t="str">
        <x:v>18</x:v>
      </x:c>
      <x:c r="F985" s="71" t="str">
        <x:v>18</x:v>
      </x:c>
      <x:c r="G985" s="71" t="str">
        <x:v>文件未載明</x:v>
      </x:c>
      <x:c r="H985" s="71" t="str">
        <x:v>文件未載明</x:v>
      </x:c>
      <x:c r="I985" s="72"/>
      <x:c r="J985" s="69" t="str">
        <x:v>文件未載明</x:v>
      </x:c>
      <x:c r="K985" s="70"/>
      <x:c r="L985" s="69" t="str">
        <x:v>文件未載明</x:v>
      </x:c>
      <x:c r="M985" s="70"/>
      <x:c r="N985" s="69" t="str">
        <x:v>文件未載明</x:v>
      </x:c>
      <x:c r="O985" s="71" t="str">
        <x:v>文件未載明</x:v>
      </x:c>
      <x:c r="P985" s="71" t="str">
        <x:v>HTML table 1 row 19</x:v>
      </x:c>
      <x:c r="Q985" s="71" t="str">
        <x:v>18 | | | | | |</x:v>
      </x:c>
      <x:c r="R985" s="71" t="str">
        <x:v>各廠商合約&amp; 報價\MD檔案\20260127 全鑫-採光罩.md</x:v>
      </x:c>
    </x:row>
    <x:row r="986">
      <x:c r="A986" s="69" t="str">
        <x:v>ITEM00982</x:v>
      </x:c>
      <x:c r="B986" s="69" t="str">
        <x:v>SRC063</x:v>
      </x:c>
      <x:c r="C986" s="69" t="str">
        <x:v>2025-2026</x:v>
      </x:c>
      <x:c r="D986" s="69" t="str">
        <x:v>detail</x:v>
      </x:c>
      <x:c r="E986" s="69" t="str">
        <x:v>19</x:v>
      </x:c>
      <x:c r="F986" s="71" t="str">
        <x:v>19</x:v>
      </x:c>
      <x:c r="G986" s="71" t="str">
        <x:v>文件未載明</x:v>
      </x:c>
      <x:c r="H986" s="71" t="str">
        <x:v>文件未載明</x:v>
      </x:c>
      <x:c r="I986" s="72"/>
      <x:c r="J986" s="69" t="str">
        <x:v>文件未載明</x:v>
      </x:c>
      <x:c r="K986" s="70"/>
      <x:c r="L986" s="69" t="str">
        <x:v>文件未載明</x:v>
      </x:c>
      <x:c r="M986" s="70"/>
      <x:c r="N986" s="69" t="str">
        <x:v>文件未載明</x:v>
      </x:c>
      <x:c r="O986" s="71" t="str">
        <x:v>文件未載明</x:v>
      </x:c>
      <x:c r="P986" s="71" t="str">
        <x:v>HTML table 1 row 20</x:v>
      </x:c>
      <x:c r="Q986" s="71" t="str">
        <x:v>19 | | | | | |</x:v>
      </x:c>
      <x:c r="R986" s="71" t="str">
        <x:v>各廠商合約&amp; 報價\MD檔案\20260127 全鑫-採光罩.md</x:v>
      </x:c>
    </x:row>
    <x:row r="987">
      <x:c r="A987" s="69" t="str">
        <x:v>ITEM00983</x:v>
      </x:c>
      <x:c r="B987" s="69" t="str">
        <x:v>SRC063</x:v>
      </x:c>
      <x:c r="C987" s="69" t="str">
        <x:v>2025-2026</x:v>
      </x:c>
      <x:c r="D987" s="69" t="str">
        <x:v>detail</x:v>
      </x:c>
      <x:c r="E987" s="69" t="str">
        <x:v>20</x:v>
      </x:c>
      <x:c r="F987" s="71" t="str">
        <x:v>20</x:v>
      </x:c>
      <x:c r="G987" s="71" t="str">
        <x:v>文件未載明</x:v>
      </x:c>
      <x:c r="H987" s="71" t="str">
        <x:v>文件未載明</x:v>
      </x:c>
      <x:c r="I987" s="72"/>
      <x:c r="J987" s="69" t="str">
        <x:v>文件未載明</x:v>
      </x:c>
      <x:c r="K987" s="70"/>
      <x:c r="L987" s="69" t="str">
        <x:v>文件未載明</x:v>
      </x:c>
      <x:c r="M987" s="70"/>
      <x:c r="N987" s="69" t="str">
        <x:v>文件未載明</x:v>
      </x:c>
      <x:c r="O987" s="71" t="str">
        <x:v>文件未載明</x:v>
      </x:c>
      <x:c r="P987" s="71" t="str">
        <x:v>HTML table 1 row 21</x:v>
      </x:c>
      <x:c r="Q987" s="71" t="str">
        <x:v>20 | | | | | |</x:v>
      </x:c>
      <x:c r="R987" s="71" t="str">
        <x:v>各廠商合約&amp; 報價\MD檔案\20260127 全鑫-採光罩.md</x:v>
      </x:c>
    </x:row>
    <x:row r="988">
      <x:c r="A988" s="69" t="str">
        <x:v>ITEM00984</x:v>
      </x:c>
      <x:c r="B988" s="69" t="str">
        <x:v>SRC063</x:v>
      </x:c>
      <x:c r="C988" s="69" t="str">
        <x:v>2025-2026</x:v>
      </x:c>
      <x:c r="D988" s="69" t="str">
        <x:v>detail</x:v>
      </x:c>
      <x:c r="E988" s="69" t="str">
        <x:v>PS:如有更動尺寸則另計骨架50/100 1.5 標柱100 2.0 5+5強膠合白膜玻璃</x:v>
      </x:c>
      <x:c r="F988" s="71" t="str">
        <x:v>PS:如有更動尺寸則另計骨架50/100 1.5 標柱100 2.0 5+5強膠合白膜玻璃</x:v>
      </x:c>
      <x:c r="G988" s="71" t="str">
        <x:v>文件未載明</x:v>
      </x:c>
      <x:c r="H988" s="71" t="str">
        <x:v>文件未載明</x:v>
      </x:c>
      <x:c r="I988" s="72"/>
      <x:c r="J988" s="69" t="str">
        <x:v>文件未載明</x:v>
      </x:c>
      <x:c r="K988" s="70"/>
      <x:c r="L988" s="69" t="str">
        <x:v>文件未載明</x:v>
      </x:c>
      <x:c r="M988" s="70"/>
      <x:c r="N988" s="69" t="str">
        <x:v>文件未載明</x:v>
      </x:c>
      <x:c r="O988" s="71" t="str">
        <x:v>文件未載明</x:v>
      </x:c>
      <x:c r="P988" s="71" t="str">
        <x:v>HTML table 1 row 22</x:v>
      </x:c>
      <x:c r="Q988" s="71" t="str">
        <x:v>PS:如有更動尺寸則另計骨架50/100 1.5 標柱100 2.0 5+5強膠合白膜玻璃</x:v>
      </x:c>
      <x:c r="R988" s="71" t="str">
        <x:v>各廠商合約&amp; 報價\MD檔案\20260127 全鑫-採光罩.md</x:v>
      </x:c>
    </x:row>
    <x:row r="989">
      <x:c r="A989" s="69" t="str">
        <x:v>ITEM00985</x:v>
      </x:c>
      <x:c r="B989" s="69" t="str">
        <x:v>SRC063</x:v>
      </x:c>
      <x:c r="C989" s="69" t="str">
        <x:v>2025-2026</x:v>
      </x:c>
      <x:c r="D989" s="69" t="str">
        <x:v>detail</x:v>
      </x:c>
      <x:c r="E989" s="69" t="str">
        <x:v>總額新台幣佰拾萬仟佰拾元</x:v>
      </x:c>
      <x:c r="F989" s="71" t="str">
        <x:v>總額新台幣佰拾萬仟佰拾元</x:v>
      </x:c>
      <x:c r="G989" s="71" t="str">
        <x:v>文件未載明</x:v>
      </x:c>
      <x:c r="H989" s="71" t="str">
        <x:v>文件未載明</x:v>
      </x:c>
      <x:c r="I989" s="72"/>
      <x:c r="J989" s="69" t="str">
        <x:v>文件未載明</x:v>
      </x:c>
      <x:c r="K989" s="70"/>
      <x:c r="L989" s="69" t="str">
        <x:v>文件未載明</x:v>
      </x:c>
      <x:c r="M989" s="70"/>
      <x:c r="N989" s="69" t="str">
        <x:v>文件未載明</x:v>
      </x:c>
      <x:c r="O989" s="71" t="str">
        <x:v>文件未載明</x:v>
      </x:c>
      <x:c r="P989" s="71" t="str">
        <x:v>HTML table 1 row 23</x:v>
      </x:c>
      <x:c r="Q989" s="71" t="str">
        <x:v>總額新台幣佰拾萬仟佰拾元 | $</x:v>
      </x:c>
      <x:c r="R989" s="71" t="str">
        <x:v>各廠商合約&amp; 報價\MD檔案\20260127 全鑫-採光罩.md</x:v>
      </x:c>
    </x:row>
    <x:row r="990">
      <x:c r="A990" s="69" t="str">
        <x:v>ITEM00986</x:v>
      </x:c>
      <x:c r="B990" s="69" t="str">
        <x:v>SRC064</x:v>
      </x:c>
      <x:c r="C990" s="69" t="str">
        <x:v>2025-2026</x:v>
      </x:c>
      <x:c r="D990" s="69" t="str">
        <x:v>header</x:v>
      </x:c>
      <x:c r="E990" s="69" t="str">
        <x:v>項次</x:v>
      </x:c>
      <x:c r="F990" s="71" t="str">
        <x:v>位置</x:v>
      </x:c>
      <x:c r="G990" s="71" t="str">
        <x:v>規格</x:v>
      </x:c>
      <x:c r="H990" s="71" t="str">
        <x:v>文件未載明</x:v>
      </x:c>
      <x:c r="I990" s="72"/>
      <x:c r="J990" s="69" t="str">
        <x:v>數量</x:v>
      </x:c>
      <x:c r="K990" s="70"/>
      <x:c r="L990" s="69" t="str">
        <x:v>文件未載明</x:v>
      </x:c>
      <x:c r="M990" s="70"/>
      <x:c r="N990" s="69" t="str">
        <x:v>單樘 小計</x:v>
      </x:c>
      <x:c r="O990" s="71" t="str">
        <x:v>備註</x:v>
      </x:c>
      <x:c r="P990" s="71" t="str">
        <x:v>HTML table 1 row 1</x:v>
      </x:c>
      <x:c r="Q990" s="71" t="str">
        <x:v>項次 | 位置 | 規格 | 色別 | 數量 | 單樘 小計 | 複價 | 備註</x:v>
      </x:c>
      <x:c r="R990" s="71" t="str">
        <x:v>各廠商合約&amp; 報價\MD檔案\20260212 塑豐 瓦斯鋁格柵追加.md</x:v>
      </x:c>
    </x:row>
    <x:row r="991">
      <x:c r="A991" s="69" t="str">
        <x:v>ITEM00987</x:v>
      </x:c>
      <x:c r="B991" s="69" t="str">
        <x:v>SRC064</x:v>
      </x:c>
      <x:c r="C991" s="69" t="str">
        <x:v>2025-2026</x:v>
      </x:c>
      <x:c r="D991" s="69" t="str">
        <x:v>detail</x:v>
      </x:c>
      <x:c r="E991" s="69" t="str">
        <x:v>品名</x:v>
      </x:c>
      <x:c r="F991" s="71" t="str">
        <x:v>W(cm)</x:v>
      </x:c>
      <x:c r="G991" s="71" t="str">
        <x:v>H(cm)</x:v>
      </x:c>
      <x:c r="H991" s="71" t="str">
        <x:v>文件未載明</x:v>
      </x:c>
      <x:c r="I991" s="72"/>
      <x:c r="J991" s="69" t="str">
        <x:v>文件未載明</x:v>
      </x:c>
      <x:c r="K991" s="70"/>
      <x:c r="L991" s="69" t="str">
        <x:v>文件未載明</x:v>
      </x:c>
      <x:c r="M991" s="70"/>
      <x:c r="N991" s="69" t="str">
        <x:v>文件未載明</x:v>
      </x:c>
      <x:c r="O991" s="71" t="str">
        <x:v>文件未載明</x:v>
      </x:c>
      <x:c r="P991" s="71" t="str">
        <x:v>HTML table 1 row 2</x:v>
      </x:c>
      <x:c r="Q991" s="71" t="str">
        <x:v>品名 | W(cm) | H(cm)</x:v>
      </x:c>
      <x:c r="R991" s="71" t="str">
        <x:v>各廠商合約&amp; 報價\MD檔案\20260212 塑豐 瓦斯鋁格柵追加.md</x:v>
      </x:c>
    </x:row>
    <x:row r="992">
      <x:c r="A992" s="69" t="str">
        <x:v>ITEM00988</x:v>
      </x:c>
      <x:c r="B992" s="69" t="str">
        <x:v>SRC064</x:v>
      </x:c>
      <x:c r="C992" s="69" t="str">
        <x:v>2025-2026</x:v>
      </x:c>
      <x:c r="D992" s="69" t="str">
        <x:v>detail</x:v>
      </x:c>
      <x:c r="E992" s="69" t="str">
        <x:v>1</x:v>
      </x:c>
      <x:c r="F992" s="71" t="str">
        <x:v>1F電箱</x:v>
      </x:c>
      <x:c r="G992" s="71" t="str">
        <x:v>鋁格柵</x:v>
      </x:c>
      <x:c r="H992" s="71" t="str">
        <x:v>文件未載明</x:v>
      </x:c>
      <x:c r="I992" s="72" t="n">
        <x:v>375</x:v>
      </x:c>
      <x:c r="J992" s="69" t="str">
        <x:v>375</x:v>
      </x:c>
      <x:c r="K992" s="70"/>
      <x:c r="L992" s="69" t="str">
        <x:v>文件未載明</x:v>
      </x:c>
      <x:c r="M992" s="70" t="n">
        <x:v>49316</x:v>
      </x:c>
      <x:c r="N992" s="69" t="str">
        <x:v>粉體塗裝 #49316鐵灰色</x:v>
      </x:c>
      <x:c r="O992" s="71" t="str">
        <x:v>100,500</x:v>
      </x:c>
      <x:c r="P992" s="71" t="str">
        <x:v>HTML table 1 row 3</x:v>
      </x:c>
      <x:c r="Q992" s="71" t="str">
        <x:v>1 | 1F電箱 | 鋁格柵 | 335 | 375 | 粉體塗裝 #49316鐵灰色 | 1 | 100,500 | 100,500 | 採5*5背擋+3*6立料·間距3cm</x:v>
      </x:c>
      <x:c r="R992" s="71" t="str">
        <x:v>各廠商合約&amp; 報價\MD檔案\20260212 塑豐 瓦斯鋁格柵追加.md</x:v>
      </x:c>
    </x:row>
    <x:row r="993">
      <x:c r="A993" s="69" t="str">
        <x:v>ITEM00989</x:v>
      </x:c>
      <x:c r="B993" s="69" t="str">
        <x:v>SRC064</x:v>
      </x:c>
      <x:c r="C993" s="69" t="str">
        <x:v>2025-2026</x:v>
      </x:c>
      <x:c r="D993" s="69" t="str">
        <x:v>detail</x:v>
      </x:c>
      <x:c r="E993" s="69" t="str">
        <x:v>文件未載明</x:v>
      </x:c>
      <x:c r="F993" s="71" t="str">
        <x:v>以下空白</x:v>
      </x:c>
      <x:c r="G993" s="71" t="str">
        <x:v>以下空白</x:v>
      </x:c>
      <x:c r="H993" s="71" t="str">
        <x:v>文件未載明</x:v>
      </x:c>
      <x:c r="I993" s="72"/>
      <x:c r="J993" s="69" t="str">
        <x:v>文件未載明</x:v>
      </x:c>
      <x:c r="K993" s="70"/>
      <x:c r="L993" s="69" t="str">
        <x:v>文件未載明</x:v>
      </x:c>
      <x:c r="M993" s="70"/>
      <x:c r="N993" s="69" t="str">
        <x:v>文件未載明</x:v>
      </x:c>
      <x:c r="O993" s="71" t="str">
        <x:v>-</x:v>
      </x:c>
      <x:c r="P993" s="71" t="str">
        <x:v>HTML table 1 row 4</x:v>
      </x:c>
      <x:c r="Q993" s="71" t="str">
        <x:v>| | 以下空白 | | | | | - | - |</x:v>
      </x:c>
      <x:c r="R993" s="71" t="str">
        <x:v>各廠商合約&amp; 報價\MD檔案\20260212 塑豐 瓦斯鋁格柵追加.md</x:v>
      </x:c>
    </x:row>
    <x:row r="994">
      <x:c r="A994" s="69" t="str">
        <x:v>ITEM00990</x:v>
      </x:c>
      <x:c r="B994" s="69" t="str">
        <x:v>SRC064</x:v>
      </x:c>
      <x:c r="C994" s="69" t="str">
        <x:v>2025-2026</x:v>
      </x:c>
      <x:c r="D994" s="69" t="str">
        <x:v>summary</x:v>
      </x:c>
      <x:c r="E994" s="69" t="str">
        <x:v>小計</x:v>
      </x:c>
      <x:c r="F994" s="71" t="str">
        <x:v>文件未載明</x:v>
      </x:c>
      <x:c r="G994" s="71" t="str">
        <x:v>1</x:v>
      </x:c>
      <x:c r="H994" s="71" t="str">
        <x:v>文件未載明</x:v>
      </x:c>
      <x:c r="I994" s="72" t="n">
        <x:v>100500</x:v>
      </x:c>
      <x:c r="J994" s="69" t="str">
        <x:v>100,500</x:v>
      </x:c>
      <x:c r="K994" s="70"/>
      <x:c r="L994" s="69" t="str">
        <x:v>文件未載明</x:v>
      </x:c>
      <x:c r="M994" s="70"/>
      <x:c r="N994" s="69" t="str">
        <x:v>文件未載明</x:v>
      </x:c>
      <x:c r="O994" s="71" t="str">
        <x:v>文件未載明</x:v>
      </x:c>
      <x:c r="P994" s="71" t="str">
        <x:v>HTML table 1 row 5</x:v>
      </x:c>
      <x:c r="Q994" s="71" t="str">
        <x:v>小計 | | 1 | | 100,500 |</x:v>
      </x:c>
      <x:c r="R994" s="71" t="str">
        <x:v>各廠商合約&amp; 報價\MD檔案\20260212 塑豐 瓦斯鋁格柵追加.md</x:v>
      </x:c>
    </x:row>
    <x:row r="995">
      <x:c r="A995" s="69" t="str">
        <x:v>ITEM00991</x:v>
      </x:c>
      <x:c r="B995" s="69" t="str">
        <x:v>SRC064</x:v>
      </x:c>
      <x:c r="C995" s="69" t="str">
        <x:v>2025-2026</x:v>
      </x:c>
      <x:c r="D995" s="69" t="str">
        <x:v>summary</x:v>
      </x:c>
      <x:c r="E995" s="69" t="str">
        <x:v>報價說明 1.以上表面處理採一般粉體塗裝#49316鐵灰色。</x:v>
      </x:c>
      <x:c r="F995" s="71" t="str">
        <x:v>稅金 5,025 總計 105,525</x:v>
      </x:c>
      <x:c r="G995" s="71" t="str">
        <x:v>文件未載明</x:v>
      </x:c>
      <x:c r="H995" s="71" t="str">
        <x:v>文件未載明</x:v>
      </x:c>
      <x:c r="I995" s="72"/>
      <x:c r="J995" s="69" t="str">
        <x:v>文件未載明</x:v>
      </x:c>
      <x:c r="K995" s="70"/>
      <x:c r="L995" s="69" t="str">
        <x:v>文件未載明</x:v>
      </x:c>
      <x:c r="M995" s="70"/>
      <x:c r="N995" s="69" t="str">
        <x:v>文件未載明</x:v>
      </x:c>
      <x:c r="O995" s="71" t="str">
        <x:v>文件未載明</x:v>
      </x:c>
      <x:c r="P995" s="71" t="str">
        <x:v>HTML table 1 row 6</x:v>
      </x:c>
      <x:c r="Q995" s="71" t="str">
        <x:v>報價說明 1.以上表面處理採一般粉體塗裝#49316鐵灰色。 | 稅金 5,025 總計 105,525 |</x:v>
      </x:c>
      <x:c r="R995" s="71" t="str">
        <x:v>各廠商合約&amp; 報價\MD檔案\20260212 塑豐 瓦斯鋁格柵追加.md</x:v>
      </x:c>
    </x:row>
    <x:row r="996">
      <x:c r="A996" s="69" t="str">
        <x:v>ITEM00992</x:v>
      </x:c>
      <x:c r="B996" s="69" t="str">
        <x:v>SRC065</x:v>
      </x:c>
      <x:c r="C996" s="69" t="str">
        <x:v>2025-2026</x:v>
      </x:c>
      <x:c r="D996" s="69" t="str">
        <x:v>header</x:v>
      </x:c>
      <x:c r="E996" s="69" t="str">
        <x:v>文件未載明</x:v>
      </x:c>
      <x:c r="F996" s="71" t="str">
        <x:v>品名</x:v>
      </x:c>
      <x:c r="G996" s="71" t="str">
        <x:v>規格</x:v>
      </x:c>
      <x:c r="H996" s="71" t="str">
        <x:v>單位</x:v>
      </x:c>
      <x:c r="I996" s="72"/>
      <x:c r="J996" s="69" t="str">
        <x:v>數量</x:v>
      </x:c>
      <x:c r="K996" s="70"/>
      <x:c r="L996" s="69" t="str">
        <x:v>單價</x:v>
      </x:c>
      <x:c r="M996" s="70"/>
      <x:c r="N996" s="69" t="str">
        <x:v>金額</x:v>
      </x:c>
      <x:c r="O996" s="71" t="str">
        <x:v>備註</x:v>
      </x:c>
      <x:c r="P996" s="71" t="str">
        <x:v>HTML table 1 row 1</x:v>
      </x:c>
      <x:c r="Q996" s="71" t="str">
        <x:v>品名 | 規格 | 單位 | 數量 | 單價 | 金額 | 備註</x:v>
      </x:c>
      <x:c r="R996" s="71" t="str">
        <x:v>各廠商合約&amp; 報價\MD檔案\20260225 太格 客變木地板.md</x:v>
      </x:c>
    </x:row>
    <x:row r="997">
      <x:c r="A997" s="69" t="str">
        <x:v>ITEM00993</x:v>
      </x:c>
      <x:c r="B997" s="69" t="str">
        <x:v>SRC065</x:v>
      </x:c>
      <x:c r="C997" s="69" t="str">
        <x:v>2025-2026</x:v>
      </x:c>
      <x:c r="D997" s="69" t="str">
        <x:v>detail</x:v>
      </x:c>
      <x:c r="E997" s="69" t="str">
        <x:v>文件未載明</x:v>
      </x:c>
      <x:c r="F997" s="71" t="str">
        <x:v>太格德國精工木地板美綻系列</x:v>
      </x:c>
      <x:c r="G997" s="71" t="str">
        <x:v>8mm*19.3cm*138.0cm</x:v>
      </x:c>
      <x:c r="H997" s="71" t="str">
        <x:v>坪</x:v>
      </x:c>
      <x:c r="I997" s="72" t="n">
        <x:v>8</x:v>
      </x:c>
      <x:c r="J997" s="69" t="str">
        <x:v>8</x:v>
      </x:c>
      <x:c r="K997" s="70" t="n">
        <x:v>2900</x:v>
      </x:c>
      <x:c r="L997" s="69" t="str">
        <x:v>2,900</x:v>
      </x:c>
      <x:c r="M997" s="70" t="n">
        <x:v>23200</x:v>
      </x:c>
      <x:c r="N997" s="69" t="str">
        <x:v>23,200</x:v>
      </x:c>
      <x:c r="O997" s="71" t="str">
        <x:v>AC4德國原裝進口6A顏色:D3201隔音值:21dB</x:v>
      </x:c>
      <x:c r="P997" s="71" t="str">
        <x:v>HTML table 1 row 2</x:v>
      </x:c>
      <x:c r="Q997" s="71" t="str">
        <x:v>太格德國精工木地板美綻系列 | 8mm*19.3cm*138.0cm | 坪 | 8 | 2,900 | 23,200 | AC4德國原裝進口6A顏色:D3201隔音值:21dB</x:v>
      </x:c>
      <x:c r="R997" s="71" t="str">
        <x:v>各廠商合約&amp; 報價\MD檔案\20260225 太格 客變木地板.md</x:v>
      </x:c>
    </x:row>
    <x:row r="998">
      <x:c r="A998" s="69" t="str">
        <x:v>ITEM00994</x:v>
      </x:c>
      <x:c r="B998" s="69" t="str">
        <x:v>SRC065</x:v>
      </x:c>
      <x:c r="C998" s="69" t="str">
        <x:v>2025-2026</x:v>
      </x:c>
      <x:c r="D998" s="69" t="str">
        <x:v>detail</x:v>
      </x:c>
      <x:c r="E998" s="69" t="str">
        <x:v>文件未載明</x:v>
      </x:c>
      <x:c r="F998" s="71" t="str">
        <x:v>太格德國精工木地板美綻系列</x:v>
      </x:c>
      <x:c r="G998" s="71" t="str">
        <x:v>8mm*19.3cm*138.0cm</x:v>
      </x:c>
      <x:c r="H998" s="71" t="str">
        <x:v>坪</x:v>
      </x:c>
      <x:c r="I998" s="72" t="n">
        <x:v>8</x:v>
      </x:c>
      <x:c r="J998" s="69" t="str">
        <x:v>8</x:v>
      </x:c>
      <x:c r="K998" s="70" t="n">
        <x:v>2900</x:v>
      </x:c>
      <x:c r="L998" s="69" t="str">
        <x:v>2,900</x:v>
      </x:c>
      <x:c r="M998" s="70" t="n">
        <x:v>23200</x:v>
      </x:c>
      <x:c r="N998" s="69" t="str">
        <x:v>23,200</x:v>
      </x:c>
      <x:c r="O998" s="71" t="str">
        <x:v>AC4德國原裝進口6B顏色:D3902隔音值:21dB</x:v>
      </x:c>
      <x:c r="P998" s="71" t="str">
        <x:v>HTML table 1 row 3</x:v>
      </x:c>
      <x:c r="Q998" s="71" t="str">
        <x:v>太格德國精工木地板美綻系列 | 8mm*19.3cm*138.0cm | 坪 | 8 | 2,900 | 23,200 | AC4德國原裝進口6B顏色:D3902隔音值:21dB</x:v>
      </x:c>
      <x:c r="R998" s="71" t="str">
        <x:v>各廠商合約&amp; 報價\MD檔案\20260225 太格 客變木地板.md</x:v>
      </x:c>
    </x:row>
    <x:row r="999">
      <x:c r="A999" s="69" t="str">
        <x:v>ITEM00995</x:v>
      </x:c>
      <x:c r="B999" s="69" t="str">
        <x:v>SRC065</x:v>
      </x:c>
      <x:c r="C999" s="69" t="str">
        <x:v>2025-2026</x:v>
      </x:c>
      <x:c r="D999" s="69" t="str">
        <x:v>detail</x:v>
      </x:c>
      <x:c r="E999" s="69" t="str">
        <x:v>文件未載明</x:v>
      </x:c>
      <x:c r="F999" s="71" t="str">
        <x:v>太格德國精工木地板美綻系列</x:v>
      </x:c>
      <x:c r="G999" s="71" t="str">
        <x:v>8mm*19.3cm*138.0cm</x:v>
      </x:c>
      <x:c r="H999" s="71" t="str">
        <x:v>坪</x:v>
      </x:c>
      <x:c r="I999" s="72" t="n">
        <x:v>7</x:v>
      </x:c>
      <x:c r="J999" s="69" t="str">
        <x:v>7</x:v>
      </x:c>
      <x:c r="K999" s="70" t="n">
        <x:v>3650</x:v>
      </x:c>
      <x:c r="L999" s="69" t="str">
        <x:v>3,650</x:v>
      </x:c>
      <x:c r="M999" s="70" t="n">
        <x:v>25550</x:v>
      </x:c>
      <x:c r="N999" s="69" t="str">
        <x:v>25,550</x:v>
      </x:c>
      <x:c r="O999" s="71" t="str">
        <x:v>AC4德國原裝進口4A顏色:D3004隔音值:21dB</x:v>
      </x:c>
      <x:c r="P999" s="71" t="str">
        <x:v>HTML table 1 row 4</x:v>
      </x:c>
      <x:c r="Q999" s="71" t="str">
        <x:v>太格德國精工木地板美綻系列 | 8mm*19.3cm*138.0cm | 坪 | 7 | 3,650 | 25,550 | AC4德國原裝進口4A顏色:D3004隔音值:21dB</x:v>
      </x:c>
      <x:c r="R999" s="71" t="str">
        <x:v>各廠商合約&amp; 報價\MD檔案\20260225 太格 客變木地板.md</x:v>
      </x:c>
    </x:row>
    <x:row r="1000">
      <x:c r="A1000" s="69" t="str">
        <x:v>ITEM00996</x:v>
      </x:c>
      <x:c r="B1000" s="69" t="str">
        <x:v>SRC065</x:v>
      </x:c>
      <x:c r="C1000" s="69" t="str">
        <x:v>2025-2026</x:v>
      </x:c>
      <x:c r="D1000" s="69" t="str">
        <x:v>detail</x:v>
      </x:c>
      <x:c r="E1000" s="69" t="str">
        <x:v>文件未載明</x:v>
      </x:c>
      <x:c r="F1000" s="71" t="str">
        <x:v>德國原裝進口木地板 8mm + 歐洲波浪隔音墊 2.3mm =全系統 10.3mm</x:v>
      </x:c>
      <x:c r="G1000" s="71" t="str">
        <x:v>文件未載明</x:v>
      </x:c>
      <x:c r="H1000" s="71" t="str">
        <x:v>文件未載明</x:v>
      </x:c>
      <x:c r="I1000" s="72"/>
      <x:c r="J1000" s="69" t="str">
        <x:v>文件未載明</x:v>
      </x:c>
      <x:c r="K1000" s="70"/>
      <x:c r="L1000" s="69" t="str">
        <x:v>文件未載明</x:v>
      </x:c>
      <x:c r="M1000" s="70"/>
      <x:c r="N1000" s="69" t="str">
        <x:v>文件未載明</x:v>
      </x:c>
      <x:c r="O1000" s="71" t="str">
        <x:v>文件未載明</x:v>
      </x:c>
      <x:c r="P1000" s="71" t="str">
        <x:v>HTML table 1 row 5</x:v>
      </x:c>
      <x:c r="Q1000" s="71" t="str">
        <x:v>德國原裝進口木地板 8mm + 歐洲波浪隔音墊 2.3mm =全系統 10.3mm</x:v>
      </x:c>
      <x:c r="R1000" s="71" t="str">
        <x:v>各廠商合約&amp; 報價\MD檔案\20260225 太格 客變木地板.md</x:v>
      </x:c>
    </x:row>
    <x:row r="1001">
      <x:c r="A1001" s="69" t="str">
        <x:v>ITEM00997</x:v>
      </x:c>
      <x:c r="B1001" s="69" t="str">
        <x:v>SRC065</x:v>
      </x:c>
      <x:c r="C1001" s="69" t="str">
        <x:v>2025-2026</x:v>
      </x:c>
      <x:c r="D1001" s="69" t="str">
        <x:v>detail</x:v>
      </x:c>
      <x:c r="E1001" s="69" t="str">
        <x:v>文件未載明</x:v>
      </x:c>
      <x:c r="F1001" s="71" t="str">
        <x:v>兩件式鋁質木紋收邊條</x:v>
      </x:c>
      <x:c r="G1001" s="71" t="str">
        <x:v>M</x:v>
      </x:c>
      <x:c r="H1001" s="71" t="str">
        <x:v>15</x:v>
      </x:c>
      <x:c r="I1001" s="72" t="n">
        <x:v>500</x:v>
      </x:c>
      <x:c r="J1001" s="69" t="str">
        <x:v>500</x:v>
      </x:c>
      <x:c r="K1001" s="70" t="n">
        <x:v>7500</x:v>
      </x:c>
      <x:c r="L1001" s="69" t="str">
        <x:v>7,500</x:v>
      </x:c>
      <x:c r="M1001" s="70"/>
      <x:c r="N1001" s="69" t="str">
        <x:v>木地板與不同材質地面交接處收邊,架高處踏立面收邊</x:v>
      </x:c>
      <x:c r="O1001" s="71" t="str">
        <x:v>文件未載明</x:v>
      </x:c>
      <x:c r="P1001" s="71" t="str">
        <x:v>HTML table 1 row 6</x:v>
      </x:c>
      <x:c r="Q1001" s="71" t="str">
        <x:v>兩件式鋁質木紋收邊條 | M | 15 | 500 | 7,500 | 木地板與不同材質地面交接處收邊,架高處踏立面收邊</x:v>
      </x:c>
      <x:c r="R1001" s="71" t="str">
        <x:v>各廠商合約&amp; 報價\MD檔案\20260225 太格 客變木地板.md</x:v>
      </x:c>
    </x:row>
    <x:row r="1002">
      <x:c r="A1002" s="69" t="str">
        <x:v>ITEM00998</x:v>
      </x:c>
      <x:c r="B1002" s="69" t="str">
        <x:v>SRC065</x:v>
      </x:c>
      <x:c r="C1002" s="69" t="str">
        <x:v>2025-2026</x:v>
      </x:c>
      <x:c r="D1002" s="69" t="str">
        <x:v>detail</x:v>
      </x:c>
      <x:c r="E1002" s="69" t="str">
        <x:v>文件未載明</x:v>
      </x:c>
      <x:c r="F1002" s="71" t="str">
        <x:v>以下空白</x:v>
      </x:c>
      <x:c r="G1002" s="71" t="str">
        <x:v>文件未載明</x:v>
      </x:c>
      <x:c r="H1002" s="71" t="str">
        <x:v>文件未載明</x:v>
      </x:c>
      <x:c r="I1002" s="72"/>
      <x:c r="J1002" s="69" t="str">
        <x:v>文件未載明</x:v>
      </x:c>
      <x:c r="K1002" s="70"/>
      <x:c r="L1002" s="69" t="str">
        <x:v>文件未載明</x:v>
      </x:c>
      <x:c r="M1002" s="70"/>
      <x:c r="N1002" s="69" t="str">
        <x:v>文件未載明</x:v>
      </x:c>
      <x:c r="O1002" s="71" t="str">
        <x:v>文件未載明</x:v>
      </x:c>
      <x:c r="P1002" s="71" t="str">
        <x:v>HTML table 1 row 7</x:v>
      </x:c>
      <x:c r="Q1002" s="71" t="str">
        <x:v>以下空白 | | | | |</x:v>
      </x:c>
      <x:c r="R1002" s="71" t="str">
        <x:v>各廠商合約&amp; 報價\MD檔案\20260225 太格 客變木地板.md</x:v>
      </x:c>
    </x:row>
    <x:row r="1003">
      <x:c r="A1003" s="69" t="str">
        <x:v>ITEM00999</x:v>
      </x:c>
      <x:c r="B1003" s="69" t="str">
        <x:v>SRC065</x:v>
      </x:c>
      <x:c r="C1003" s="69" t="str">
        <x:v>2025-2026</x:v>
      </x:c>
      <x:c r="D1003" s="69" t="str">
        <x:v>summary</x:v>
      </x:c>
      <x:c r="E1003" s="69" t="str">
        <x:v>文件未載明</x:v>
      </x:c>
      <x:c r="F1003" s="71" t="str">
        <x:v>合計</x:v>
      </x:c>
      <x:c r="G1003" s="71" t="str">
        <x:v>合計</x:v>
      </x:c>
      <x:c r="H1003" s="71" t="str">
        <x:v>79,450</x:v>
      </x:c>
      <x:c r="I1003" s="72"/>
      <x:c r="J1003" s="69" t="str">
        <x:v>文件未載明</x:v>
      </x:c>
      <x:c r="K1003" s="70"/>
      <x:c r="L1003" s="69" t="str">
        <x:v>文件未載明</x:v>
      </x:c>
      <x:c r="M1003" s="70"/>
      <x:c r="N1003" s="69" t="str">
        <x:v>文件未載明</x:v>
      </x:c>
      <x:c r="O1003" s="71" t="str">
        <x:v>文件未載明</x:v>
      </x:c>
      <x:c r="P1003" s="71" t="str">
        <x:v>HTML table 1 row 8</x:v>
      </x:c>
      <x:c r="Q1003" s="71" t="str">
        <x:v>| 合計 | 79,450 |</x:v>
      </x:c>
      <x:c r="R1003" s="71" t="str">
        <x:v>各廠商合約&amp; 報價\MD檔案\20260225 太格 客變木地板.md</x:v>
      </x:c>
    </x:row>
    <x:row r="1004">
      <x:c r="A1004" s="69" t="str">
        <x:v>ITEM01000</x:v>
      </x:c>
      <x:c r="B1004" s="69" t="str">
        <x:v>SRC065</x:v>
      </x:c>
      <x:c r="C1004" s="69" t="str">
        <x:v>2025-2026</x:v>
      </x:c>
      <x:c r="D1004" s="69" t="str">
        <x:v>summary</x:v>
      </x:c>
      <x:c r="E1004" s="69" t="str">
        <x:v>文件未載明</x:v>
      </x:c>
      <x:c r="F1004" s="71" t="str">
        <x:v>5%營業稅</x:v>
      </x:c>
      <x:c r="G1004" s="71" t="str">
        <x:v>5%營業稅</x:v>
      </x:c>
      <x:c r="H1004" s="71" t="str">
        <x:v>3973</x:v>
      </x:c>
      <x:c r="I1004" s="72"/>
      <x:c r="J1004" s="69" t="str">
        <x:v>文件未載明</x:v>
      </x:c>
      <x:c r="K1004" s="70"/>
      <x:c r="L1004" s="69" t="str">
        <x:v>文件未載明</x:v>
      </x:c>
      <x:c r="M1004" s="70"/>
      <x:c r="N1004" s="69" t="str">
        <x:v>文件未載明</x:v>
      </x:c>
      <x:c r="O1004" s="71" t="str">
        <x:v>文件未載明</x:v>
      </x:c>
      <x:c r="P1004" s="71" t="str">
        <x:v>HTML table 1 row 9</x:v>
      </x:c>
      <x:c r="Q1004" s="71" t="str">
        <x:v>| 5%營業稅 | 3973 |</x:v>
      </x:c>
      <x:c r="R1004" s="71" t="str">
        <x:v>各廠商合約&amp; 報價\MD檔案\20260225 太格 客變木地板.md</x:v>
      </x:c>
    </x:row>
    <x:row r="1005">
      <x:c r="A1005" s="69" t="str">
        <x:v>ITEM01001</x:v>
      </x:c>
      <x:c r="B1005" s="69" t="str">
        <x:v>SRC065</x:v>
      </x:c>
      <x:c r="C1005" s="69" t="str">
        <x:v>2025-2026</x:v>
      </x:c>
      <x:c r="D1005" s="69" t="str">
        <x:v>summary</x:v>
      </x:c>
      <x:c r="E1005" s="69" t="str">
        <x:v>文件未載明</x:v>
      </x:c>
      <x:c r="F1005" s="71" t="str">
        <x:v>總計</x:v>
      </x:c>
      <x:c r="G1005" s="71" t="str">
        <x:v>總計</x:v>
      </x:c>
      <x:c r="H1005" s="71" t="str">
        <x:v>83,423</x:v>
      </x:c>
      <x:c r="I1005" s="72"/>
      <x:c r="J1005" s="69" t="str">
        <x:v>文件未載明</x:v>
      </x:c>
      <x:c r="K1005" s="70"/>
      <x:c r="L1005" s="69" t="str">
        <x:v>文件未載明</x:v>
      </x:c>
      <x:c r="M1005" s="70"/>
      <x:c r="N1005" s="69" t="str">
        <x:v>文件未載明</x:v>
      </x:c>
      <x:c r="O1005" s="71" t="str">
        <x:v>文件未載明</x:v>
      </x:c>
      <x:c r="P1005" s="71" t="str">
        <x:v>HTML table 1 row 10</x:v>
      </x:c>
      <x:c r="Q1005" s="71" t="str">
        <x:v>| 總計 | 83,423 |</x:v>
      </x:c>
      <x:c r="R1005" s="71" t="str">
        <x:v>各廠商合約&amp; 報價\MD檔案\20260225 太格 客變木地板.md</x:v>
      </x:c>
    </x:row>
    <x:row r="1006">
      <x:c r="A1006" s="69" t="str">
        <x:v>ITEM01002</x:v>
      </x:c>
      <x:c r="B1006" s="69" t="str">
        <x:v>SRC065</x:v>
      </x:c>
      <x:c r="C1006" s="69" t="str">
        <x:v>2025-2026</x:v>
      </x:c>
      <x:c r="D1006" s="69" t="str">
        <x:v>detail</x:v>
      </x:c>
      <x:c r="E1006" s="69" t="str">
        <x:v>文件未載明</x:v>
      </x:c>
      <x:c r="F1006" s="71" t="str">
        <x:v>附註說明:</x:v>
      </x:c>
      <x:c r="G1006" s="71" t="str">
        <x:v>文件未載明</x:v>
      </x:c>
      <x:c r="H1006" s="71" t="str">
        <x:v>文件未載明</x:v>
      </x:c>
      <x:c r="I1006" s="72"/>
      <x:c r="J1006" s="69" t="str">
        <x:v>文件未載明</x:v>
      </x:c>
      <x:c r="K1006" s="70"/>
      <x:c r="L1006" s="69" t="str">
        <x:v>文件未載明</x:v>
      </x:c>
      <x:c r="M1006" s="70"/>
      <x:c r="N1006" s="69" t="str">
        <x:v>文件未載明</x:v>
      </x:c>
      <x:c r="O1006" s="71" t="str">
        <x:v>文件未載明</x:v>
      </x:c>
      <x:c r="P1006" s="71" t="str">
        <x:v>HTML table 1 row 11</x:v>
      </x:c>
      <x:c r="Q1006" s="71" t="str">
        <x:v>附註說明:</x:v>
      </x:c>
      <x:c r="R1006" s="71" t="str">
        <x:v>各廠商合約&amp; 報價\MD檔案\20260225 太格 客變木地板.md</x:v>
      </x:c>
    </x:row>
    <x:row r="1007">
      <x:c r="A1007" s="69" t="str">
        <x:v>ITEM01003</x:v>
      </x:c>
      <x:c r="B1007" s="69" t="str">
        <x:v>SRC065</x:v>
      </x:c>
      <x:c r="C1007" s="69" t="str">
        <x:v>2025-2026</x:v>
      </x:c>
      <x:c r="D1007" s="69" t="str">
        <x:v>summary</x:v>
      </x:c>
      <x:c r="E1007" s="69" t="str">
        <x:v>文件未載明</x:v>
      </x:c>
      <x:c r="F1007" s="71" t="str">
        <x:v>1.以上報價為連工帶料、未稅價格;數量實做實算。</x:v>
      </x:c>
      <x:c r="G1007" s="71" t="str">
        <x:v>文件未載明</x:v>
      </x:c>
      <x:c r="H1007" s="71" t="str">
        <x:v>文件未載明</x:v>
      </x:c>
      <x:c r="I1007" s="72"/>
      <x:c r="J1007" s="69" t="str">
        <x:v>文件未載明</x:v>
      </x:c>
      <x:c r="K1007" s="70"/>
      <x:c r="L1007" s="69" t="str">
        <x:v>文件未載明</x:v>
      </x:c>
      <x:c r="M1007" s="70"/>
      <x:c r="N1007" s="69" t="str">
        <x:v>文件未載明</x:v>
      </x:c>
      <x:c r="O1007" s="71" t="str">
        <x:v>文件未載明</x:v>
      </x:c>
      <x:c r="P1007" s="71" t="str">
        <x:v>HTML table 1 row 12</x:v>
      </x:c>
      <x:c r="Q1007" s="71" t="str">
        <x:v>1.以上報價為連工帶料、未稅價格;數量實做實算。</x:v>
      </x:c>
      <x:c r="R1007" s="71" t="str">
        <x:v>各廠商合約&amp; 報價\MD檔案\20260225 太格 客變木地板.md</x:v>
      </x:c>
    </x:row>
    <x:row r="1008">
      <x:c r="A1008" s="69" t="str">
        <x:v>ITEM01004</x:v>
      </x:c>
      <x:c r="B1008" s="69" t="str">
        <x:v>SRC065</x:v>
      </x:c>
      <x:c r="C1008" s="69" t="str">
        <x:v>2025-2026</x:v>
      </x:c>
      <x:c r="D1008" s="69" t="str">
        <x:v>note</x:v>
      </x:c>
      <x:c r="E1008" s="69" t="str">
        <x:v>文件未載明</x:v>
      </x:c>
      <x:c r="F1008" s="71" t="str">
        <x:v>2.本報價不含素地整平、自平水泥施作、地板施作後之清潔打臘以及完工後鋪設保護膜。</x:v>
      </x:c>
      <x:c r="G1008" s="71" t="str">
        <x:v>文件未載明</x:v>
      </x:c>
      <x:c r="H1008" s="71" t="str">
        <x:v>文件未載明</x:v>
      </x:c>
      <x:c r="I1008" s="72"/>
      <x:c r="J1008" s="69" t="str">
        <x:v>文件未載明</x:v>
      </x:c>
      <x:c r="K1008" s="70"/>
      <x:c r="L1008" s="69" t="str">
        <x:v>文件未載明</x:v>
      </x:c>
      <x:c r="M1008" s="70"/>
      <x:c r="N1008" s="69" t="str">
        <x:v>文件未載明</x:v>
      </x:c>
      <x:c r="O1008" s="71" t="str">
        <x:v>文件未載明</x:v>
      </x:c>
      <x:c r="P1008" s="71" t="str">
        <x:v>HTML table 1 row 13</x:v>
      </x:c>
      <x:c r="Q1008" s="71" t="str">
        <x:v>2.本報價不含素地整平、自平水泥施作、地板施作後之清潔打臘以及完工後鋪設保護膜。</x:v>
      </x:c>
      <x:c r="R1008" s="71" t="str">
        <x:v>各廠商合約&amp; 報價\MD檔案\20260225 太格 客變木地板.md</x:v>
      </x:c>
    </x:row>
    <x:row r="1009">
      <x:c r="A1009" s="69" t="str">
        <x:v>ITEM01005</x:v>
      </x:c>
      <x:c r="B1009" s="69" t="str">
        <x:v>SRC065</x:v>
      </x:c>
      <x:c r="C1009" s="69" t="str">
        <x:v>2025-2026</x:v>
      </x:c>
      <x:c r="D1009" s="69" t="str">
        <x:v>detail</x:v>
      </x:c>
      <x:c r="E1009" s="69" t="str">
        <x:v>文件未載明</x:v>
      </x:c>
      <x:c r="F1009" s="71" t="str">
        <x:v>3.太格德國精工木地板採用德式汽浮式施工,全系列為德國原裝進口。第一層:歐洲波浪隔音墊(2.3mm)第二層:強化複合木地板。</x:v>
      </x:c>
      <x:c r="G1009" s="71" t="str">
        <x:v>文件未載明</x:v>
      </x:c>
      <x:c r="H1009" s="71" t="str">
        <x:v>文件未載明</x:v>
      </x:c>
      <x:c r="I1009" s="72"/>
      <x:c r="J1009" s="69" t="str">
        <x:v>文件未載明</x:v>
      </x:c>
      <x:c r="K1009" s="70"/>
      <x:c r="L1009" s="69" t="str">
        <x:v>文件未載明</x:v>
      </x:c>
      <x:c r="M1009" s="70"/>
      <x:c r="N1009" s="69" t="str">
        <x:v>文件未載明</x:v>
      </x:c>
      <x:c r="O1009" s="71" t="str">
        <x:v>文件未載明</x:v>
      </x:c>
      <x:c r="P1009" s="71" t="str">
        <x:v>HTML table 1 row 14</x:v>
      </x:c>
      <x:c r="Q1009" s="71" t="str">
        <x:v>3.太格德國精工木地板採用德式汽浮式施工,全系列為德國原裝進口。第一層:歐洲波浪隔音墊(2.3mm)第二層:強化複合木地板。</x:v>
      </x:c>
      <x:c r="R1009" s="71" t="str">
        <x:v>各廠商合約&amp; 報價\MD檔案\20260225 太格 客變木地板.md</x:v>
      </x:c>
    </x:row>
    <x:row r="1010">
      <x:c r="A1010" s="69" t="str">
        <x:v>ITEM01006</x:v>
      </x:c>
      <x:c r="B1010" s="69" t="str">
        <x:v>SRC065</x:v>
      </x:c>
      <x:c r="C1010" s="69" t="str">
        <x:v>2025-2026</x:v>
      </x:c>
      <x:c r="D1010" s="69" t="str">
        <x:v>detail</x:v>
      </x:c>
      <x:c r="E1010" s="69" t="str">
        <x:v>文件未載明</x:v>
      </x:c>
      <x:c r="F1010" s="71" t="str">
        <x:v>4.木地板施工區域四周須留 10 mm之伸縮縫(超過4M*4M空間,需視情況調整之),伸縮縫以瓷白色矽利康收邊之。</x:v>
      </x:c>
      <x:c r="G1010" s="71" t="str">
        <x:v>文件未載明</x:v>
      </x:c>
      <x:c r="H1010" s="71" t="str">
        <x:v>文件未載明</x:v>
      </x:c>
      <x:c r="I1010" s="72"/>
      <x:c r="J1010" s="69" t="str">
        <x:v>文件未載明</x:v>
      </x:c>
      <x:c r="K1010" s="70"/>
      <x:c r="L1010" s="69" t="str">
        <x:v>文件未載明</x:v>
      </x:c>
      <x:c r="M1010" s="70"/>
      <x:c r="N1010" s="69" t="str">
        <x:v>文件未載明</x:v>
      </x:c>
      <x:c r="O1010" s="71" t="str">
        <x:v>文件未載明</x:v>
      </x:c>
      <x:c r="P1010" s="71" t="str">
        <x:v>HTML table 1 row 15</x:v>
      </x:c>
      <x:c r="Q1010" s="71" t="str">
        <x:v>4.木地板施工區域四周須留 10 mm之伸縮縫(超過4M*4M空間,需視情況調整之),伸縮縫以瓷白色矽利康收邊之。</x:v>
      </x:c>
      <x:c r="R1010" s="71" t="str">
        <x:v>各廠商合約&amp; 報價\MD檔案\20260225 太格 客變木地板.md</x:v>
      </x:c>
    </x:row>
    <x:row r="1011">
      <x:c r="A1011" s="69" t="str">
        <x:v>ITEM01007</x:v>
      </x:c>
      <x:c r="B1011" s="69" t="str">
        <x:v>SRC065</x:v>
      </x:c>
      <x:c r="C1011" s="69" t="str">
        <x:v>2025-2026</x:v>
      </x:c>
      <x:c r="D1011" s="69" t="str">
        <x:v>detail</x:v>
      </x:c>
      <x:c r="E1011" s="69" t="str">
        <x:v>文件未載明</x:v>
      </x:c>
      <x:c r="F1011" s="71" t="str">
        <x:v>5.木地板施工前水泥素地需乾燥不起砂、平整度要求:兩米直尺範圍高低差不超過3mm。</x:v>
      </x:c>
      <x:c r="G1011" s="71" t="str">
        <x:v>文件未載明</x:v>
      </x:c>
      <x:c r="H1011" s="71" t="str">
        <x:v>文件未載明</x:v>
      </x:c>
      <x:c r="I1011" s="72"/>
      <x:c r="J1011" s="69" t="str">
        <x:v>文件未載明</x:v>
      </x:c>
      <x:c r="K1011" s="70"/>
      <x:c r="L1011" s="69" t="str">
        <x:v>文件未載明</x:v>
      </x:c>
      <x:c r="M1011" s="70"/>
      <x:c r="N1011" s="69" t="str">
        <x:v>文件未載明</x:v>
      </x:c>
      <x:c r="O1011" s="71" t="str">
        <x:v>文件未載明</x:v>
      </x:c>
      <x:c r="P1011" s="71" t="str">
        <x:v>HTML table 1 row 16</x:v>
      </x:c>
      <x:c r="Q1011" s="71" t="str">
        <x:v>5.木地板施工前水泥素地需乾燥不起砂、平整度要求:兩米直尺範圍高低差不超過3mm。</x:v>
      </x:c>
      <x:c r="R1011" s="71" t="str">
        <x:v>各廠商合約&amp; 報價\MD檔案\20260225 太格 客變木地板.md</x:v>
      </x:c>
    </x:row>
    <x:row r="1012">
      <x:c r="A1012" s="69" t="str">
        <x:v>ITEM01008</x:v>
      </x:c>
      <x:c r="B1012" s="69" t="str">
        <x:v>SRC065</x:v>
      </x:c>
      <x:c r="C1012" s="69" t="str">
        <x:v>2025-2026</x:v>
      </x:c>
      <x:c r="D1012" s="69" t="str">
        <x:v>note</x:v>
      </x:c>
      <x:c r="E1012" s="69" t="str">
        <x:v>文件未載明</x:v>
      </x:c>
      <x:c r="F1012" s="71" t="str">
        <x:v>6.本報價不含不同地材界面收邊處理,其收邊處理需另行計價。</x:v>
      </x:c>
      <x:c r="G1012" s="71" t="str">
        <x:v>文件未載明</x:v>
      </x:c>
      <x:c r="H1012" s="71" t="str">
        <x:v>文件未載明</x:v>
      </x:c>
      <x:c r="I1012" s="72"/>
      <x:c r="J1012" s="69" t="str">
        <x:v>文件未載明</x:v>
      </x:c>
      <x:c r="K1012" s="70"/>
      <x:c r="L1012" s="69" t="str">
        <x:v>文件未載明</x:v>
      </x:c>
      <x:c r="M1012" s="70"/>
      <x:c r="N1012" s="69" t="str">
        <x:v>文件未載明</x:v>
      </x:c>
      <x:c r="O1012" s="71" t="str">
        <x:v>文件未載明</x:v>
      </x:c>
      <x:c r="P1012" s="71" t="str">
        <x:v>HTML table 1 row 17</x:v>
      </x:c>
      <x:c r="Q1012" s="71" t="str">
        <x:v>6.本報價不含不同地材界面收邊處理,其收邊處理需另行計價。</x:v>
      </x:c>
      <x:c r="R1012" s="71" t="str">
        <x:v>各廠商合約&amp; 報價\MD檔案\20260225 太格 客變木地板.md</x:v>
      </x:c>
    </x:row>
    <x:row r="1013">
      <x:c r="A1013" s="69" t="str">
        <x:v>ITEM01009</x:v>
      </x:c>
      <x:c r="B1013" s="69" t="str">
        <x:v>SRC065</x:v>
      </x:c>
      <x:c r="C1013" s="69" t="str">
        <x:v>2025-2026</x:v>
      </x:c>
      <x:c r="D1013" s="69" t="str">
        <x:v>note</x:v>
      </x:c>
      <x:c r="E1013" s="69" t="str">
        <x:v>文件未載明</x:v>
      </x:c>
      <x:c r="F1013" s="71" t="str">
        <x:v>7.本材料若為訂製品或進口品,備貨時間需預留120天以上,經訂貨確認後之色號、規格及數量不得更改,否則損失應由變更數量色號之一方負責。自正式下單日起算,實際交貨期依原廠實際通知為準,且不包含專批出貨之散裝或空運運費什費。</x:v>
      </x:c>
      <x:c r="G1013" s="71" t="str">
        <x:v>文件未載明</x:v>
      </x:c>
      <x:c r="H1013" s="71" t="str">
        <x:v>文件未載明</x:v>
      </x:c>
      <x:c r="I1013" s="72"/>
      <x:c r="J1013" s="69" t="str">
        <x:v>文件未載明</x:v>
      </x:c>
      <x:c r="K1013" s="70"/>
      <x:c r="L1013" s="69" t="str">
        <x:v>文件未載明</x:v>
      </x:c>
      <x:c r="M1013" s="70"/>
      <x:c r="N1013" s="69" t="str">
        <x:v>文件未載明</x:v>
      </x:c>
      <x:c r="O1013" s="71" t="str">
        <x:v>文件未載明</x:v>
      </x:c>
      <x:c r="P1013" s="71" t="str">
        <x:v>HTML table 1 row 18</x:v>
      </x:c>
      <x:c r="Q1013" s="71" t="str">
        <x:v>7.本材料若為訂製品或進口品,備貨時間需預留120天以上,經訂貨確認後之色號、規格及數量不得更改,否則損失應由變更數量色號之一方負責。自正式下單日起算,實際交貨期依原廠實際通知為準,且不包含專批出貨之散裝或空運運費什費。</x:v>
      </x:c>
      <x:c r="R1013" s="71" t="str">
        <x:v>各廠商合約&amp; 報價\MD檔案\20260225 太格 客變木地板.md</x:v>
      </x:c>
    </x:row>
    <x:row r="1014">
      <x:c r="A1014" s="69" t="str">
        <x:v>ITEM01010</x:v>
      </x:c>
      <x:c r="B1014" s="69" t="str">
        <x:v>SRC065</x:v>
      </x:c>
      <x:c r="C1014" s="69" t="str">
        <x:v>2025-2026</x:v>
      </x:c>
      <x:c r="D1014" s="69" t="str">
        <x:v>detail</x:v>
      </x:c>
      <x:c r="E1014" s="69" t="str">
        <x:v>文件未載明</x:v>
      </x:c>
      <x:c r="F1014" s="71" t="str">
        <x:v>續下頁</x:v>
      </x:c>
      <x:c r="G1014" s="71" t="str">
        <x:v>文件未載明</x:v>
      </x:c>
      <x:c r="H1014" s="71" t="str">
        <x:v>文件未載明</x:v>
      </x:c>
      <x:c r="I1014" s="72"/>
      <x:c r="J1014" s="69" t="str">
        <x:v>文件未載明</x:v>
      </x:c>
      <x:c r="K1014" s="70"/>
      <x:c r="L1014" s="69" t="str">
        <x:v>文件未載明</x:v>
      </x:c>
      <x:c r="M1014" s="70"/>
      <x:c r="N1014" s="69" t="str">
        <x:v>文件未載明</x:v>
      </x:c>
      <x:c r="O1014" s="71" t="str">
        <x:v>文件未載明</x:v>
      </x:c>
      <x:c r="P1014" s="71" t="str">
        <x:v>HTML table 1 row 19</x:v>
      </x:c>
      <x:c r="Q1014" s="71" t="str">
        <x:v>續下頁</x:v>
      </x:c>
      <x:c r="R1014" s="71" t="str">
        <x:v>各廠商合約&amp; 報價\MD檔案\20260225 太格 客變木地板.md</x:v>
      </x:c>
    </x:row>
    <x:row r="1015">
      <x:c r="A1015" s="69" t="str">
        <x:v>ITEM01011</x:v>
      </x:c>
      <x:c r="B1015" s="69" t="str">
        <x:v>SRC065</x:v>
      </x:c>
      <x:c r="C1015" s="69" t="str">
        <x:v>2025-2026</x:v>
      </x:c>
      <x:c r="D1015" s="69" t="str">
        <x:v>detail</x:v>
      </x:c>
      <x:c r="E1015" s="69" t="str">
        <x:v>文件未載明</x:v>
      </x:c>
      <x:c r="F1015" s="71" t="str">
        <x:v>附註說明:</x:v>
      </x:c>
      <x:c r="G1015" s="71" t="str">
        <x:v>文件未載明</x:v>
      </x:c>
      <x:c r="H1015" s="71" t="str">
        <x:v>文件未載明</x:v>
      </x:c>
      <x:c r="I1015" s="72"/>
      <x:c r="J1015" s="69" t="str">
        <x:v>文件未載明</x:v>
      </x:c>
      <x:c r="K1015" s="70"/>
      <x:c r="L1015" s="69" t="str">
        <x:v>文件未載明</x:v>
      </x:c>
      <x:c r="M1015" s="70"/>
      <x:c r="N1015" s="69" t="str">
        <x:v>文件未載明</x:v>
      </x:c>
      <x:c r="O1015" s="71" t="str">
        <x:v>文件未載明</x:v>
      </x:c>
      <x:c r="P1015" s="71" t="str">
        <x:v>HTML table 1 row 20</x:v>
      </x:c>
      <x:c r="Q1015" s="71" t="str">
        <x:v>附註說明:</x:v>
      </x:c>
      <x:c r="R1015" s="71" t="str">
        <x:v>各廠商合約&amp; 報價\MD檔案\20260225 太格 客變木地板.md</x:v>
      </x:c>
    </x:row>
    <x:row r="1016">
      <x:c r="A1016" s="69" t="str">
        <x:v>ITEM01012</x:v>
      </x:c>
      <x:c r="B1016" s="69" t="str">
        <x:v>SRC065</x:v>
      </x:c>
      <x:c r="C1016" s="69" t="str">
        <x:v>2025-2026</x:v>
      </x:c>
      <x:c r="D1016" s="69" t="str">
        <x:v>detail</x:v>
      </x:c>
      <x:c r="E1016" s="69" t="str">
        <x:v>文件未載明</x:v>
      </x:c>
      <x:c r="F1016" s="71" t="str">
        <x:v>8. 合約簽訂成立後,不得變更產品、材料、規格、尺寸、厚度、系列及色號。</x:v>
      </x:c>
      <x:c r="G1016" s="71" t="str">
        <x:v>文件未載明</x:v>
      </x:c>
      <x:c r="H1016" s="71" t="str">
        <x:v>文件未載明</x:v>
      </x:c>
      <x:c r="I1016" s="72"/>
      <x:c r="J1016" s="69" t="str">
        <x:v>文件未載明</x:v>
      </x:c>
      <x:c r="K1016" s="70"/>
      <x:c r="L1016" s="69" t="str">
        <x:v>文件未載明</x:v>
      </x:c>
      <x:c r="M1016" s="70"/>
      <x:c r="N1016" s="69" t="str">
        <x:v>文件未載明</x:v>
      </x:c>
      <x:c r="O1016" s="71" t="str">
        <x:v>文件未載明</x:v>
      </x:c>
      <x:c r="P1016" s="71" t="str">
        <x:v>HTML table 1 row 21</x:v>
      </x:c>
      <x:c r="Q1016" s="71" t="str">
        <x:v>8. 合約簽訂成立後,不得變更產品、材料、規格、尺寸、厚度、系列及色號。</x:v>
      </x:c>
      <x:c r="R1016" s="71" t="str">
        <x:v>各廠商合約&amp; 報價\MD檔案\20260225 太格 客變木地板.md</x:v>
      </x:c>
    </x:row>
    <x:row r="1017">
      <x:c r="A1017" s="69" t="str">
        <x:v>ITEM01013</x:v>
      </x:c>
      <x:c r="B1017" s="69" t="str">
        <x:v>SRC065</x:v>
      </x:c>
      <x:c r="C1017" s="69" t="str">
        <x:v>2025-2026</x:v>
      </x:c>
      <x:c r="D1017" s="69" t="str">
        <x:v>detail</x:v>
      </x:c>
      <x:c r="E1017" s="69" t="str">
        <x:v>文件未載明</x:v>
      </x:c>
      <x:c r="F1017" s="71" t="str">
        <x:v>9. 工程進行中,甲方如必須變更設計及增減工程數量時不得超過原工程圖內數量5%,增加數量超過5%以上,以乙方公司庫存選色,且追加數量之單價需雙方另行議價;如需另行辦理進口,增加的運費由甲方自行負擔。</x:v>
      </x:c>
      <x:c r="G1017" s="71" t="str">
        <x:v>文件未載明</x:v>
      </x:c>
      <x:c r="H1017" s="71" t="str">
        <x:v>文件未載明</x:v>
      </x:c>
      <x:c r="I1017" s="72"/>
      <x:c r="J1017" s="69" t="str">
        <x:v>文件未載明</x:v>
      </x:c>
      <x:c r="K1017" s="70"/>
      <x:c r="L1017" s="69" t="str">
        <x:v>文件未載明</x:v>
      </x:c>
      <x:c r="M1017" s="70"/>
      <x:c r="N1017" s="69" t="str">
        <x:v>文件未載明</x:v>
      </x:c>
      <x:c r="O1017" s="71" t="str">
        <x:v>文件未載明</x:v>
      </x:c>
      <x:c r="P1017" s="71" t="str">
        <x:v>HTML table 1 row 22</x:v>
      </x:c>
      <x:c r="Q1017" s="71" t="str">
        <x:v>9. 工程進行中,甲方如必須變更設計及增減工程數量時不得超過原工程圖內數量5%,增加數量超過5%以上,以乙方公司庫存選色,且追加數量之單價需雙方另行議價;如需另行辦理進口,增加的運費由甲方自行負擔。</x:v>
      </x:c>
      <x:c r="R1017" s="71" t="str">
        <x:v>各廠商合約&amp; 報價\MD檔案\20260225 太格 客變木地板.md</x:v>
      </x:c>
    </x:row>
    <x:row r="1018">
      <x:c r="A1018" s="69" t="str">
        <x:v>ITEM01014</x:v>
      </x:c>
      <x:c r="B1018" s="69" t="str">
        <x:v>SRC065</x:v>
      </x:c>
      <x:c r="C1018" s="69" t="str">
        <x:v>2025-2026</x:v>
      </x:c>
      <x:c r="D1018" s="69" t="str">
        <x:v>detail</x:v>
      </x:c>
      <x:c r="E1018" s="69" t="str">
        <x:v>文件未載明</x:v>
      </x:c>
      <x:c r="F1018" s="71" t="str">
        <x:v>10. 甲方應於完成必備基礎工程後,七日前通知乙方施工。</x:v>
      </x:c>
      <x:c r="G1018" s="71" t="str">
        <x:v>文件未載明</x:v>
      </x:c>
      <x:c r="H1018" s="71" t="str">
        <x:v>文件未載明</x:v>
      </x:c>
      <x:c r="I1018" s="72"/>
      <x:c r="J1018" s="69" t="str">
        <x:v>文件未載明</x:v>
      </x:c>
      <x:c r="K1018" s="70"/>
      <x:c r="L1018" s="69" t="str">
        <x:v>文件未載明</x:v>
      </x:c>
      <x:c r="M1018" s="70"/>
      <x:c r="N1018" s="69" t="str">
        <x:v>文件未載明</x:v>
      </x:c>
      <x:c r="O1018" s="71" t="str">
        <x:v>文件未載明</x:v>
      </x:c>
      <x:c r="P1018" s="71" t="str">
        <x:v>HTML table 1 row 23</x:v>
      </x:c>
      <x:c r="Q1018" s="71" t="str">
        <x:v>10. 甲方應於完成必備基礎工程後,七日前通知乙方施工。</x:v>
      </x:c>
      <x:c r="R1018" s="71" t="str">
        <x:v>各廠商合約&amp; 報價\MD檔案\20260225 太格 客變木地板.md</x:v>
      </x:c>
    </x:row>
    <x:row r="1019">
      <x:c r="A1019" s="69" t="str">
        <x:v>ITEM01015</x:v>
      </x:c>
      <x:c r="B1019" s="69" t="str">
        <x:v>SRC065</x:v>
      </x:c>
      <x:c r="C1019" s="69" t="str">
        <x:v>2025-2026</x:v>
      </x:c>
      <x:c r="D1019" s="69" t="str">
        <x:v>detail</x:v>
      </x:c>
      <x:c r="E1019" s="69" t="str">
        <x:v>文件未載明</x:v>
      </x:c>
      <x:c r="F1019" s="71" t="str">
        <x:v>11. 甲方須提供電力電梯之搬運設備,若需人力或吊車搬運上樓,費用另計。</x:v>
      </x:c>
      <x:c r="G1019" s="71" t="str">
        <x:v>文件未載明</x:v>
      </x:c>
      <x:c r="H1019" s="71" t="str">
        <x:v>文件未載明</x:v>
      </x:c>
      <x:c r="I1019" s="72"/>
      <x:c r="J1019" s="69" t="str">
        <x:v>文件未載明</x:v>
      </x:c>
      <x:c r="K1019" s="70"/>
      <x:c r="L1019" s="69" t="str">
        <x:v>文件未載明</x:v>
      </x:c>
      <x:c r="M1019" s="70"/>
      <x:c r="N1019" s="69" t="str">
        <x:v>文件未載明</x:v>
      </x:c>
      <x:c r="O1019" s="71" t="str">
        <x:v>文件未載明</x:v>
      </x:c>
      <x:c r="P1019" s="71" t="str">
        <x:v>HTML table 1 row 24</x:v>
      </x:c>
      <x:c r="Q1019" s="71" t="str">
        <x:v>11. 甲方須提供電力電梯之搬運設備,若需人力或吊車搬運上樓,費用另計。</x:v>
      </x:c>
      <x:c r="R1019" s="71" t="str">
        <x:v>各廠商合約&amp; 報價\MD檔案\20260225 太格 客變木地板.md</x:v>
      </x:c>
    </x:row>
    <x:row r="1020">
      <x:c r="A1020" s="69" t="str">
        <x:v>ITEM01016</x:v>
      </x:c>
      <x:c r="B1020" s="69" t="str">
        <x:v>SRC065</x:v>
      </x:c>
      <x:c r="C1020" s="69" t="str">
        <x:v>2025-2026</x:v>
      </x:c>
      <x:c r="D1020" s="69" t="str">
        <x:v>detail</x:v>
      </x:c>
      <x:c r="E1020" s="69" t="str">
        <x:v>文件未載明</x:v>
      </x:c>
      <x:c r="F1020" s="71" t="str">
        <x:v>12. 特殊隔局/透天梯廳/樓梯等工程單價另計。</x:v>
      </x:c>
      <x:c r="G1020" s="71" t="str">
        <x:v>文件未載明</x:v>
      </x:c>
      <x:c r="H1020" s="71" t="str">
        <x:v>文件未載明</x:v>
      </x:c>
      <x:c r="I1020" s="72"/>
      <x:c r="J1020" s="69" t="str">
        <x:v>文件未載明</x:v>
      </x:c>
      <x:c r="K1020" s="70"/>
      <x:c r="L1020" s="69" t="str">
        <x:v>文件未載明</x:v>
      </x:c>
      <x:c r="M1020" s="70"/>
      <x:c r="N1020" s="69" t="str">
        <x:v>文件未載明</x:v>
      </x:c>
      <x:c r="O1020" s="71" t="str">
        <x:v>文件未載明</x:v>
      </x:c>
      <x:c r="P1020" s="71" t="str">
        <x:v>HTML table 1 row 25</x:v>
      </x:c>
      <x:c r="Q1020" s="71" t="str">
        <x:v>12. 特殊隔局/透天梯廳/樓梯等工程單價另計。</x:v>
      </x:c>
      <x:c r="R1020" s="71" t="str">
        <x:v>各廠商合約&amp; 報價\MD檔案\20260225 太格 客變木地板.md</x:v>
      </x:c>
    </x:row>
    <x:row r="1021">
      <x:c r="A1021" s="69" t="str">
        <x:v>ITEM01017</x:v>
      </x:c>
      <x:c r="B1021" s="69" t="str">
        <x:v>SRC065</x:v>
      </x:c>
      <x:c r="C1021" s="69" t="str">
        <x:v>2025-2026</x:v>
      </x:c>
      <x:c r="D1021" s="69" t="str">
        <x:v>detail</x:v>
      </x:c>
      <x:c r="E1021" s="69" t="str">
        <x:v>文件未載明</x:v>
      </x:c>
      <x:c r="F1021" s="71" t="str">
        <x:v>13. 工程進度不以分次施工為雙方配合方式,若分次施工,甲方需補貼乙方點工工資,工資由雙方協議之。</x:v>
      </x:c>
      <x:c r="G1021" s="71" t="str">
        <x:v>文件未載明</x:v>
      </x:c>
      <x:c r="H1021" s="71" t="str">
        <x:v>文件未載明</x:v>
      </x:c>
      <x:c r="I1021" s="72"/>
      <x:c r="J1021" s="69" t="str">
        <x:v>文件未載明</x:v>
      </x:c>
      <x:c r="K1021" s="70"/>
      <x:c r="L1021" s="69" t="str">
        <x:v>文件未載明</x:v>
      </x:c>
      <x:c r="M1021" s="70"/>
      <x:c r="N1021" s="69" t="str">
        <x:v>文件未載明</x:v>
      </x:c>
      <x:c r="O1021" s="71" t="str">
        <x:v>文件未載明</x:v>
      </x:c>
      <x:c r="P1021" s="71" t="str">
        <x:v>HTML table 1 row 26</x:v>
      </x:c>
      <x:c r="Q1021" s="71" t="str">
        <x:v>13. 工程進度不以分次施工為雙方配合方式,若分次施工,甲方需補貼乙方點工工資,工資由雙方協議之。</x:v>
      </x:c>
      <x:c r="R1021" s="71" t="str">
        <x:v>各廠商合約&amp; 報價\MD檔案\20260225 太格 客變木地板.md</x:v>
      </x:c>
    </x:row>
    <x:row r="1022">
      <x:c r="A1022" s="69" t="str">
        <x:v>ITEM01018</x:v>
      </x:c>
      <x:c r="B1022" s="69" t="str">
        <x:v>SRC065</x:v>
      </x:c>
      <x:c r="C1022" s="69" t="str">
        <x:v>2025-2026</x:v>
      </x:c>
      <x:c r="D1022" s="69" t="str">
        <x:v>detail</x:v>
      </x:c>
      <x:c r="E1022" s="69" t="str">
        <x:v>文件未載明</x:v>
      </x:c>
      <x:c r="F1022" s="71" t="str">
        <x:v>14. 夜間施工或假日施工,需另計補貼點工工資。</x:v>
      </x:c>
      <x:c r="G1022" s="71" t="str">
        <x:v>文件未載明</x:v>
      </x:c>
      <x:c r="H1022" s="71" t="str">
        <x:v>文件未載明</x:v>
      </x:c>
      <x:c r="I1022" s="72"/>
      <x:c r="J1022" s="69" t="str">
        <x:v>文件未載明</x:v>
      </x:c>
      <x:c r="K1022" s="70"/>
      <x:c r="L1022" s="69" t="str">
        <x:v>文件未載明</x:v>
      </x:c>
      <x:c r="M1022" s="70"/>
      <x:c r="N1022" s="69" t="str">
        <x:v>文件未載明</x:v>
      </x:c>
      <x:c r="O1022" s="71" t="str">
        <x:v>文件未載明</x:v>
      </x:c>
      <x:c r="P1022" s="71" t="str">
        <x:v>HTML table 1 row 27</x:v>
      </x:c>
      <x:c r="Q1022" s="71" t="str">
        <x:v>14. 夜間施工或假日施工,需另計補貼點工工資。</x:v>
      </x:c>
      <x:c r="R1022" s="71" t="str">
        <x:v>各廠商合約&amp; 報價\MD檔案\20260225 太格 客變木地板.md</x:v>
      </x:c>
    </x:row>
    <x:row r="1023">
      <x:c r="A1023" s="69" t="str">
        <x:v>ITEM01019</x:v>
      </x:c>
      <x:c r="B1023" s="69" t="str">
        <x:v>SRC065</x:v>
      </x:c>
      <x:c r="C1023" s="69" t="str">
        <x:v>2025-2026</x:v>
      </x:c>
      <x:c r="D1023" s="69" t="str">
        <x:v>detail</x:v>
      </x:c>
      <x:c r="E1023" s="69" t="str">
        <x:v>文件未載明</x:v>
      </x:c>
      <x:c r="F1023" s="71" t="str">
        <x:v>15. 本交易如有貨款未清或支票未兌現前,現場未施工之材料物之所有權屬乙方所有,故乙方得不經法律程序,隨時將貨品收回,且乙方有權不進場施工,甲方如有涉及詐欺行為,並應負法律責任。</x:v>
      </x:c>
      <x:c r="G1023" s="71" t="str">
        <x:v>文件未載明</x:v>
      </x:c>
      <x:c r="H1023" s="71" t="str">
        <x:v>文件未載明</x:v>
      </x:c>
      <x:c r="I1023" s="72"/>
      <x:c r="J1023" s="69" t="str">
        <x:v>文件未載明</x:v>
      </x:c>
      <x:c r="K1023" s="70"/>
      <x:c r="L1023" s="69" t="str">
        <x:v>文件未載明</x:v>
      </x:c>
      <x:c r="M1023" s="70"/>
      <x:c r="N1023" s="69" t="str">
        <x:v>文件未載明</x:v>
      </x:c>
      <x:c r="O1023" s="71" t="str">
        <x:v>文件未載明</x:v>
      </x:c>
      <x:c r="P1023" s="71" t="str">
        <x:v>HTML table 1 row 28</x:v>
      </x:c>
      <x:c r="Q1023" s="71" t="str">
        <x:v>15. 本交易如有貨款未清或支票未兌現前,現場未施工之材料物之所有權屬乙方所有,故乙方得不經法律程序,隨時將貨品收回,且乙方有權不進場施工,甲方如有涉及詐欺行為,並應負法律責任。</x:v>
      </x:c>
      <x:c r="R1023" s="71" t="str">
        <x:v>各廠商合約&amp; 報價\MD檔案\20260225 太格 客變木地板.md</x:v>
      </x:c>
    </x:row>
    <x:row r="1024">
      <x:c r="A1024" s="69" t="str">
        <x:v>ITEM01020</x:v>
      </x:c>
      <x:c r="B1024" s="69" t="str">
        <x:v>SRC065</x:v>
      </x:c>
      <x:c r="C1024" s="69" t="str">
        <x:v>2025-2026</x:v>
      </x:c>
      <x:c r="D1024" s="69" t="str">
        <x:v>detail</x:v>
      </x:c>
      <x:c r="E1024" s="69" t="str">
        <x:v>文件未載明</x:v>
      </x:c>
      <x:c r="F1024" s="71" t="str">
        <x:v>16. 待木地板完工後,需預留1-1.5個月養護期,再施打矽利康.木工二次裝潢中,請勿打釘或鎖螺絲於木地板上。</x:v>
      </x:c>
      <x:c r="G1024" s="71" t="str">
        <x:v>文件未載明</x:v>
      </x:c>
      <x:c r="H1024" s="71" t="str">
        <x:v>文件未載明</x:v>
      </x:c>
      <x:c r="I1024" s="72"/>
      <x:c r="J1024" s="69" t="str">
        <x:v>文件未載明</x:v>
      </x:c>
      <x:c r="K1024" s="70"/>
      <x:c r="L1024" s="69" t="str">
        <x:v>文件未載明</x:v>
      </x:c>
      <x:c r="M1024" s="70"/>
      <x:c r="N1024" s="69" t="str">
        <x:v>文件未載明</x:v>
      </x:c>
      <x:c r="O1024" s="71" t="str">
        <x:v>文件未載明</x:v>
      </x:c>
      <x:c r="P1024" s="71" t="str">
        <x:v>HTML table 1 row 29</x:v>
      </x:c>
      <x:c r="Q1024" s="71" t="str">
        <x:v>16. 待木地板完工後,需預留1-1.5個月養護期,再施打矽利康.木工二次裝潢中,請勿打釘或鎖螺絲於木地板上。</x:v>
      </x:c>
      <x:c r="R1024" s="71" t="str">
        <x:v>各廠商合約&amp; 報價\MD檔案\20260225 太格 客變木地板.md</x:v>
      </x:c>
    </x:row>
    <x:row r="1025">
      <x:c r="A1025" s="69" t="str">
        <x:v>ITEM01021</x:v>
      </x:c>
      <x:c r="B1025" s="69" t="str">
        <x:v>SRC065</x:v>
      </x:c>
      <x:c r="C1025" s="69" t="str">
        <x:v>2025-2026</x:v>
      </x:c>
      <x:c r="D1025" s="69" t="str">
        <x:v>note</x:v>
      </x:c>
      <x:c r="E1025" s="69" t="str">
        <x:v>文件未載明</x:v>
      </x:c>
      <x:c r="F1025" s="71" t="str">
        <x:v>17. 本工程採德式標準施工法,但因現場環境氣候條件不同,踩踏些微彈性或聲音屬正常現象,不可以此認定有施工瑕疵。</x:v>
      </x:c>
      <x:c r="G1025" s="71" t="str">
        <x:v>文件未載明</x:v>
      </x:c>
      <x:c r="H1025" s="71" t="str">
        <x:v>文件未載明</x:v>
      </x:c>
      <x:c r="I1025" s="72"/>
      <x:c r="J1025" s="69" t="str">
        <x:v>文件未載明</x:v>
      </x:c>
      <x:c r="K1025" s="70"/>
      <x:c r="L1025" s="69" t="str">
        <x:v>文件未載明</x:v>
      </x:c>
      <x:c r="M1025" s="70"/>
      <x:c r="N1025" s="69" t="str">
        <x:v>文件未載明</x:v>
      </x:c>
      <x:c r="O1025" s="71" t="str">
        <x:v>文件未載明</x:v>
      </x:c>
      <x:c r="P1025" s="71" t="str">
        <x:v>HTML table 1 row 30</x:v>
      </x:c>
      <x:c r="Q1025" s="71" t="str">
        <x:v>17. 本工程採德式標準施工法,但因現場環境氣候條件不同,踩踏些微彈性或聲音屬正常現象,不可以此認定有施工瑕疵。</x:v>
      </x:c>
      <x:c r="R1025" s="71" t="str">
        <x:v>各廠商合約&amp; 報價\MD檔案\20260225 太格 客變木地板.md</x:v>
      </x:c>
    </x:row>
    <x:row r="1026">
      <x:c r="A1026" s="69" t="str">
        <x:v>ITEM01022</x:v>
      </x:c>
      <x:c r="B1026" s="69" t="str">
        <x:v>SRC065</x:v>
      </x:c>
      <x:c r="C1026" s="69" t="str">
        <x:v>2025-2026</x:v>
      </x:c>
      <x:c r="D1026" s="69" t="str">
        <x:v>detail</x:v>
      </x:c>
      <x:c r="E1026" s="69" t="str">
        <x:v>文件未載明</x:v>
      </x:c>
      <x:c r="F1026" s="71" t="str">
        <x:v>18. 鋪設之保護板需於木地板完工後1個月內拆除,室內空氣保持流通,避免木地板處於悶濕密閉狀態而翹曲。</x:v>
      </x:c>
      <x:c r="G1026" s="71" t="str">
        <x:v>文件未載明</x:v>
      </x:c>
      <x:c r="H1026" s="71" t="str">
        <x:v>文件未載明</x:v>
      </x:c>
      <x:c r="I1026" s="72"/>
      <x:c r="J1026" s="69" t="str">
        <x:v>文件未載明</x:v>
      </x:c>
      <x:c r="K1026" s="70"/>
      <x:c r="L1026" s="69" t="str">
        <x:v>文件未載明</x:v>
      </x:c>
      <x:c r="M1026" s="70"/>
      <x:c r="N1026" s="69" t="str">
        <x:v>文件未載明</x:v>
      </x:c>
      <x:c r="O1026" s="71" t="str">
        <x:v>文件未載明</x:v>
      </x:c>
      <x:c r="P1026" s="71" t="str">
        <x:v>HTML table 1 row 31</x:v>
      </x:c>
      <x:c r="Q1026" s="71" t="str">
        <x:v>18. 鋪設之保護板需於木地板完工後1個月內拆除,室內空氣保持流通,避免木地板處於悶濕密閉狀態而翹曲。</x:v>
      </x:c>
      <x:c r="R1026" s="71" t="str">
        <x:v>各廠商合約&amp; 報價\MD檔案\20260225 太格 客變木地板.md</x:v>
      </x:c>
    </x:row>
    <x:row r="1027">
      <x:c r="A1027" s="69" t="str">
        <x:v>ITEM01023</x:v>
      </x:c>
      <x:c r="B1027" s="69" t="str">
        <x:v>SRC065</x:v>
      </x:c>
      <x:c r="C1027" s="69" t="str">
        <x:v>2025-2026</x:v>
      </x:c>
      <x:c r="D1027" s="69" t="str">
        <x:v>detail</x:v>
      </x:c>
      <x:c r="E1027" s="69" t="str">
        <x:v>文件未載明</x:v>
      </x:c>
      <x:c r="F1027" s="71" t="str">
        <x:v>19. 本工程施工保固一年(天災人禍等非乙方原因者除外)。</x:v>
      </x:c>
      <x:c r="G1027" s="71" t="str">
        <x:v>文件未載明</x:v>
      </x:c>
      <x:c r="H1027" s="71" t="str">
        <x:v>文件未載明</x:v>
      </x:c>
      <x:c r="I1027" s="72"/>
      <x:c r="J1027" s="69" t="str">
        <x:v>文件未載明</x:v>
      </x:c>
      <x:c r="K1027" s="70"/>
      <x:c r="L1027" s="69" t="str">
        <x:v>文件未載明</x:v>
      </x:c>
      <x:c r="M1027" s="70"/>
      <x:c r="N1027" s="69" t="str">
        <x:v>文件未載明</x:v>
      </x:c>
      <x:c r="O1027" s="71" t="str">
        <x:v>文件未載明</x:v>
      </x:c>
      <x:c r="P1027" s="71" t="str">
        <x:v>HTML table 1 row 32</x:v>
      </x:c>
      <x:c r="Q1027" s="71" t="str">
        <x:v>19. 本工程施工保固一年(天災人禍等非乙方原因者除外)。</x:v>
      </x:c>
      <x:c r="R1027" s="71" t="str">
        <x:v>各廠商合約&amp; 報價\MD檔案\20260225 太格 客變木地板.md</x:v>
      </x:c>
    </x:row>
    <x:row r="1028">
      <x:c r="A1028" s="69" t="str">
        <x:v>ITEM01024</x:v>
      </x:c>
      <x:c r="B1028" s="69" t="str">
        <x:v>SRC065</x:v>
      </x:c>
      <x:c r="C1028" s="69" t="str">
        <x:v>2025-2026</x:v>
      </x:c>
      <x:c r="D1028" s="69" t="str">
        <x:v>detail</x:v>
      </x:c>
      <x:c r="E1028" s="69" t="str">
        <x:v>文件未載明</x:v>
      </x:c>
      <x:c r="F1028" s="71" t="str">
        <x:v>20. 若本材料為貨櫃進貨或國產訂製品,則自材料到貨起,若因甲方延誤進場施作日數超過六十日,乙方得請領50%進貨款。</x:v>
      </x:c>
      <x:c r="G1028" s="71" t="str">
        <x:v>文件未載明</x:v>
      </x:c>
      <x:c r="H1028" s="71" t="str">
        <x:v>文件未載明</x:v>
      </x:c>
      <x:c r="I1028" s="72"/>
      <x:c r="J1028" s="69" t="str">
        <x:v>文件未載明</x:v>
      </x:c>
      <x:c r="K1028" s="70"/>
      <x:c r="L1028" s="69" t="str">
        <x:v>文件未載明</x:v>
      </x:c>
      <x:c r="M1028" s="70"/>
      <x:c r="N1028" s="69" t="str">
        <x:v>文件未載明</x:v>
      </x:c>
      <x:c r="O1028" s="71" t="str">
        <x:v>文件未載明</x:v>
      </x:c>
      <x:c r="P1028" s="71" t="str">
        <x:v>HTML table 1 row 33</x:v>
      </x:c>
      <x:c r="Q1028" s="71" t="str">
        <x:v>20. 若本材料為貨櫃進貨或國產訂製品,則自材料到貨起,若因甲方延誤進場施作日數超過六十日,乙方得請領50%進貨款。</x:v>
      </x:c>
      <x:c r="R1028" s="71" t="str">
        <x:v>各廠商合約&amp; 報價\MD檔案\20260225 太格 客變木地板.md</x:v>
      </x:c>
    </x:row>
    <x:row r="1029">
      <x:c r="A1029" s="69" t="str">
        <x:v>ITEM01025</x:v>
      </x:c>
      <x:c r="B1029" s="69" t="str">
        <x:v>SRC065</x:v>
      </x:c>
      <x:c r="C1029" s="69" t="str">
        <x:v>2025-2026</x:v>
      </x:c>
      <x:c r="D1029" s="69" t="str">
        <x:v>detail</x:v>
      </x:c>
      <x:c r="E1029" s="69" t="str">
        <x:v>文件未載明</x:v>
      </x:c>
      <x:c r="F1029" s="71" t="str">
        <x:v>21. 由於原物料及人力成本近年來處於不穩定波動狀態、我司基於責任態度原則,與確保雙方權益,若材料成本漲幅在5%以內,由乙方吸收;倘若材料成本漲幅超過5%,則由雙方另行合約議價之(乙方需出具德國原廠正式漲價文件)。</x:v>
      </x:c>
      <x:c r="G1029" s="71" t="str">
        <x:v>文件未載明</x:v>
      </x:c>
      <x:c r="H1029" s="71" t="str">
        <x:v>文件未載明</x:v>
      </x:c>
      <x:c r="I1029" s="72"/>
      <x:c r="J1029" s="69" t="str">
        <x:v>文件未載明</x:v>
      </x:c>
      <x:c r="K1029" s="70"/>
      <x:c r="L1029" s="69" t="str">
        <x:v>文件未載明</x:v>
      </x:c>
      <x:c r="M1029" s="70"/>
      <x:c r="N1029" s="69" t="str">
        <x:v>文件未載明</x:v>
      </x:c>
      <x:c r="O1029" s="71" t="str">
        <x:v>文件未載明</x:v>
      </x:c>
      <x:c r="P1029" s="71" t="str">
        <x:v>HTML table 1 row 34</x:v>
      </x:c>
      <x:c r="Q1029" s="71" t="str">
        <x:v>21. 由於原物料及人力成本近年來處於不穩定波動狀態、我司基於責任態度原則,與確保雙方權益,若材料成本漲幅在5%以內,由乙方吸收;倘若材料成本漲幅超過5%,則由雙方另行合約議價之(乙方需出具德國原廠正式漲價文件)。</x:v>
      </x:c>
      <x:c r="R1029" s="71" t="str">
        <x:v>各廠商合約&amp; 報價\MD檔案\20260225 太格 客變木地板.md</x:v>
      </x:c>
    </x:row>
    <x:row r="1030">
      <x:c r="A1030" s="69" t="str">
        <x:v>ITEM01026</x:v>
      </x:c>
      <x:c r="B1030" s="69" t="str">
        <x:v>SRC065</x:v>
      </x:c>
      <x:c r="C1030" s="69" t="str">
        <x:v>2025-2026</x:v>
      </x:c>
      <x:c r="D1030" s="69" t="str">
        <x:v>note</x:v>
      </x:c>
      <x:c r="E1030" s="69" t="str">
        <x:v>文件未載明</x:v>
      </x:c>
      <x:c r="F1030" s="71" t="str">
        <x:v>22. 本報價單有效期限:1個月。</x:v>
      </x:c>
      <x:c r="G1030" s="71" t="str">
        <x:v>文件未載明</x:v>
      </x:c>
      <x:c r="H1030" s="71" t="str">
        <x:v>文件未載明</x:v>
      </x:c>
      <x:c r="I1030" s="72"/>
      <x:c r="J1030" s="69" t="str">
        <x:v>文件未載明</x:v>
      </x:c>
      <x:c r="K1030" s="70"/>
      <x:c r="L1030" s="69" t="str">
        <x:v>文件未載明</x:v>
      </x:c>
      <x:c r="M1030" s="70"/>
      <x:c r="N1030" s="69" t="str">
        <x:v>文件未載明</x:v>
      </x:c>
      <x:c r="O1030" s="71" t="str">
        <x:v>文件未載明</x:v>
      </x:c>
      <x:c r="P1030" s="71" t="str">
        <x:v>HTML table 1 row 35</x:v>
      </x:c>
      <x:c r="Q1030" s="71" t="str">
        <x:v>22. 本報價單有效期限:1個月。</x:v>
      </x:c>
      <x:c r="R1030" s="71" t="str">
        <x:v>各廠商合約&amp; 報價\MD檔案\20260225 太格 客變木地板.md</x:v>
      </x:c>
    </x:row>
    <x:row r="1031">
      <x:c r="A1031" s="69" t="str">
        <x:v>ITEM01027</x:v>
      </x:c>
      <x:c r="B1031" s="69" t="str">
        <x:v>SRC065</x:v>
      </x:c>
      <x:c r="C1031" s="69" t="str">
        <x:v>2025-2026</x:v>
      </x:c>
      <x:c r="D1031" s="69" t="str">
        <x:v>detail</x:v>
      </x:c>
      <x:c r="E1031" s="69" t="str">
        <x:v>文件未載明</x:v>
      </x:c>
      <x:c r="F1031" s="71" t="str">
        <x:v>23. 本報價單經甲方簽名或用印回簽確認後,即視為甲乙雙方就本報價單所載全部內容達成合意,並自甲方回簽之日起即視為雙方契約成立。</x:v>
      </x:c>
      <x:c r="G1031" s="71" t="str">
        <x:v>文件未載明</x:v>
      </x:c>
      <x:c r="H1031" s="71" t="str">
        <x:v>文件未載明</x:v>
      </x:c>
      <x:c r="I1031" s="72"/>
      <x:c r="J1031" s="69" t="str">
        <x:v>文件未載明</x:v>
      </x:c>
      <x:c r="K1031" s="70"/>
      <x:c r="L1031" s="69" t="str">
        <x:v>文件未載明</x:v>
      </x:c>
      <x:c r="M1031" s="70"/>
      <x:c r="N1031" s="69" t="str">
        <x:v>文件未載明</x:v>
      </x:c>
      <x:c r="O1031" s="71" t="str">
        <x:v>文件未載明</x:v>
      </x:c>
      <x:c r="P1031" s="71" t="str">
        <x:v>HTML table 1 row 36</x:v>
      </x:c>
      <x:c r="Q1031" s="71" t="str">
        <x:v>23. 本報價單經甲方簽名或用印回簽確認後,即視為甲乙雙方就本報價單所載全部內容達成合意,並自甲方回簽之日起即視為雙方契約成立。</x:v>
      </x:c>
      <x:c r="R1031" s="71" t="str">
        <x:v>各廠商合約&amp; 報價\MD檔案\20260225 太格 客變木地板.md</x:v>
      </x:c>
    </x:row>
    <x:row r="1032">
      <x:c r="A1032" s="69" t="str">
        <x:v>ITEM01028</x:v>
      </x:c>
      <x:c r="B1032" s="69" t="str">
        <x:v>SRC065</x:v>
      </x:c>
      <x:c r="C1032" s="69" t="str">
        <x:v>2025-2026</x:v>
      </x:c>
      <x:c r="D1032" s="69" t="str">
        <x:v>detail</x:v>
      </x:c>
      <x:c r="E1032" s="69" t="str">
        <x:v>文件未載明</x:v>
      </x:c>
      <x:c r="F1032" s="71" t="str">
        <x:v>24. 因本約定報價內容發生之訴訟,雙方同意以乙方登記所在地管轄法院為第一審管轄法院。</x:v>
      </x:c>
      <x:c r="G1032" s="71" t="str">
        <x:v>文件未載明</x:v>
      </x:c>
      <x:c r="H1032" s="71" t="str">
        <x:v>文件未載明</x:v>
      </x:c>
      <x:c r="I1032" s="72"/>
      <x:c r="J1032" s="69" t="str">
        <x:v>文件未載明</x:v>
      </x:c>
      <x:c r="K1032" s="70"/>
      <x:c r="L1032" s="69" t="str">
        <x:v>文件未載明</x:v>
      </x:c>
      <x:c r="M1032" s="70"/>
      <x:c r="N1032" s="69" t="str">
        <x:v>文件未載明</x:v>
      </x:c>
      <x:c r="O1032" s="71" t="str">
        <x:v>文件未載明</x:v>
      </x:c>
      <x:c r="P1032" s="71" t="str">
        <x:v>HTML table 1 row 37</x:v>
      </x:c>
      <x:c r="Q1032" s="71" t="str">
        <x:v>24. 因本約定報價內容發生之訴訟,雙方同意以乙方登記所在地管轄法院為第一審管轄法院。</x:v>
      </x:c>
      <x:c r="R1032" s="71" t="str">
        <x:v>各廠商合約&amp; 報價\MD檔案\20260225 太格 客變木地板.md</x:v>
      </x:c>
    </x:row>
    <x:row r="1033">
      <x:c r="A1033" s="69" t="str">
        <x:v>ITEM01029</x:v>
      </x:c>
      <x:c r="B1033" s="69" t="str">
        <x:v>SRC065</x:v>
      </x:c>
      <x:c r="C1033" s="69" t="str">
        <x:v>2025-2026</x:v>
      </x:c>
      <x:c r="D1033" s="69" t="str">
        <x:v>note</x:v>
      </x:c>
      <x:c r="E1033" s="69" t="str">
        <x:v>文件未載明</x:v>
      </x:c>
      <x:c r="F1033" s="71" t="str">
        <x:v>付款條件說明:</x:v>
      </x:c>
      <x:c r="G1033" s="71" t="str">
        <x:v>文件未載明</x:v>
      </x:c>
      <x:c r="H1033" s="71" t="str">
        <x:v>文件未載明</x:v>
      </x:c>
      <x:c r="I1033" s="72"/>
      <x:c r="J1033" s="69" t="str">
        <x:v>文件未載明</x:v>
      </x:c>
      <x:c r="K1033" s="70"/>
      <x:c r="L1033" s="69" t="str">
        <x:v>文件未載明</x:v>
      </x:c>
      <x:c r="M1033" s="70"/>
      <x:c r="N1033" s="69" t="str">
        <x:v>文件未載明</x:v>
      </x:c>
      <x:c r="O1033" s="71" t="str">
        <x:v>文件未載明</x:v>
      </x:c>
      <x:c r="P1033" s="71" t="str">
        <x:v>HTML table 1 row 38</x:v>
      </x:c>
      <x:c r="Q1033" s="71" t="str">
        <x:v>付款條件說明:</x:v>
      </x:c>
      <x:c r="R1033" s="71" t="str">
        <x:v>各廠商合約&amp; 報價\MD檔案\20260225 太格 客變木地板.md</x:v>
      </x:c>
    </x:row>
    <x:row r="1034">
      <x:c r="A1034" s="69" t="str">
        <x:v>ITEM01030</x:v>
      </x:c>
      <x:c r="B1034" s="69" t="str">
        <x:v>SRC065</x:v>
      </x:c>
      <x:c r="C1034" s="69" t="str">
        <x:v>2025-2026</x:v>
      </x:c>
      <x:c r="D1034" s="69" t="str">
        <x:v>detail</x:v>
      </x:c>
      <x:c r="E1034" s="69" t="str">
        <x:v>文件未載明</x:v>
      </x:c>
      <x:c r="F1034" s="71" t="str">
        <x:v>1. 出廠證明需於工程款項收款達90%方可開之。</x:v>
      </x:c>
      <x:c r="G1034" s="71" t="str">
        <x:v>文件未載明</x:v>
      </x:c>
      <x:c r="H1034" s="71" t="str">
        <x:v>文件未載明</x:v>
      </x:c>
      <x:c r="I1034" s="72"/>
      <x:c r="J1034" s="69" t="str">
        <x:v>文件未載明</x:v>
      </x:c>
      <x:c r="K1034" s="70"/>
      <x:c r="L1034" s="69" t="str">
        <x:v>文件未載明</x:v>
      </x:c>
      <x:c r="M1034" s="70"/>
      <x:c r="N1034" s="69" t="str">
        <x:v>文件未載明</x:v>
      </x:c>
      <x:c r="O1034" s="71" t="str">
        <x:v>文件未載明</x:v>
      </x:c>
      <x:c r="P1034" s="71" t="str">
        <x:v>HTML table 1 row 39</x:v>
      </x:c>
      <x:c r="Q1034" s="71" t="str">
        <x:v>1. 出廠證明需於工程款項收款達90%方可開之。</x:v>
      </x:c>
      <x:c r="R1034" s="71" t="str">
        <x:v>各廠商合約&amp; 報價\MD檔案\20260225 太格 客變木地板.md</x:v>
      </x:c>
    </x:row>
    <x:row r="1035">
      <x:c r="A1035" s="69" t="str">
        <x:v>ITEM01031</x:v>
      </x:c>
      <x:c r="B1035" s="69" t="str">
        <x:v>SRC065</x:v>
      </x:c>
      <x:c r="C1035" s="69" t="str">
        <x:v>2025-2026</x:v>
      </x:c>
      <x:c r="D1035" s="69" t="str">
        <x:v>detail</x:v>
      </x:c>
      <x:c r="E1035" s="69" t="str">
        <x:v>文件未載明</x:v>
      </x:c>
      <x:c r="F1035" s="71" t="str">
        <x:v>2. 尾款於使用執照取得後六個月,並乙次發放。</x:v>
      </x:c>
      <x:c r="G1035" s="71" t="str">
        <x:v>文件未載明</x:v>
      </x:c>
      <x:c r="H1035" s="71" t="str">
        <x:v>文件未載明</x:v>
      </x:c>
      <x:c r="I1035" s="72"/>
      <x:c r="J1035" s="69" t="str">
        <x:v>文件未載明</x:v>
      </x:c>
      <x:c r="K1035" s="70"/>
      <x:c r="L1035" s="69" t="str">
        <x:v>文件未載明</x:v>
      </x:c>
      <x:c r="M1035" s="70"/>
      <x:c r="N1035" s="69" t="str">
        <x:v>文件未載明</x:v>
      </x:c>
      <x:c r="O1035" s="71" t="str">
        <x:v>文件未載明</x:v>
      </x:c>
      <x:c r="P1035" s="71" t="str">
        <x:v>HTML table 1 row 40</x:v>
      </x:c>
      <x:c r="Q1035" s="71" t="str">
        <x:v>2. 尾款於使用執照取得後六個月,並乙次發放。</x:v>
      </x:c>
      <x:c r="R1035" s="71" t="str">
        <x:v>各廠商合約&amp; 報價\MD檔案\20260225 太格 客變木地板.md</x:v>
      </x:c>
    </x:row>
    <x:row r="1036">
      <x:c r="A1036" s="69" t="str">
        <x:v>ITEM01032</x:v>
      </x:c>
      <x:c r="B1036" s="69" t="str">
        <x:v>SRC065</x:v>
      </x:c>
      <x:c r="C1036" s="69" t="str">
        <x:v>2025-2026</x:v>
      </x:c>
      <x:c r="D1036" s="69" t="str">
        <x:v>note</x:v>
      </x:c>
      <x:c r="E1036" s="69" t="str">
        <x:v>文件未載明</x:v>
      </x:c>
      <x:c r="F1036" s="71" t="str">
        <x:v>客戶(甲方)確認欄</x:v>
      </x:c>
      <x:c r="G1036" s="71" t="str">
        <x:v>付款方式:1. 訂金:50%工程進度款:50%</x:v>
      </x:c>
      <x:c r="H1036" s="71" t="str">
        <x:v>文件未載明</x:v>
      </x:c>
      <x:c r="I1036" s="72"/>
      <x:c r="J1036" s="69" t="str">
        <x:v>文件未載明</x:v>
      </x:c>
      <x:c r="K1036" s="70"/>
      <x:c r="L1036" s="69" t="str">
        <x:v>文件未載明</x:v>
      </x:c>
      <x:c r="M1036" s="70"/>
      <x:c r="N1036" s="69" t="str">
        <x:v>文件未載明</x:v>
      </x:c>
      <x:c r="O1036" s="71" t="str">
        <x:v>文件未載明</x:v>
      </x:c>
      <x:c r="P1036" s="71" t="str">
        <x:v>HTML table 1 row 41</x:v>
      </x:c>
      <x:c r="Q1036" s="71" t="str">
        <x:v>客戶(甲方)確認欄 | 付款方式:1. 訂金:50%工程進度款:50%</x:v>
      </x:c>
      <x:c r="R1036" s="71" t="str">
        <x:v>各廠商合約&amp; 報價\MD檔案\20260225 太格 客變木地板.md</x:v>
      </x:c>
    </x:row>
    <x:row r="1037">
      <x:c r="A1037" s="69" t="str">
        <x:v>ITEM01033</x:v>
      </x:c>
      <x:c r="B1037" s="69" t="str">
        <x:v>SRC065</x:v>
      </x:c>
      <x:c r="C1037" s="69" t="str">
        <x:v>2025-2026</x:v>
      </x:c>
      <x:c r="D1037" s="69" t="str">
        <x:v>detail</x:v>
      </x:c>
      <x:c r="E1037" s="69" t="str">
        <x:v>文件未載明</x:v>
      </x:c>
      <x:c r="F1037" s="71" t="str">
        <x:v>乙方:墨砌實業有限公司 業務代表:陳妤瑄 0905-261878 主管簽認處:</x:v>
      </x:c>
      <x:c r="G1037" s="71" t="str">
        <x:v>文件未載明</x:v>
      </x:c>
      <x:c r="H1037" s="71" t="str">
        <x:v>文件未載明</x:v>
      </x:c>
      <x:c r="I1037" s="72"/>
      <x:c r="J1037" s="69" t="str">
        <x:v>文件未載明</x:v>
      </x:c>
      <x:c r="K1037" s="70"/>
      <x:c r="L1037" s="69" t="str">
        <x:v>文件未載明</x:v>
      </x:c>
      <x:c r="M1037" s="70"/>
      <x:c r="N1037" s="69" t="str">
        <x:v>文件未載明</x:v>
      </x:c>
      <x:c r="O1037" s="71" t="str">
        <x:v>文件未載明</x:v>
      </x:c>
      <x:c r="P1037" s="71" t="str">
        <x:v>HTML table 1 row 42</x:v>
      </x:c>
      <x:c r="Q1037" s="71" t="str">
        <x:v>乙方:墨砌實業有限公司 業務代表:陳妤瑄 0905-261878 主管簽認處:</x:v>
      </x:c>
      <x:c r="R1037" s="71" t="str">
        <x:v>各廠商合約&amp; 報價\MD檔案\20260225 太格 客變木地板.md</x:v>
      </x:c>
    </x:row>
    <x:row r="1038">
      <x:c r="A1038" s="69" t="str">
        <x:v>ITEM01034</x:v>
      </x:c>
      <x:c r="B1038" s="69" t="str">
        <x:v>SRC066</x:v>
      </x:c>
      <x:c r="C1038" s="69" t="str">
        <x:v>2025-2026</x:v>
      </x:c>
      <x:c r="D1038" s="69" t="str">
        <x:v>header</x:v>
      </x:c>
      <x:c r="E1038" s="69" t="str">
        <x:v>項次</x:v>
      </x:c>
      <x:c r="F1038" s="71" t="str">
        <x:v>品名規格</x:v>
      </x:c>
      <x:c r="G1038" s="71" t="str">
        <x:v>文件未載明</x:v>
      </x:c>
      <x:c r="H1038" s="71" t="str">
        <x:v>單位</x:v>
      </x:c>
      <x:c r="I1038" s="72"/>
      <x:c r="J1038" s="69" t="str">
        <x:v>數量</x:v>
      </x:c>
      <x:c r="K1038" s="70"/>
      <x:c r="L1038" s="69" t="str">
        <x:v>單價</x:v>
      </x:c>
      <x:c r="M1038" s="70"/>
      <x:c r="N1038" s="69" t="str">
        <x:v>金額</x:v>
      </x:c>
      <x:c r="O1038" s="71" t="str">
        <x:v>備註</x:v>
      </x:c>
      <x:c r="P1038" s="71" t="str">
        <x:v>HTML table 1 row 1</x:v>
      </x:c>
      <x:c r="Q1038" s="71" t="str">
        <x:v>項次 | 品名規格 | 數量 | 單位 | 單價 | 金額 | 備註</x:v>
      </x:c>
      <x:c r="R1038" s="71" t="str">
        <x:v>各廠商合約&amp; 報價\MD檔案\20260312 公設電箱木作封牆.md</x:v>
      </x:c>
    </x:row>
    <x:row r="1039">
      <x:c r="A1039" s="69" t="str">
        <x:v>ITEM01035</x:v>
      </x:c>
      <x:c r="B1039" s="69" t="str">
        <x:v>SRC066</x:v>
      </x:c>
      <x:c r="C1039" s="69" t="str">
        <x:v>2025-2026</x:v>
      </x:c>
      <x:c r="D1039" s="69" t="str">
        <x:v>detail</x:v>
      </x:c>
      <x:c r="E1039" s="69" t="str">
        <x:v>1</x:v>
      </x:c>
      <x:c r="F1039" s="71" t="str">
        <x:v>一樓公設電箱木作封牆</x:v>
      </x:c>
      <x:c r="G1039" s="71" t="str">
        <x:v>文件未載明</x:v>
      </x:c>
      <x:c r="H1039" s="71" t="str">
        <x:v>坪</x:v>
      </x:c>
      <x:c r="I1039" s="72" t="n">
        <x:v>8</x:v>
      </x:c>
      <x:c r="J1039" s="69" t="str">
        <x:v>8</x:v>
      </x:c>
      <x:c r="K1039" s="70" t="n">
        <x:v>3500</x:v>
      </x:c>
      <x:c r="L1039" s="69" t="str">
        <x:v>3,500</x:v>
      </x:c>
      <x:c r="M1039" s="70" t="n">
        <x:v>28000</x:v>
      </x:c>
      <x:c r="N1039" s="69" t="str">
        <x:v>28,000</x:v>
      </x:c>
      <x:c r="O1039" s="71" t="str">
        <x:v>面板合板6mm 3*6尺</x:v>
      </x:c>
      <x:c r="P1039" s="71" t="str">
        <x:v>HTML table 1 row 2</x:v>
      </x:c>
      <x:c r="Q1039" s="71" t="str">
        <x:v>1 | 一樓公設電箱木作封牆 | 8 | 坪 | 3,500 | 28,000 | 面板合板6mm 3*6尺</x:v>
      </x:c>
      <x:c r="R1039" s="71" t="str">
        <x:v>各廠商合約&amp; 報價\MD檔案\20260312 公設電箱木作封牆.md</x:v>
      </x:c>
    </x:row>
    <x:row r="1040">
      <x:c r="A1040" s="69" t="str">
        <x:v>ITEM01036</x:v>
      </x:c>
      <x:c r="B1040" s="69" t="str">
        <x:v>SRC066</x:v>
      </x:c>
      <x:c r="C1040" s="69" t="str">
        <x:v>2025-2026</x:v>
      </x:c>
      <x:c r="D1040" s="69" t="str">
        <x:v>detail</x:v>
      </x:c>
      <x:c r="E1040" s="69" t="str">
        <x:v>2</x:v>
      </x:c>
      <x:c r="F1040" s="71" t="str">
        <x:v>電箱維修口</x:v>
      </x:c>
      <x:c r="G1040" s="71" t="str">
        <x:v>文件未載明</x:v>
      </x:c>
      <x:c r="H1040" s="71" t="str">
        <x:v>式</x:v>
      </x:c>
      <x:c r="I1040" s="72" t="n">
        <x:v>1</x:v>
      </x:c>
      <x:c r="J1040" s="69" t="str">
        <x:v>1</x:v>
      </x:c>
      <x:c r="K1040" s="70"/>
      <x:c r="L1040" s="69" t="str">
        <x:v>文件未載明</x:v>
      </x:c>
      <x:c r="M1040" s="70" t="n">
        <x:v>4000</x:v>
      </x:c>
      <x:c r="N1040" s="69" t="str">
        <x:v>4,000</x:v>
      </x:c>
      <x:c r="O1040" s="71" t="str">
        <x:v>文件未載明</x:v>
      </x:c>
      <x:c r="P1040" s="71" t="str">
        <x:v>HTML table 1 row 4</x:v>
      </x:c>
      <x:c r="Q1040" s="71" t="str">
        <x:v>2 | 電箱維修口 | 1 | 式 | | 4,000 |</x:v>
      </x:c>
      <x:c r="R1040" s="71" t="str">
        <x:v>各廠商合約&amp; 報價\MD檔案\20260312 公設電箱木作封牆.md</x:v>
      </x:c>
    </x:row>
    <x:row r="1041">
      <x:c r="A1041" s="69" t="str">
        <x:v>ITEM01037</x:v>
      </x:c>
      <x:c r="B1041" s="69" t="str">
        <x:v>SRC066</x:v>
      </x:c>
      <x:c r="C1041" s="69" t="str">
        <x:v>2025-2026</x:v>
      </x:c>
      <x:c r="D1041" s="69" t="str">
        <x:v>detail</x:v>
      </x:c>
      <x:c r="E1041" s="69" t="str">
        <x:v>3</x:v>
      </x:c>
      <x:c r="F1041" s="71" t="str">
        <x:v>頂樓電梯前公設天花板間照</x:v>
      </x:c>
      <x:c r="G1041" s="71" t="str">
        <x:v>文件未載明</x:v>
      </x:c>
      <x:c r="H1041" s="71" t="str">
        <x:v>尺</x:v>
      </x:c>
      <x:c r="I1041" s="72" t="n">
        <x:v>21</x:v>
      </x:c>
      <x:c r="J1041" s="69" t="str">
        <x:v>21</x:v>
      </x:c>
      <x:c r="K1041" s="70" t="n">
        <x:v>450</x:v>
      </x:c>
      <x:c r="L1041" s="69" t="str">
        <x:v>450</x:v>
      </x:c>
      <x:c r="M1041" s="70" t="n">
        <x:v>9450</x:v>
      </x:c>
      <x:c r="N1041" s="69" t="str">
        <x:v>9,450</x:v>
      </x:c>
      <x:c r="O1041" s="71" t="str">
        <x:v>面板矽酸鈣板 6mm 3*6尺</x:v>
      </x:c>
      <x:c r="P1041" s="71" t="str">
        <x:v>HTML table 1 row 5</x:v>
      </x:c>
      <x:c r="Q1041" s="71" t="str">
        <x:v>3 | 頂樓電梯前公設天花板間照 | 21 | 尺 | 450 | 9,450 | 面板矽酸鈣板 6mm 3*6尺</x:v>
      </x:c>
      <x:c r="R1041" s="71" t="str">
        <x:v>各廠商合約&amp; 報價\MD檔案\20260312 公設電箱木作封牆.md</x:v>
      </x:c>
    </x:row>
    <x:row r="1042">
      <x:c r="A1042" s="69" t="str">
        <x:v>ITEM01038</x:v>
      </x:c>
      <x:c r="B1042" s="69" t="str">
        <x:v>SRC066</x:v>
      </x:c>
      <x:c r="C1042" s="69" t="str">
        <x:v>2025-2026</x:v>
      </x:c>
      <x:c r="D1042" s="69" t="str">
        <x:v>detail</x:v>
      </x:c>
      <x:c r="E1042" s="69" t="str">
        <x:v>4</x:v>
      </x:c>
      <x:c r="F1042" s="71" t="str">
        <x:v>電梯車廂保護板</x:v>
      </x:c>
      <x:c r="G1042" s="71" t="str">
        <x:v>文件未載明</x:v>
      </x:c>
      <x:c r="H1042" s="71" t="str">
        <x:v>式</x:v>
      </x:c>
      <x:c r="I1042" s="72" t="n">
        <x:v>1</x:v>
      </x:c>
      <x:c r="J1042" s="69" t="str">
        <x:v>1</x:v>
      </x:c>
      <x:c r="K1042" s="70"/>
      <x:c r="L1042" s="69" t="str">
        <x:v>文件未載明</x:v>
      </x:c>
      <x:c r="M1042" s="70" t="n">
        <x:v>5000</x:v>
      </x:c>
      <x:c r="N1042" s="69" t="str">
        <x:v>5,000</x:v>
      </x:c>
      <x:c r="O1042" s="71" t="str">
        <x:v>文件未載明</x:v>
      </x:c>
      <x:c r="P1042" s="71" t="str">
        <x:v>HTML table 1 row 7</x:v>
      </x:c>
      <x:c r="Q1042" s="71" t="str">
        <x:v>4 | 電梯車廂保護板 | 1 | 式 | | 5,000 |</x:v>
      </x:c>
      <x:c r="R1042" s="71" t="str">
        <x:v>各廠商合約&amp; 報價\MD檔案\20260312 公設電箱木作封牆.md</x:v>
      </x:c>
    </x:row>
    <x:row r="1043">
      <x:c r="A1043" s="69" t="str">
        <x:v>ITEM01039</x:v>
      </x:c>
      <x:c r="B1043" s="69" t="str">
        <x:v>SRC066</x:v>
      </x:c>
      <x:c r="C1043" s="69" t="str">
        <x:v>2025-2026</x:v>
      </x:c>
      <x:c r="D1043" s="69" t="str">
        <x:v>summary</x:v>
      </x:c>
      <x:c r="E1043" s="69" t="str">
        <x:v>備註</x:v>
      </x:c>
      <x:c r="F1043" s="71" t="str">
        <x:v>稅金5%</x:v>
      </x:c>
      <x:c r="G1043" s="71" t="str">
        <x:v>文件未載明</x:v>
      </x:c>
      <x:c r="H1043" s="71" t="str">
        <x:v>文件未載明</x:v>
      </x:c>
      <x:c r="I1043" s="72" t="n">
        <x:v>46450</x:v>
      </x:c>
      <x:c r="J1043" s="69" t="str">
        <x:v>合計金額:NT $ 46,450稅 金:NT $ 2,323應收總額:NT $ 48,773</x:v>
      </x:c>
      <x:c r="K1043" s="70"/>
      <x:c r="L1043" s="69" t="str">
        <x:v>文件未載明</x:v>
      </x:c>
      <x:c r="M1043" s="70"/>
      <x:c r="N1043" s="69" t="str">
        <x:v>文件未載明</x:v>
      </x:c>
      <x:c r="O1043" s="71" t="str">
        <x:v>文件未載明</x:v>
      </x:c>
      <x:c r="P1043" s="71" t="str">
        <x:v>HTML table 1 row 24</x:v>
      </x:c>
      <x:c r="Q1043" s="71" t="str">
        <x:v>備註 | 稅金5% | 合計金額:NT $ 46,450稅 金:NT $ 2,323應收總額:NT $ 48,773</x:v>
      </x:c>
      <x:c r="R1043" s="71" t="str">
        <x:v>各廠商合約&amp; 報價\MD檔案\20260312 公設電箱木作封牆.md</x:v>
      </x:c>
    </x:row>
    <x:row r="1044">
      <x:c r="A1044" s="69" t="str">
        <x:v>ITEM01040</x:v>
      </x:c>
      <x:c r="B1044" s="69" t="str">
        <x:v>SRC068</x:v>
      </x:c>
      <x:c r="C1044" s="69" t="str">
        <x:v>2025-2026</x:v>
      </x:c>
      <x:c r="D1044" s="69" t="str">
        <x:v>header</x:v>
      </x:c>
      <x:c r="E1044" s="69" t="str">
        <x:v>項目</x:v>
      </x:c>
      <x:c r="F1044" s="71" t="str">
        <x:v>項目</x:v>
      </x:c>
      <x:c r="G1044" s="71" t="str">
        <x:v>規格</x:v>
      </x:c>
      <x:c r="H1044" s="71" t="str">
        <x:v>文件未載明</x:v>
      </x:c>
      <x:c r="I1044" s="72"/>
      <x:c r="J1044" s="69" t="str">
        <x:v>數量</x:v>
      </x:c>
      <x:c r="K1044" s="70"/>
      <x:c r="L1044" s="69" t="str">
        <x:v>單價</x:v>
      </x:c>
      <x:c r="M1044" s="70"/>
      <x:c r="N1044" s="69" t="str">
        <x:v>金額</x:v>
      </x:c>
      <x:c r="O1044" s="71" t="str">
        <x:v>備註</x:v>
      </x:c>
      <x:c r="P1044" s="71" t="str">
        <x:v>HTML table 1 row 1</x:v>
      </x:c>
      <x:c r="Q1044" s="71" t="str">
        <x:v>項目 | 品名 | 規格 | 數量 | 單價 | 金額 | 備註</x:v>
      </x:c>
      <x:c r="R1044" s="71" t="str">
        <x:v>各廠商合約&amp; 報價\MD檔案\20260317 全鑫 採光罩玻璃.md</x:v>
      </x:c>
    </x:row>
    <x:row r="1045">
      <x:c r="A1045" s="69" t="str">
        <x:v>ITEM01041</x:v>
      </x:c>
      <x:c r="B1045" s="69" t="str">
        <x:v>SRC068</x:v>
      </x:c>
      <x:c r="C1045" s="69" t="str">
        <x:v>2025-2026</x:v>
      </x:c>
      <x:c r="D1045" s="69" t="str">
        <x:v>detail</x:v>
      </x:c>
      <x:c r="E1045" s="69" t="str">
        <x:v>1</x:v>
      </x:c>
      <x:c r="F1045" s="71" t="str">
        <x:v>1</x:v>
      </x:c>
      <x:c r="G1045" s="71" t="str">
        <x:v>文件未載明</x:v>
      </x:c>
      <x:c r="H1045" s="71" t="str">
        <x:v>文件未載明</x:v>
      </x:c>
      <x:c r="I1045" s="72"/>
      <x:c r="J1045" s="69" t="str">
        <x:v>文件未載明</x:v>
      </x:c>
      <x:c r="K1045" s="70"/>
      <x:c r="L1045" s="69" t="str">
        <x:v>文件未載明</x:v>
      </x:c>
      <x:c r="M1045" s="70"/>
      <x:c r="N1045" s="69" t="str">
        <x:v>文件未載明</x:v>
      </x:c>
      <x:c r="O1045" s="71" t="str">
        <x:v>文件未載明</x:v>
      </x:c>
      <x:c r="P1045" s="71" t="str">
        <x:v>HTML table 1 row 2</x:v>
      </x:c>
      <x:c r="Q1045" s="71" t="str">
        <x:v>1 | 不鏽鋼玻璃溝烤漆鐵灰砂 | | | | |</x:v>
      </x:c>
      <x:c r="R1045" s="71" t="str">
        <x:v>各廠商合約&amp; 報價\MD檔案\20260317 全鑫 採光罩玻璃.md</x:v>
      </x:c>
    </x:row>
    <x:row r="1046">
      <x:c r="A1046" s="69" t="str">
        <x:v>ITEM01042</x:v>
      </x:c>
      <x:c r="B1046" s="69" t="str">
        <x:v>SRC068</x:v>
      </x:c>
      <x:c r="C1046" s="69" t="str">
        <x:v>2025-2026</x:v>
      </x:c>
      <x:c r="D1046" s="69" t="str">
        <x:v>detail</x:v>
      </x:c>
      <x:c r="E1046" s="69" t="str">
        <x:v>2</x:v>
      </x:c>
      <x:c r="F1046" s="71" t="str">
        <x:v>2</x:v>
      </x:c>
      <x:c r="G1046" s="71" t="str">
        <x:v>文件未載明</x:v>
      </x:c>
      <x:c r="H1046" s="71" t="str">
        <x:v>文件未載明</x:v>
      </x:c>
      <x:c r="I1046" s="72"/>
      <x:c r="J1046" s="69" t="str">
        <x:v>文件未載明</x:v>
      </x:c>
      <x:c r="K1046" s="70"/>
      <x:c r="L1046" s="69" t="str">
        <x:v>文件未載明</x:v>
      </x:c>
      <x:c r="M1046" s="70"/>
      <x:c r="N1046" s="69" t="str">
        <x:v>文件未載明</x:v>
      </x:c>
      <x:c r="O1046" s="71" t="str">
        <x:v>文件未載明</x:v>
      </x:c>
      <x:c r="P1046" s="71" t="str">
        <x:v>HTML table 1 row 3</x:v>
      </x:c>
      <x:c r="Q1046" s="71" t="str">
        <x:v>2 | 固定玻璃牆面 8mm 強灰色內到外寬*高 | | | | |</x:v>
      </x:c>
      <x:c r="R1046" s="71" t="str">
        <x:v>各廠商合約&amp; 報價\MD檔案\20260317 全鑫 採光罩玻璃.md</x:v>
      </x:c>
    </x:row>
    <x:row r="1047">
      <x:c r="A1047" s="69" t="str">
        <x:v>ITEM01043</x:v>
      </x:c>
      <x:c r="B1047" s="69" t="str">
        <x:v>SRC068</x:v>
      </x:c>
      <x:c r="C1047" s="69" t="str">
        <x:v>2025-2026</x:v>
      </x:c>
      <x:c r="D1047" s="69" t="str">
        <x:v>detail</x:v>
      </x:c>
      <x:c r="E1047" s="69" t="str">
        <x:v>3</x:v>
      </x:c>
      <x:c r="F1047" s="71" t="str">
        <x:v>3</x:v>
      </x:c>
      <x:c r="G1047" s="71" t="str">
        <x:v>文件未載明</x:v>
      </x:c>
      <x:c r="H1047" s="71" t="str">
        <x:v>文件未載明</x:v>
      </x:c>
      <x:c r="I1047" s="72"/>
      <x:c r="J1047" s="69" t="str">
        <x:v>文件未載明</x:v>
      </x:c>
      <x:c r="K1047" s="70"/>
      <x:c r="L1047" s="69" t="str">
        <x:v>文件未載明</x:v>
      </x:c>
      <x:c r="M1047" s="70"/>
      <x:c r="N1047" s="69" t="str">
        <x:v>文件未載明</x:v>
      </x:c>
      <x:c r="O1047" s="71" t="str">
        <x:v>文件未載明</x:v>
      </x:c>
      <x:c r="P1047" s="71" t="str">
        <x:v>HTML table 1 row 4</x:v>
      </x:c>
      <x:c r="Q1047" s="71" t="str">
        <x:v>3 | 3042*1505*1 | | | | |</x:v>
      </x:c>
      <x:c r="R1047" s="71" t="str">
        <x:v>各廠商合約&amp; 報價\MD檔案\20260317 全鑫 採光罩玻璃.md</x:v>
      </x:c>
    </x:row>
    <x:row r="1048">
      <x:c r="A1048" s="69" t="str">
        <x:v>ITEM01044</x:v>
      </x:c>
      <x:c r="B1048" s="69" t="str">
        <x:v>SRC068</x:v>
      </x:c>
      <x:c r="C1048" s="69" t="str">
        <x:v>2025-2026</x:v>
      </x:c>
      <x:c r="D1048" s="69" t="str">
        <x:v>detail</x:v>
      </x:c>
      <x:c r="E1048" s="69" t="str">
        <x:v>4</x:v>
      </x:c>
      <x:c r="F1048" s="71" t="str">
        <x:v>4</x:v>
      </x:c>
      <x:c r="G1048" s="71" t="str">
        <x:v>文件未載明</x:v>
      </x:c>
      <x:c r="H1048" s="71" t="str">
        <x:v>文件未載明</x:v>
      </x:c>
      <x:c r="I1048" s="72"/>
      <x:c r="J1048" s="69" t="str">
        <x:v>文件未載明</x:v>
      </x:c>
      <x:c r="K1048" s="70"/>
      <x:c r="L1048" s="69" t="str">
        <x:v>文件未載明</x:v>
      </x:c>
      <x:c r="M1048" s="70"/>
      <x:c r="N1048" s="69" t="str">
        <x:v>文件未載明</x:v>
      </x:c>
      <x:c r="O1048" s="71" t="str">
        <x:v>文件未載明</x:v>
      </x:c>
      <x:c r="P1048" s="71" t="str">
        <x:v>HTML table 1 row 5</x:v>
      </x:c>
      <x:c r="Q1048" s="71" t="str">
        <x:v>4 | 3072*1510*1 | | | | |</x:v>
      </x:c>
      <x:c r="R1048" s="71" t="str">
        <x:v>各廠商合約&amp; 報價\MD檔案\20260317 全鑫 採光罩玻璃.md</x:v>
      </x:c>
    </x:row>
    <x:row r="1049">
      <x:c r="A1049" s="69" t="str">
        <x:v>ITEM01045</x:v>
      </x:c>
      <x:c r="B1049" s="69" t="str">
        <x:v>SRC068</x:v>
      </x:c>
      <x:c r="C1049" s="69" t="str">
        <x:v>2025-2026</x:v>
      </x:c>
      <x:c r="D1049" s="69" t="str">
        <x:v>detail</x:v>
      </x:c>
      <x:c r="E1049" s="69" t="str">
        <x:v>5</x:v>
      </x:c>
      <x:c r="F1049" s="71" t="str">
        <x:v>5</x:v>
      </x:c>
      <x:c r="G1049" s="71" t="str">
        <x:v>文件未載明</x:v>
      </x:c>
      <x:c r="H1049" s="71" t="str">
        <x:v>文件未載明</x:v>
      </x:c>
      <x:c r="I1049" s="72"/>
      <x:c r="J1049" s="69" t="str">
        <x:v>文件未載明</x:v>
      </x:c>
      <x:c r="K1049" s="70"/>
      <x:c r="L1049" s="69" t="str">
        <x:v>文件未載明</x:v>
      </x:c>
      <x:c r="M1049" s="70"/>
      <x:c r="N1049" s="69" t="str">
        <x:v>文件未載明</x:v>
      </x:c>
      <x:c r="O1049" s="71" t="str">
        <x:v>文件未載明</x:v>
      </x:c>
      <x:c r="P1049" s="71" t="str">
        <x:v>HTML table 1 row 6</x:v>
      </x:c>
      <x:c r="Q1049" s="71" t="str">
        <x:v>5 | 3075*1510*1 | | | | |</x:v>
      </x:c>
      <x:c r="R1049" s="71" t="str">
        <x:v>各廠商合約&amp; 報價\MD檔案\20260317 全鑫 採光罩玻璃.md</x:v>
      </x:c>
    </x:row>
    <x:row r="1050">
      <x:c r="A1050" s="69" t="str">
        <x:v>ITEM01046</x:v>
      </x:c>
      <x:c r="B1050" s="69" t="str">
        <x:v>SRC068</x:v>
      </x:c>
      <x:c r="C1050" s="69" t="str">
        <x:v>2025-2026</x:v>
      </x:c>
      <x:c r="D1050" s="69" t="str">
        <x:v>detail</x:v>
      </x:c>
      <x:c r="E1050" s="69" t="str">
        <x:v>6</x:v>
      </x:c>
      <x:c r="F1050" s="71" t="str">
        <x:v>6</x:v>
      </x:c>
      <x:c r="G1050" s="71" t="str">
        <x:v>文件未載明</x:v>
      </x:c>
      <x:c r="H1050" s="71" t="str">
        <x:v>文件未載明</x:v>
      </x:c>
      <x:c r="I1050" s="72"/>
      <x:c r="J1050" s="69" t="str">
        <x:v>文件未載明</x:v>
      </x:c>
      <x:c r="K1050" s="70"/>
      <x:c r="L1050" s="69" t="str">
        <x:v>文件未載明</x:v>
      </x:c>
      <x:c r="M1050" s="70"/>
      <x:c r="N1050" s="69" t="str">
        <x:v>文件未載明</x:v>
      </x:c>
      <x:c r="O1050" s="71" t="str">
        <x:v>文件未載明</x:v>
      </x:c>
      <x:c r="P1050" s="71" t="str">
        <x:v>HTML table 1 row 7</x:v>
      </x:c>
      <x:c r="Q1050" s="71" t="str">
        <x:v>6 | 3070*1520*1 | | | | |</x:v>
      </x:c>
      <x:c r="R1050" s="71" t="str">
        <x:v>各廠商合約&amp; 報價\MD檔案\20260317 全鑫 採光罩玻璃.md</x:v>
      </x:c>
    </x:row>
    <x:row r="1051">
      <x:c r="A1051" s="69" t="str">
        <x:v>ITEM01047</x:v>
      </x:c>
      <x:c r="B1051" s="69" t="str">
        <x:v>SRC068</x:v>
      </x:c>
      <x:c r="C1051" s="69" t="str">
        <x:v>2025-2026</x:v>
      </x:c>
      <x:c r="D1051" s="69" t="str">
        <x:v>detail</x:v>
      </x:c>
      <x:c r="E1051" s="69" t="str">
        <x:v>7</x:v>
      </x:c>
      <x:c r="F1051" s="71" t="str">
        <x:v>7</x:v>
      </x:c>
      <x:c r="G1051" s="71" t="str">
        <x:v>文件未載明</x:v>
      </x:c>
      <x:c r="H1051" s="71" t="str">
        <x:v>文件未載明</x:v>
      </x:c>
      <x:c r="I1051" s="72"/>
      <x:c r="J1051" s="69" t="str">
        <x:v>文件未載明</x:v>
      </x:c>
      <x:c r="K1051" s="70"/>
      <x:c r="L1051" s="69" t="str">
        <x:v>文件未載明</x:v>
      </x:c>
      <x:c r="M1051" s="70"/>
      <x:c r="N1051" s="69" t="str">
        <x:v>文件未載明</x:v>
      </x:c>
      <x:c r="O1051" s="71" t="str">
        <x:v>文件未載明</x:v>
      </x:c>
      <x:c r="P1051" s="71" t="str">
        <x:v>HTML table 1 row 8</x:v>
      </x:c>
      <x:c r="Q1051" s="71" t="str">
        <x:v>7 | 3075*1510*1 | | | | |</x:v>
      </x:c>
      <x:c r="R1051" s="71" t="str">
        <x:v>各廠商合約&amp; 報價\MD檔案\20260317 全鑫 採光罩玻璃.md</x:v>
      </x:c>
    </x:row>
    <x:row r="1052">
      <x:c r="A1052" s="69" t="str">
        <x:v>ITEM01048</x:v>
      </x:c>
      <x:c r="B1052" s="69" t="str">
        <x:v>SRC068</x:v>
      </x:c>
      <x:c r="C1052" s="69" t="str">
        <x:v>2025-2026</x:v>
      </x:c>
      <x:c r="D1052" s="69" t="str">
        <x:v>detail</x:v>
      </x:c>
      <x:c r="E1052" s="69" t="str">
        <x:v>8</x:v>
      </x:c>
      <x:c r="F1052" s="71" t="str">
        <x:v>8</x:v>
      </x:c>
      <x:c r="G1052" s="71" t="str">
        <x:v>文件未載明</x:v>
      </x:c>
      <x:c r="H1052" s="71" t="str">
        <x:v>文件未載明</x:v>
      </x:c>
      <x:c r="I1052" s="72"/>
      <x:c r="J1052" s="69" t="str">
        <x:v>文件未載明</x:v>
      </x:c>
      <x:c r="K1052" s="70"/>
      <x:c r="L1052" s="69" t="str">
        <x:v>文件未載明</x:v>
      </x:c>
      <x:c r="M1052" s="70"/>
      <x:c r="N1052" s="69" t="str">
        <x:v>文件未載明</x:v>
      </x:c>
      <x:c r="O1052" s="71" t="str">
        <x:v>文件未載明</x:v>
      </x:c>
      <x:c r="P1052" s="71" t="str">
        <x:v>HTML table 1 row 9</x:v>
      </x:c>
      <x:c r="Q1052" s="71" t="str">
        <x:v>8 | 3065*1500*1 | | | | |</x:v>
      </x:c>
      <x:c r="R1052" s="71" t="str">
        <x:v>各廠商合約&amp; 報價\MD檔案\20260317 全鑫 採光罩玻璃.md</x:v>
      </x:c>
    </x:row>
    <x:row r="1053">
      <x:c r="A1053" s="69" t="str">
        <x:v>ITEM01049</x:v>
      </x:c>
      <x:c r="B1053" s="69" t="str">
        <x:v>SRC068</x:v>
      </x:c>
      <x:c r="C1053" s="69" t="str">
        <x:v>2025-2026</x:v>
      </x:c>
      <x:c r="D1053" s="69" t="str">
        <x:v>detail</x:v>
      </x:c>
      <x:c r="E1053" s="69" t="str">
        <x:v>9</x:v>
      </x:c>
      <x:c r="F1053" s="71" t="str">
        <x:v>9</x:v>
      </x:c>
      <x:c r="G1053" s="71" t="str">
        <x:v>文件未載明</x:v>
      </x:c>
      <x:c r="H1053" s="71" t="str">
        <x:v>文件未載明</x:v>
      </x:c>
      <x:c r="I1053" s="72"/>
      <x:c r="J1053" s="69" t="str">
        <x:v>文件未載明</x:v>
      </x:c>
      <x:c r="K1053" s="70"/>
      <x:c r="L1053" s="69" t="str">
        <x:v>文件未載明</x:v>
      </x:c>
      <x:c r="M1053" s="70"/>
      <x:c r="N1053" s="69" t="str">
        <x:v>文件未載明</x:v>
      </x:c>
      <x:c r="O1053" s="71" t="str">
        <x:v>文件未載明</x:v>
      </x:c>
      <x:c r="P1053" s="71" t="str">
        <x:v>HTML table 1 row 10</x:v>
      </x:c>
      <x:c r="Q1053" s="71" t="str">
        <x:v>9 | 2000*300*1 | | | | |</x:v>
      </x:c>
      <x:c r="R1053" s="71" t="str">
        <x:v>各廠商合約&amp; 報價\MD檔案\20260317 全鑫 採光罩玻璃.md</x:v>
      </x:c>
    </x:row>
    <x:row r="1054">
      <x:c r="A1054" s="69" t="str">
        <x:v>ITEM01050</x:v>
      </x:c>
      <x:c r="B1054" s="69" t="str">
        <x:v>SRC068</x:v>
      </x:c>
      <x:c r="C1054" s="69" t="str">
        <x:v>2025-2026</x:v>
      </x:c>
      <x:c r="D1054" s="69" t="str">
        <x:v>detail</x:v>
      </x:c>
      <x:c r="E1054" s="69" t="str">
        <x:v>10</x:v>
      </x:c>
      <x:c r="F1054" s="71" t="str">
        <x:v>10</x:v>
      </x:c>
      <x:c r="G1054" s="71" t="str">
        <x:v>文件未載明</x:v>
      </x:c>
      <x:c r="H1054" s="71" t="str">
        <x:v>文件未載明</x:v>
      </x:c>
      <x:c r="I1054" s="72"/>
      <x:c r="J1054" s="69" t="str">
        <x:v>文件未載明</x:v>
      </x:c>
      <x:c r="K1054" s="70"/>
      <x:c r="L1054" s="69" t="str">
        <x:v>文件未載明</x:v>
      </x:c>
      <x:c r="M1054" s="70"/>
      <x:c r="N1054" s="69" t="str">
        <x:v>文件未載明</x:v>
      </x:c>
      <x:c r="O1054" s="71" t="str">
        <x:v>文件未載明</x:v>
      </x:c>
      <x:c r="P1054" s="71" t="str">
        <x:v>HTML table 1 row 11</x:v>
      </x:c>
      <x:c r="Q1054" s="71" t="str">
        <x:v>10 | | | | | |</x:v>
      </x:c>
      <x:c r="R1054" s="71" t="str">
        <x:v>各廠商合約&amp; 報價\MD檔案\20260317 全鑫 採光罩玻璃.md</x:v>
      </x:c>
    </x:row>
    <x:row r="1055">
      <x:c r="A1055" s="69" t="str">
        <x:v>ITEM01051</x:v>
      </x:c>
      <x:c r="B1055" s="69" t="str">
        <x:v>SRC068</x:v>
      </x:c>
      <x:c r="C1055" s="69" t="str">
        <x:v>2025-2026</x:v>
      </x:c>
      <x:c r="D1055" s="69" t="str">
        <x:v>summary</x:v>
      </x:c>
      <x:c r="E1055" s="69" t="str">
        <x:v>11</x:v>
      </x:c>
      <x:c r="F1055" s="71" t="str">
        <x:v>11</x:v>
      </x:c>
      <x:c r="G1055" s="71" t="str">
        <x:v>文件未載明</x:v>
      </x:c>
      <x:c r="H1055" s="71" t="str">
        <x:v>文件未載明</x:v>
      </x:c>
      <x:c r="I1055" s="72"/>
      <x:c r="J1055" s="69" t="str">
        <x:v>文件未載明</x:v>
      </x:c>
      <x:c r="K1055" s="70"/>
      <x:c r="L1055" s="69" t="str">
        <x:v>文件未載明</x:v>
      </x:c>
      <x:c r="M1055" s="70"/>
      <x:c r="N1055" s="69" t="str">
        <x:v>文件未載明</x:v>
      </x:c>
      <x:c r="O1055" s="71" t="str">
        <x:v>文件未載明</x:v>
      </x:c>
      <x:c r="P1055" s="71" t="str">
        <x:v>HTML table 1 row 12</x:v>
      </x:c>
      <x:c r="Q1055" s="71" t="str">
        <x:v>11 | 合計$126800 | | | | |</x:v>
      </x:c>
      <x:c r="R1055" s="71" t="str">
        <x:v>各廠商合約&amp; 報價\MD檔案\20260317 全鑫 採光罩玻璃.md</x:v>
      </x:c>
    </x:row>
    <x:row r="1056">
      <x:c r="A1056" s="69" t="str">
        <x:v>ITEM01052</x:v>
      </x:c>
      <x:c r="B1056" s="69" t="str">
        <x:v>SRC068</x:v>
      </x:c>
      <x:c r="C1056" s="69" t="str">
        <x:v>2025-2026</x:v>
      </x:c>
      <x:c r="D1056" s="69" t="str">
        <x:v>summary</x:v>
      </x:c>
      <x:c r="E1056" s="69" t="str">
        <x:v>12</x:v>
      </x:c>
      <x:c r="F1056" s="71" t="str">
        <x:v>12</x:v>
      </x:c>
      <x:c r="G1056" s="71" t="str">
        <x:v>文件未載明</x:v>
      </x:c>
      <x:c r="H1056" s="71" t="str">
        <x:v>文件未載明</x:v>
      </x:c>
      <x:c r="I1056" s="72"/>
      <x:c r="J1056" s="69" t="str">
        <x:v>文件未載明</x:v>
      </x:c>
      <x:c r="K1056" s="70"/>
      <x:c r="L1056" s="69" t="str">
        <x:v>文件未載明</x:v>
      </x:c>
      <x:c r="M1056" s="70"/>
      <x:c r="N1056" s="69" t="str">
        <x:v>文件未載明</x:v>
      </x:c>
      <x:c r="O1056" s="71" t="str">
        <x:v>文件未載明</x:v>
      </x:c>
      <x:c r="P1056" s="71" t="str">
        <x:v>HTML table 1 row 13</x:v>
      </x:c>
      <x:c r="Q1056" s="71" t="str">
        <x:v>12 | 議價$118000 未稅 | | | | |</x:v>
      </x:c>
      <x:c r="R1056" s="71" t="str">
        <x:v>各廠商合約&amp; 報價\MD檔案\20260317 全鑫 採光罩玻璃.md</x:v>
      </x:c>
    </x:row>
    <x:row r="1057">
      <x:c r="A1057" s="69" t="str">
        <x:v>ITEM01053</x:v>
      </x:c>
      <x:c r="B1057" s="69" t="str">
        <x:v>SRC068</x:v>
      </x:c>
      <x:c r="C1057" s="69" t="str">
        <x:v>2025-2026</x:v>
      </x:c>
      <x:c r="D1057" s="69" t="str">
        <x:v>detail</x:v>
      </x:c>
      <x:c r="E1057" s="69" t="str">
        <x:v>13</x:v>
      </x:c>
      <x:c r="F1057" s="71" t="str">
        <x:v>13</x:v>
      </x:c>
      <x:c r="G1057" s="71" t="str">
        <x:v>文件未載明</x:v>
      </x:c>
      <x:c r="H1057" s="71" t="str">
        <x:v>文件未載明</x:v>
      </x:c>
      <x:c r="I1057" s="72"/>
      <x:c r="J1057" s="69" t="str">
        <x:v>文件未載明</x:v>
      </x:c>
      <x:c r="K1057" s="70"/>
      <x:c r="L1057" s="69" t="str">
        <x:v>文件未載明</x:v>
      </x:c>
      <x:c r="M1057" s="70"/>
      <x:c r="N1057" s="69" t="str">
        <x:v>文件未載明</x:v>
      </x:c>
      <x:c r="O1057" s="71" t="str">
        <x:v>文件未載明</x:v>
      </x:c>
      <x:c r="P1057" s="71" t="str">
        <x:v>HTML table 1 row 14</x:v>
      </x:c>
      <x:c r="Q1057" s="71" t="str">
        <x:v>13 | | | | | |</x:v>
      </x:c>
      <x:c r="R1057" s="71" t="str">
        <x:v>各廠商合約&amp; 報價\MD檔案\20260317 全鑫 採光罩玻璃.md</x:v>
      </x:c>
    </x:row>
    <x:row r="1058">
      <x:c r="A1058" s="69" t="str">
        <x:v>ITEM01054</x:v>
      </x:c>
      <x:c r="B1058" s="69" t="str">
        <x:v>SRC068</x:v>
      </x:c>
      <x:c r="C1058" s="69" t="str">
        <x:v>2025-2026</x:v>
      </x:c>
      <x:c r="D1058" s="69" t="str">
        <x:v>detail</x:v>
      </x:c>
      <x:c r="E1058" s="69" t="str">
        <x:v>14</x:v>
      </x:c>
      <x:c r="F1058" s="71" t="str">
        <x:v>14</x:v>
      </x:c>
      <x:c r="G1058" s="71" t="str">
        <x:v>文件未載明</x:v>
      </x:c>
      <x:c r="H1058" s="71" t="str">
        <x:v>文件未載明</x:v>
      </x:c>
      <x:c r="I1058" s="72"/>
      <x:c r="J1058" s="69" t="str">
        <x:v>文件未載明</x:v>
      </x:c>
      <x:c r="K1058" s="70"/>
      <x:c r="L1058" s="69" t="str">
        <x:v>文件未載明</x:v>
      </x:c>
      <x:c r="M1058" s="70"/>
      <x:c r="N1058" s="69" t="str">
        <x:v>文件未載明</x:v>
      </x:c>
      <x:c r="O1058" s="71" t="str">
        <x:v>文件未載明</x:v>
      </x:c>
      <x:c r="P1058" s="71" t="str">
        <x:v>HTML table 1 row 15</x:v>
      </x:c>
      <x:c r="Q1058" s="71" t="str">
        <x:v>14 | | | | | |</x:v>
      </x:c>
      <x:c r="R1058" s="71" t="str">
        <x:v>各廠商合約&amp; 報價\MD檔案\20260317 全鑫 採光罩玻璃.md</x:v>
      </x:c>
    </x:row>
    <x:row r="1059">
      <x:c r="A1059" s="69" t="str">
        <x:v>ITEM01055</x:v>
      </x:c>
      <x:c r="B1059" s="69" t="str">
        <x:v>SRC068</x:v>
      </x:c>
      <x:c r="C1059" s="69" t="str">
        <x:v>2025-2026</x:v>
      </x:c>
      <x:c r="D1059" s="69" t="str">
        <x:v>detail</x:v>
      </x:c>
      <x:c r="E1059" s="69" t="str">
        <x:v>15</x:v>
      </x:c>
      <x:c r="F1059" s="71" t="str">
        <x:v>15</x:v>
      </x:c>
      <x:c r="G1059" s="71" t="str">
        <x:v>文件未載明</x:v>
      </x:c>
      <x:c r="H1059" s="71" t="str">
        <x:v>文件未載明</x:v>
      </x:c>
      <x:c r="I1059" s="72"/>
      <x:c r="J1059" s="69" t="str">
        <x:v>文件未載明</x:v>
      </x:c>
      <x:c r="K1059" s="70"/>
      <x:c r="L1059" s="69" t="str">
        <x:v>文件未載明</x:v>
      </x:c>
      <x:c r="M1059" s="70"/>
      <x:c r="N1059" s="69" t="str">
        <x:v>文件未載明</x:v>
      </x:c>
      <x:c r="O1059" s="71" t="str">
        <x:v>文件未載明</x:v>
      </x:c>
      <x:c r="P1059" s="71" t="str">
        <x:v>HTML table 1 row 16</x:v>
      </x:c>
      <x:c r="Q1059" s="71" t="str">
        <x:v>15 | | | | | |</x:v>
      </x:c>
      <x:c r="R1059" s="71" t="str">
        <x:v>各廠商合約&amp; 報價\MD檔案\20260317 全鑫 採光罩玻璃.md</x:v>
      </x:c>
    </x:row>
    <x:row r="1060">
      <x:c r="A1060" s="69" t="str">
        <x:v>ITEM01056</x:v>
      </x:c>
      <x:c r="B1060" s="69" t="str">
        <x:v>SRC068</x:v>
      </x:c>
      <x:c r="C1060" s="69" t="str">
        <x:v>2025-2026</x:v>
      </x:c>
      <x:c r="D1060" s="69" t="str">
        <x:v>detail</x:v>
      </x:c>
      <x:c r="E1060" s="69" t="str">
        <x:v>16</x:v>
      </x:c>
      <x:c r="F1060" s="71" t="str">
        <x:v>16</x:v>
      </x:c>
      <x:c r="G1060" s="71" t="str">
        <x:v>文件未載明</x:v>
      </x:c>
      <x:c r="H1060" s="71" t="str">
        <x:v>文件未載明</x:v>
      </x:c>
      <x:c r="I1060" s="72"/>
      <x:c r="J1060" s="69" t="str">
        <x:v>文件未載明</x:v>
      </x:c>
      <x:c r="K1060" s="70"/>
      <x:c r="L1060" s="69" t="str">
        <x:v>文件未載明</x:v>
      </x:c>
      <x:c r="M1060" s="70"/>
      <x:c r="N1060" s="69" t="str">
        <x:v>文件未載明</x:v>
      </x:c>
      <x:c r="O1060" s="71" t="str">
        <x:v>文件未載明</x:v>
      </x:c>
      <x:c r="P1060" s="71" t="str">
        <x:v>HTML table 1 row 17</x:v>
      </x:c>
      <x:c r="Q1060" s="71" t="str">
        <x:v>16 | | | | | |</x:v>
      </x:c>
      <x:c r="R1060" s="71" t="str">
        <x:v>各廠商合約&amp; 報價\MD檔案\20260317 全鑫 採光罩玻璃.md</x:v>
      </x:c>
    </x:row>
    <x:row r="1061">
      <x:c r="A1061" s="69" t="str">
        <x:v>ITEM01057</x:v>
      </x:c>
      <x:c r="B1061" s="69" t="str">
        <x:v>SRC068</x:v>
      </x:c>
      <x:c r="C1061" s="69" t="str">
        <x:v>2025-2026</x:v>
      </x:c>
      <x:c r="D1061" s="69" t="str">
        <x:v>detail</x:v>
      </x:c>
      <x:c r="E1061" s="69" t="str">
        <x:v>17</x:v>
      </x:c>
      <x:c r="F1061" s="71" t="str">
        <x:v>17</x:v>
      </x:c>
      <x:c r="G1061" s="71" t="str">
        <x:v>文件未載明</x:v>
      </x:c>
      <x:c r="H1061" s="71" t="str">
        <x:v>文件未載明</x:v>
      </x:c>
      <x:c r="I1061" s="72"/>
      <x:c r="J1061" s="69" t="str">
        <x:v>文件未載明</x:v>
      </x:c>
      <x:c r="K1061" s="70"/>
      <x:c r="L1061" s="69" t="str">
        <x:v>文件未載明</x:v>
      </x:c>
      <x:c r="M1061" s="70"/>
      <x:c r="N1061" s="69" t="str">
        <x:v>文件未載明</x:v>
      </x:c>
      <x:c r="O1061" s="71" t="str">
        <x:v>文件未載明</x:v>
      </x:c>
      <x:c r="P1061" s="71" t="str">
        <x:v>HTML table 1 row 18</x:v>
      </x:c>
      <x:c r="Q1061" s="71" t="str">
        <x:v>17 | | | | | |</x:v>
      </x:c>
      <x:c r="R1061" s="71" t="str">
        <x:v>各廠商合約&amp; 報價\MD檔案\20260317 全鑫 採光罩玻璃.md</x:v>
      </x:c>
    </x:row>
    <x:row r="1062">
      <x:c r="A1062" s="69" t="str">
        <x:v>ITEM01058</x:v>
      </x:c>
      <x:c r="B1062" s="69" t="str">
        <x:v>SRC068</x:v>
      </x:c>
      <x:c r="C1062" s="69" t="str">
        <x:v>2025-2026</x:v>
      </x:c>
      <x:c r="D1062" s="69" t="str">
        <x:v>detail</x:v>
      </x:c>
      <x:c r="E1062" s="69" t="str">
        <x:v>18</x:v>
      </x:c>
      <x:c r="F1062" s="71" t="str">
        <x:v>18</x:v>
      </x:c>
      <x:c r="G1062" s="71" t="str">
        <x:v>文件未載明</x:v>
      </x:c>
      <x:c r="H1062" s="71" t="str">
        <x:v>文件未載明</x:v>
      </x:c>
      <x:c r="I1062" s="72"/>
      <x:c r="J1062" s="69" t="str">
        <x:v>文件未載明</x:v>
      </x:c>
      <x:c r="K1062" s="70"/>
      <x:c r="L1062" s="69" t="str">
        <x:v>文件未載明</x:v>
      </x:c>
      <x:c r="M1062" s="70"/>
      <x:c r="N1062" s="69" t="str">
        <x:v>文件未載明</x:v>
      </x:c>
      <x:c r="O1062" s="71" t="str">
        <x:v>文件未載明</x:v>
      </x:c>
      <x:c r="P1062" s="71" t="str">
        <x:v>HTML table 1 row 19</x:v>
      </x:c>
      <x:c r="Q1062" s="71" t="str">
        <x:v>18 | | | | | |</x:v>
      </x:c>
      <x:c r="R1062" s="71" t="str">
        <x:v>各廠商合約&amp; 報價\MD檔案\20260317 全鑫 採光罩玻璃.md</x:v>
      </x:c>
    </x:row>
    <x:row r="1063">
      <x:c r="A1063" s="69" t="str">
        <x:v>ITEM01059</x:v>
      </x:c>
      <x:c r="B1063" s="69" t="str">
        <x:v>SRC068</x:v>
      </x:c>
      <x:c r="C1063" s="69" t="str">
        <x:v>2025-2026</x:v>
      </x:c>
      <x:c r="D1063" s="69" t="str">
        <x:v>detail</x:v>
      </x:c>
      <x:c r="E1063" s="69" t="str">
        <x:v>19</x:v>
      </x:c>
      <x:c r="F1063" s="71" t="str">
        <x:v>19</x:v>
      </x:c>
      <x:c r="G1063" s="71" t="str">
        <x:v>文件未載明</x:v>
      </x:c>
      <x:c r="H1063" s="71" t="str">
        <x:v>文件未載明</x:v>
      </x:c>
      <x:c r="I1063" s="72"/>
      <x:c r="J1063" s="69" t="str">
        <x:v>文件未載明</x:v>
      </x:c>
      <x:c r="K1063" s="70"/>
      <x:c r="L1063" s="69" t="str">
        <x:v>文件未載明</x:v>
      </x:c>
      <x:c r="M1063" s="70"/>
      <x:c r="N1063" s="69" t="str">
        <x:v>文件未載明</x:v>
      </x:c>
      <x:c r="O1063" s="71" t="str">
        <x:v>文件未載明</x:v>
      </x:c>
      <x:c r="P1063" s="71" t="str">
        <x:v>HTML table 1 row 20</x:v>
      </x:c>
      <x:c r="Q1063" s="71" t="str">
        <x:v>19 | | | | | |</x:v>
      </x:c>
      <x:c r="R1063" s="71" t="str">
        <x:v>各廠商合約&amp; 報價\MD檔案\20260317 全鑫 採光罩玻璃.md</x:v>
      </x:c>
    </x:row>
    <x:row r="1064">
      <x:c r="A1064" s="69" t="str">
        <x:v>ITEM01060</x:v>
      </x:c>
      <x:c r="B1064" s="69" t="str">
        <x:v>SRC068</x:v>
      </x:c>
      <x:c r="C1064" s="69" t="str">
        <x:v>2025-2026</x:v>
      </x:c>
      <x:c r="D1064" s="69" t="str">
        <x:v>detail</x:v>
      </x:c>
      <x:c r="E1064" s="69" t="str">
        <x:v>20</x:v>
      </x:c>
      <x:c r="F1064" s="71" t="str">
        <x:v>20</x:v>
      </x:c>
      <x:c r="G1064" s="71" t="str">
        <x:v>文件未載明</x:v>
      </x:c>
      <x:c r="H1064" s="71" t="str">
        <x:v>文件未載明</x:v>
      </x:c>
      <x:c r="I1064" s="72"/>
      <x:c r="J1064" s="69" t="str">
        <x:v>文件未載明</x:v>
      </x:c>
      <x:c r="K1064" s="70"/>
      <x:c r="L1064" s="69" t="str">
        <x:v>文件未載明</x:v>
      </x:c>
      <x:c r="M1064" s="70"/>
      <x:c r="N1064" s="69" t="str">
        <x:v>文件未載明</x:v>
      </x:c>
      <x:c r="O1064" s="71" t="str">
        <x:v>文件未載明</x:v>
      </x:c>
      <x:c r="P1064" s="71" t="str">
        <x:v>HTML table 1 row 21</x:v>
      </x:c>
      <x:c r="Q1064" s="71" t="str">
        <x:v>20 | | | | | |</x:v>
      </x:c>
      <x:c r="R1064" s="71" t="str">
        <x:v>各廠商合約&amp; 報價\MD檔案\20260317 全鑫 採光罩玻璃.md</x:v>
      </x:c>
    </x:row>
    <x:row r="1065">
      <x:c r="A1065" s="69" t="str">
        <x:v>ITEM01061</x:v>
      </x:c>
      <x:c r="B1065" s="69" t="str">
        <x:v>SRC068</x:v>
      </x:c>
      <x:c r="C1065" s="69" t="str">
        <x:v>2025-2026</x:v>
      </x:c>
      <x:c r="D1065" s="69" t="str">
        <x:v>note</x:v>
      </x:c>
      <x:c r="E1065" s="69" t="str">
        <x:v>備註:寬3米多的分兩片玻璃上下骨料就好玻璃中間相接處透明矽利康收</x:v>
      </x:c>
      <x:c r="F1065" s="71" t="str">
        <x:v>備註:寬3米多的分兩片玻璃上下骨料就好玻璃中間相接處透明矽利康收</x:v>
      </x:c>
      <x:c r="G1065" s="71" t="str">
        <x:v>文件未載明</x:v>
      </x:c>
      <x:c r="H1065" s="71" t="str">
        <x:v>文件未載明</x:v>
      </x:c>
      <x:c r="I1065" s="72"/>
      <x:c r="J1065" s="69" t="str">
        <x:v>文件未載明</x:v>
      </x:c>
      <x:c r="K1065" s="70"/>
      <x:c r="L1065" s="69" t="str">
        <x:v>文件未載明</x:v>
      </x:c>
      <x:c r="M1065" s="70"/>
      <x:c r="N1065" s="69" t="str">
        <x:v>文件未載明</x:v>
      </x:c>
      <x:c r="O1065" s="71" t="str">
        <x:v>文件未載明</x:v>
      </x:c>
      <x:c r="P1065" s="71" t="str">
        <x:v>HTML table 1 row 22</x:v>
      </x:c>
      <x:c r="Q1065" s="71" t="str">
        <x:v>備註:寬3米多的分兩片玻璃上下骨料就好玻璃中間相接處透明矽利康收</x:v>
      </x:c>
      <x:c r="R1065" s="71" t="str">
        <x:v>各廠商合約&amp; 報價\MD檔案\20260317 全鑫 採光罩玻璃.md</x:v>
      </x:c>
    </x:row>
    <x:row r="1066">
      <x:c r="A1066" s="69" t="str">
        <x:v>ITEM01062</x:v>
      </x:c>
      <x:c r="B1066" s="69" t="str">
        <x:v>SRC068</x:v>
      </x:c>
      <x:c r="C1066" s="69" t="str">
        <x:v>2025-2026</x:v>
      </x:c>
      <x:c r="D1066" s="69" t="str">
        <x:v>detail</x:v>
      </x:c>
      <x:c r="E1066" s="69" t="str">
        <x:v>總額新台幣 佰 拾 萬仟 佰 拾 元</x:v>
      </x:c>
      <x:c r="F1066" s="71" t="str">
        <x:v>總額新台幣 佰 拾 萬仟 佰 拾 元</x:v>
      </x:c>
      <x:c r="G1066" s="71" t="str">
        <x:v>文件未載明</x:v>
      </x:c>
      <x:c r="H1066" s="71" t="str">
        <x:v>文件未載明</x:v>
      </x:c>
      <x:c r="I1066" s="72"/>
      <x:c r="J1066" s="69" t="str">
        <x:v>文件未載明</x:v>
      </x:c>
      <x:c r="K1066" s="70"/>
      <x:c r="L1066" s="69" t="str">
        <x:v>文件未載明</x:v>
      </x:c>
      <x:c r="M1066" s="70"/>
      <x:c r="N1066" s="69" t="str">
        <x:v>文件未載明</x:v>
      </x:c>
      <x:c r="O1066" s="71" t="str">
        <x:v>文件未載明</x:v>
      </x:c>
      <x:c r="P1066" s="71" t="str">
        <x:v>HTML table 1 row 23</x:v>
      </x:c>
      <x:c r="Q1066" s="71" t="str">
        <x:v>總額新台幣 佰 拾 萬仟 佰 拾 元 |</x:v>
      </x:c>
      <x:c r="R1066" s="71" t="str">
        <x:v>各廠商合約&amp; 報價\MD檔案\20260317 全鑫 採光罩玻璃.md</x:v>
      </x:c>
    </x:row>
    <x:row r="1067">
      <x:c r="A1067" s="69" t="str">
        <x:v>ITEM01063</x:v>
      </x:c>
      <x:c r="B1067" s="69" t="str">
        <x:v>SRC067</x:v>
      </x:c>
      <x:c r="C1067" s="69" t="str">
        <x:v>2025-2026</x:v>
      </x:c>
      <x:c r="D1067" s="69" t="str">
        <x:v>header</x:v>
      </x:c>
      <x:c r="E1067" s="69" t="str">
        <x:v>項目</x:v>
      </x:c>
      <x:c r="F1067" s="71" t="str">
        <x:v>項目</x:v>
      </x:c>
      <x:c r="G1067" s="71" t="str">
        <x:v>規格</x:v>
      </x:c>
      <x:c r="H1067" s="71" t="str">
        <x:v>文件未載明</x:v>
      </x:c>
      <x:c r="I1067" s="72"/>
      <x:c r="J1067" s="69" t="str">
        <x:v>數量</x:v>
      </x:c>
      <x:c r="K1067" s="70"/>
      <x:c r="L1067" s="69" t="str">
        <x:v>單價</x:v>
      </x:c>
      <x:c r="M1067" s="70"/>
      <x:c r="N1067" s="69" t="str">
        <x:v>金額</x:v>
      </x:c>
      <x:c r="O1067" s="71" t="str">
        <x:v>備註</x:v>
      </x:c>
      <x:c r="P1067" s="71" t="str">
        <x:v>HTML table 1 row 1</x:v>
      </x:c>
      <x:c r="Q1067" s="71" t="str">
        <x:v>項目 | 品名 | 規格 | 數量 | 單價 | 金額 | 備註</x:v>
      </x:c>
      <x:c r="R1067" s="71" t="str">
        <x:v>各廠商合約&amp; 報價\MD檔案\20260317 全鑫 浪板更換.md</x:v>
      </x:c>
    </x:row>
    <x:row r="1068">
      <x:c r="A1068" s="69" t="str">
        <x:v>ITEM01064</x:v>
      </x:c>
      <x:c r="B1068" s="69" t="str">
        <x:v>SRC067</x:v>
      </x:c>
      <x:c r="C1068" s="69" t="str">
        <x:v>2025-2026</x:v>
      </x:c>
      <x:c r="D1068" s="69" t="str">
        <x:v>detail</x:v>
      </x:c>
      <x:c r="E1068" s="69" t="str">
        <x:v>1</x:v>
      </x:c>
      <x:c r="F1068" s="71" t="str">
        <x:v>1</x:v>
      </x:c>
      <x:c r="G1068" s="71" t="str">
        <x:v>文件未載明</x:v>
      </x:c>
      <x:c r="H1068" s="71" t="str">
        <x:v>文件未載明</x:v>
      </x:c>
      <x:c r="I1068" s="72"/>
      <x:c r="J1068" s="69" t="str">
        <x:v>文件未載明</x:v>
      </x:c>
      <x:c r="K1068" s="70"/>
      <x:c r="L1068" s="69" t="str">
        <x:v>文件未載明</x:v>
      </x:c>
      <x:c r="M1068" s="70"/>
      <x:c r="N1068" s="69" t="str">
        <x:v>文件未載明</x:v>
      </x:c>
      <x:c r="O1068" s="71" t="str">
        <x:v>文件未載明</x:v>
      </x:c>
      <x:c r="P1068" s="71" t="str">
        <x:v>HTML table 1 row 2</x:v>
      </x:c>
      <x:c r="Q1068" s="71" t="str">
        <x:v>1 | 牙白色牆面浪板更換 | | | | |</x:v>
      </x:c>
      <x:c r="R1068" s="71" t="str">
        <x:v>各廠商合約&amp; 報價\MD檔案\20260317 全鑫 浪板更換.md</x:v>
      </x:c>
    </x:row>
    <x:row r="1069">
      <x:c r="A1069" s="69" t="str">
        <x:v>ITEM01065</x:v>
      </x:c>
      <x:c r="B1069" s="69" t="str">
        <x:v>SRC067</x:v>
      </x:c>
      <x:c r="C1069" s="69" t="str">
        <x:v>2025-2026</x:v>
      </x:c>
      <x:c r="D1069" s="69" t="str">
        <x:v>detail</x:v>
      </x:c>
      <x:c r="E1069" s="69" t="str">
        <x:v>2</x:v>
      </x:c>
      <x:c r="F1069" s="71" t="str">
        <x:v>2</x:v>
      </x:c>
      <x:c r="G1069" s="71" t="str">
        <x:v>式</x:v>
      </x:c>
      <x:c r="H1069" s="71" t="str">
        <x:v>文件未載明</x:v>
      </x:c>
      <x:c r="I1069" s="72" t="n">
        <x:v>1</x:v>
      </x:c>
      <x:c r="J1069" s="69" t="str">
        <x:v>1</x:v>
      </x:c>
      <x:c r="K1069" s="70"/>
      <x:c r="L1069" s="69" t="str">
        <x:v>文件未載明</x:v>
      </x:c>
      <x:c r="M1069" s="70" t="n">
        <x:v>22000</x:v>
      </x:c>
      <x:c r="N1069" s="69" t="str">
        <x:v>22000</x:v>
      </x:c>
      <x:c r="O1069" s="71" t="str">
        <x:v>文件未載明</x:v>
      </x:c>
      <x:c r="P1069" s="71" t="str">
        <x:v>HTML table 1 row 3</x:v>
      </x:c>
      <x:c r="Q1069" s="71" t="str">
        <x:v>2 | 長 20000 高 180 | 式 | 1 | | 22000 |</x:v>
      </x:c>
      <x:c r="R1069" s="71" t="str">
        <x:v>各廠商合約&amp; 報價\MD檔案\20260317 全鑫 浪板更換.md</x:v>
      </x:c>
    </x:row>
    <x:row r="1070">
      <x:c r="A1070" s="69" t="str">
        <x:v>ITEM01066</x:v>
      </x:c>
      <x:c r="B1070" s="69" t="str">
        <x:v>SRC067</x:v>
      </x:c>
      <x:c r="C1070" s="69" t="str">
        <x:v>2025-2026</x:v>
      </x:c>
      <x:c r="D1070" s="69" t="str">
        <x:v>detail</x:v>
      </x:c>
      <x:c r="E1070" s="69" t="str">
        <x:v>3</x:v>
      </x:c>
      <x:c r="F1070" s="71" t="str">
        <x:v>3</x:v>
      </x:c>
      <x:c r="G1070" s="71" t="str">
        <x:v>式</x:v>
      </x:c>
      <x:c r="H1070" s="71" t="str">
        <x:v>文件未載明</x:v>
      </x:c>
      <x:c r="I1070" s="72" t="n">
        <x:v>1</x:v>
      </x:c>
      <x:c r="J1070" s="69" t="str">
        <x:v>1</x:v>
      </x:c>
      <x:c r="K1070" s="70"/>
      <x:c r="L1070" s="69" t="str">
        <x:v>文件未載明</x:v>
      </x:c>
      <x:c r="M1070" s="70" t="n">
        <x:v>15000</x:v>
      </x:c>
      <x:c r="N1070" s="69" t="str">
        <x:v>15000</x:v>
      </x:c>
      <x:c r="O1070" s="71" t="str">
        <x:v>文件未載明</x:v>
      </x:c>
      <x:c r="P1070" s="71" t="str">
        <x:v>HTML table 1 row 4</x:v>
      </x:c>
      <x:c r="Q1070" s="71" t="str">
        <x:v>3 | 寬 5000 高 3000 | 式 | 1 | | 15000 |</x:v>
      </x:c>
      <x:c r="R1070" s="71" t="str">
        <x:v>各廠商合約&amp; 報價\MD檔案\20260317 全鑫 浪板更換.md</x:v>
      </x:c>
    </x:row>
    <x:row r="1071">
      <x:c r="A1071" s="69" t="str">
        <x:v>ITEM01067</x:v>
      </x:c>
      <x:c r="B1071" s="69" t="str">
        <x:v>SRC067</x:v>
      </x:c>
      <x:c r="C1071" s="69" t="str">
        <x:v>2025-2026</x:v>
      </x:c>
      <x:c r="D1071" s="69" t="str">
        <x:v>detail</x:v>
      </x:c>
      <x:c r="E1071" s="69" t="str">
        <x:v>4</x:v>
      </x:c>
      <x:c r="F1071" s="71" t="str">
        <x:v>4</x:v>
      </x:c>
      <x:c r="G1071" s="71" t="str">
        <x:v>式</x:v>
      </x:c>
      <x:c r="H1071" s="71" t="str">
        <x:v>文件未載明</x:v>
      </x:c>
      <x:c r="I1071" s="72" t="n">
        <x:v>1</x:v>
      </x:c>
      <x:c r="J1071" s="69" t="str">
        <x:v>1</x:v>
      </x:c>
      <x:c r="K1071" s="70"/>
      <x:c r="L1071" s="69" t="str">
        <x:v>文件未載明</x:v>
      </x:c>
      <x:c r="M1071" s="70" t="n">
        <x:v>3000</x:v>
      </x:c>
      <x:c r="N1071" s="69" t="str">
        <x:v>3000</x:v>
      </x:c>
      <x:c r="O1071" s="71" t="str">
        <x:v>文件未載明</x:v>
      </x:c>
      <x:c r="P1071" s="71" t="str">
        <x:v>HTML table 1 row 5</x:v>
      </x:c>
      <x:c r="Q1071" s="71" t="str">
        <x:v>4 | 台度 5000*1 | 式 | 1 | | 3000 |</x:v>
      </x:c>
      <x:c r="R1071" s="71" t="str">
        <x:v>各廠商合約&amp; 報價\MD檔案\20260317 全鑫 浪板更換.md</x:v>
      </x:c>
    </x:row>
    <x:row r="1072">
      <x:c r="A1072" s="69" t="str">
        <x:v>ITEM01068</x:v>
      </x:c>
      <x:c r="B1072" s="69" t="str">
        <x:v>SRC067</x:v>
      </x:c>
      <x:c r="C1072" s="69" t="str">
        <x:v>2025-2026</x:v>
      </x:c>
      <x:c r="D1072" s="69" t="str">
        <x:v>detail</x:v>
      </x:c>
      <x:c r="E1072" s="69" t="str">
        <x:v>5</x:v>
      </x:c>
      <x:c r="F1072" s="71" t="str">
        <x:v>5</x:v>
      </x:c>
      <x:c r="G1072" s="71" t="str">
        <x:v>式</x:v>
      </x:c>
      <x:c r="H1072" s="71" t="str">
        <x:v>文件未載明</x:v>
      </x:c>
      <x:c r="I1072" s="72" t="n">
        <x:v>1</x:v>
      </x:c>
      <x:c r="J1072" s="69" t="str">
        <x:v>1</x:v>
      </x:c>
      <x:c r="K1072" s="70"/>
      <x:c r="L1072" s="69" t="str">
        <x:v>文件未載明</x:v>
      </x:c>
      <x:c r="M1072" s="70" t="n">
        <x:v>1500</x:v>
      </x:c>
      <x:c r="N1072" s="69" t="str">
        <x:v>1500</x:v>
      </x:c>
      <x:c r="O1072" s="71" t="str">
        <x:v>文件未載明</x:v>
      </x:c>
      <x:c r="P1072" s="71" t="str">
        <x:v>HTML table 1 row 6</x:v>
      </x:c>
      <x:c r="Q1072" s="71" t="str">
        <x:v>5 | 轉包角 1800*1 | 式 | 1 | | 1500 |</x:v>
      </x:c>
      <x:c r="R1072" s="71" t="str">
        <x:v>各廠商合約&amp; 報價\MD檔案\20260317 全鑫 浪板更換.md</x:v>
      </x:c>
    </x:row>
    <x:row r="1073">
      <x:c r="A1073" s="69" t="str">
        <x:v>ITEM01069</x:v>
      </x:c>
      <x:c r="B1073" s="69" t="str">
        <x:v>SRC067</x:v>
      </x:c>
      <x:c r="C1073" s="69" t="str">
        <x:v>2025-2026</x:v>
      </x:c>
      <x:c r="D1073" s="69" t="str">
        <x:v>detail</x:v>
      </x:c>
      <x:c r="E1073" s="69" t="str">
        <x:v>6</x:v>
      </x:c>
      <x:c r="F1073" s="71" t="str">
        <x:v>6</x:v>
      </x:c>
      <x:c r="G1073" s="71" t="str">
        <x:v>文件未載明</x:v>
      </x:c>
      <x:c r="H1073" s="71" t="str">
        <x:v>文件未載明</x:v>
      </x:c>
      <x:c r="I1073" s="72"/>
      <x:c r="J1073" s="69" t="str">
        <x:v>文件未載明</x:v>
      </x:c>
      <x:c r="K1073" s="70"/>
      <x:c r="L1073" s="69" t="str">
        <x:v>文件未載明</x:v>
      </x:c>
      <x:c r="M1073" s="70"/>
      <x:c r="N1073" s="69" t="str">
        <x:v>文件未載明</x:v>
      </x:c>
      <x:c r="O1073" s="71" t="str">
        <x:v>文件未載明</x:v>
      </x:c>
      <x:c r="P1073" s="71" t="str">
        <x:v>HTML table 1 row 7</x:v>
      </x:c>
      <x:c r="Q1073" s="71" t="str">
        <x:v>6 | | | | | |</x:v>
      </x:c>
      <x:c r="R1073" s="71" t="str">
        <x:v>各廠商合約&amp; 報價\MD檔案\20260317 全鑫 浪板更換.md</x:v>
      </x:c>
    </x:row>
    <x:row r="1074">
      <x:c r="A1074" s="69" t="str">
        <x:v>ITEM01070</x:v>
      </x:c>
      <x:c r="B1074" s="69" t="str">
        <x:v>SRC067</x:v>
      </x:c>
      <x:c r="C1074" s="69" t="str">
        <x:v>2025-2026</x:v>
      </x:c>
      <x:c r="D1074" s="69" t="str">
        <x:v>detail</x:v>
      </x:c>
      <x:c r="E1074" s="69" t="str">
        <x:v>7</x:v>
      </x:c>
      <x:c r="F1074" s="71" t="str">
        <x:v>7</x:v>
      </x:c>
      <x:c r="G1074" s="71" t="str">
        <x:v>文件未載明</x:v>
      </x:c>
      <x:c r="H1074" s="71" t="str">
        <x:v>文件未載明</x:v>
      </x:c>
      <x:c r="I1074" s="72"/>
      <x:c r="J1074" s="69" t="str">
        <x:v>文件未載明</x:v>
      </x:c>
      <x:c r="K1074" s="70"/>
      <x:c r="L1074" s="69" t="str">
        <x:v>文件未載明</x:v>
      </x:c>
      <x:c r="M1074" s="70"/>
      <x:c r="N1074" s="69" t="str">
        <x:v>文件未載明</x:v>
      </x:c>
      <x:c r="O1074" s="71" t="str">
        <x:v>文件未載明</x:v>
      </x:c>
      <x:c r="P1074" s="71" t="str">
        <x:v>HTML table 1 row 8</x:v>
      </x:c>
      <x:c r="Q1074" s="71" t="str">
        <x:v>7 | | | | | |</x:v>
      </x:c>
      <x:c r="R1074" s="71" t="str">
        <x:v>各廠商合約&amp; 報價\MD檔案\20260317 全鑫 浪板更換.md</x:v>
      </x:c>
    </x:row>
    <x:row r="1075">
      <x:c r="A1075" s="69" t="str">
        <x:v>ITEM01071</x:v>
      </x:c>
      <x:c r="B1075" s="69" t="str">
        <x:v>SRC067</x:v>
      </x:c>
      <x:c r="C1075" s="69" t="str">
        <x:v>2025-2026</x:v>
      </x:c>
      <x:c r="D1075" s="69" t="str">
        <x:v>summary</x:v>
      </x:c>
      <x:c r="E1075" s="69" t="str">
        <x:v>8</x:v>
      </x:c>
      <x:c r="F1075" s="71" t="str">
        <x:v>8</x:v>
      </x:c>
      <x:c r="G1075" s="71" t="str">
        <x:v>文件未載明</x:v>
      </x:c>
      <x:c r="H1075" s="71" t="str">
        <x:v>文件未載明</x:v>
      </x:c>
      <x:c r="I1075" s="72"/>
      <x:c r="J1075" s="69" t="str">
        <x:v>文件未載明</x:v>
      </x:c>
      <x:c r="K1075" s="70"/>
      <x:c r="L1075" s="69" t="str">
        <x:v>文件未載明</x:v>
      </x:c>
      <x:c r="M1075" s="70"/>
      <x:c r="N1075" s="69" t="str">
        <x:v>文件未載明</x:v>
      </x:c>
      <x:c r="O1075" s="71" t="str">
        <x:v>文件未載明</x:v>
      </x:c>
      <x:c r="P1075" s="71" t="str">
        <x:v>HTML table 1 row 9</x:v>
      </x:c>
      <x:c r="Q1075" s="71" t="str">
        <x:v>8 | 合計$41500 末稅 | | | | |</x:v>
      </x:c>
      <x:c r="R1075" s="71" t="str">
        <x:v>各廠商合約&amp; 報價\MD檔案\20260317 全鑫 浪板更換.md</x:v>
      </x:c>
    </x:row>
    <x:row r="1076">
      <x:c r="A1076" s="69" t="str">
        <x:v>ITEM01072</x:v>
      </x:c>
      <x:c r="B1076" s="69" t="str">
        <x:v>SRC067</x:v>
      </x:c>
      <x:c r="C1076" s="69" t="str">
        <x:v>2025-2026</x:v>
      </x:c>
      <x:c r="D1076" s="69" t="str">
        <x:v>detail</x:v>
      </x:c>
      <x:c r="E1076" s="69" t="str">
        <x:v>9</x:v>
      </x:c>
      <x:c r="F1076" s="71" t="str">
        <x:v>9</x:v>
      </x:c>
      <x:c r="G1076" s="71" t="str">
        <x:v>文件未載明</x:v>
      </x:c>
      <x:c r="H1076" s="71" t="str">
        <x:v>文件未載明</x:v>
      </x:c>
      <x:c r="I1076" s="72"/>
      <x:c r="J1076" s="69" t="str">
        <x:v>文件未載明</x:v>
      </x:c>
      <x:c r="K1076" s="70"/>
      <x:c r="L1076" s="69" t="str">
        <x:v>文件未載明</x:v>
      </x:c>
      <x:c r="M1076" s="70"/>
      <x:c r="N1076" s="69" t="str">
        <x:v>文件未載明</x:v>
      </x:c>
      <x:c r="O1076" s="71" t="str">
        <x:v>文件未載明</x:v>
      </x:c>
      <x:c r="P1076" s="71" t="str">
        <x:v>HTML table 1 row 10</x:v>
      </x:c>
      <x:c r="Q1076" s="71" t="str">
        <x:v>9 | 議價$35000 末稅 | | | | |</x:v>
      </x:c>
      <x:c r="R1076" s="71" t="str">
        <x:v>各廠商合約&amp; 報價\MD檔案\20260317 全鑫 浪板更換.md</x:v>
      </x:c>
    </x:row>
    <x:row r="1077">
      <x:c r="A1077" s="69" t="str">
        <x:v>ITEM01073</x:v>
      </x:c>
      <x:c r="B1077" s="69" t="str">
        <x:v>SRC067</x:v>
      </x:c>
      <x:c r="C1077" s="69" t="str">
        <x:v>2025-2026</x:v>
      </x:c>
      <x:c r="D1077" s="69" t="str">
        <x:v>detail</x:v>
      </x:c>
      <x:c r="E1077" s="69" t="str">
        <x:v>10</x:v>
      </x:c>
      <x:c r="F1077" s="71" t="str">
        <x:v>10</x:v>
      </x:c>
      <x:c r="G1077" s="71" t="str">
        <x:v>文件未載明</x:v>
      </x:c>
      <x:c r="H1077" s="71" t="str">
        <x:v>文件未載明</x:v>
      </x:c>
      <x:c r="I1077" s="72"/>
      <x:c r="J1077" s="69" t="str">
        <x:v>文件未載明</x:v>
      </x:c>
      <x:c r="K1077" s="70"/>
      <x:c r="L1077" s="69" t="str">
        <x:v>文件未載明</x:v>
      </x:c>
      <x:c r="M1077" s="70"/>
      <x:c r="N1077" s="69" t="str">
        <x:v>文件未載明</x:v>
      </x:c>
      <x:c r="O1077" s="71" t="str">
        <x:v>文件未載明</x:v>
      </x:c>
      <x:c r="P1077" s="71" t="str">
        <x:v>HTML table 1 row 11</x:v>
      </x:c>
      <x:c r="Q1077" s="71" t="str">
        <x:v>10 | | | | | |</x:v>
      </x:c>
      <x:c r="R1077" s="71" t="str">
        <x:v>各廠商合約&amp; 報價\MD檔案\20260317 全鑫 浪板更換.md</x:v>
      </x:c>
    </x:row>
    <x:row r="1078">
      <x:c r="A1078" s="69" t="str">
        <x:v>ITEM01074</x:v>
      </x:c>
      <x:c r="B1078" s="69" t="str">
        <x:v>SRC067</x:v>
      </x:c>
      <x:c r="C1078" s="69" t="str">
        <x:v>2025-2026</x:v>
      </x:c>
      <x:c r="D1078" s="69" t="str">
        <x:v>detail</x:v>
      </x:c>
      <x:c r="E1078" s="69" t="str">
        <x:v>11</x:v>
      </x:c>
      <x:c r="F1078" s="71" t="str">
        <x:v>11</x:v>
      </x:c>
      <x:c r="G1078" s="71" t="str">
        <x:v>文件未載明</x:v>
      </x:c>
      <x:c r="H1078" s="71" t="str">
        <x:v>文件未載明</x:v>
      </x:c>
      <x:c r="I1078" s="72"/>
      <x:c r="J1078" s="69" t="str">
        <x:v>文件未載明</x:v>
      </x:c>
      <x:c r="K1078" s="70"/>
      <x:c r="L1078" s="69" t="str">
        <x:v>文件未載明</x:v>
      </x:c>
      <x:c r="M1078" s="70"/>
      <x:c r="N1078" s="69" t="str">
        <x:v>文件未載明</x:v>
      </x:c>
      <x:c r="O1078" s="71" t="str">
        <x:v>文件未載明</x:v>
      </x:c>
      <x:c r="P1078" s="71" t="str">
        <x:v>HTML table 1 row 12</x:v>
      </x:c>
      <x:c r="Q1078" s="71" t="str">
        <x:v>11 | | | | | |</x:v>
      </x:c>
      <x:c r="R1078" s="71" t="str">
        <x:v>各廠商合約&amp; 報價\MD檔案\20260317 全鑫 浪板更換.md</x:v>
      </x:c>
    </x:row>
    <x:row r="1079">
      <x:c r="A1079" s="69" t="str">
        <x:v>ITEM01075</x:v>
      </x:c>
      <x:c r="B1079" s="69" t="str">
        <x:v>SRC067</x:v>
      </x:c>
      <x:c r="C1079" s="69" t="str">
        <x:v>2025-2026</x:v>
      </x:c>
      <x:c r="D1079" s="69" t="str">
        <x:v>detail</x:v>
      </x:c>
      <x:c r="E1079" s="69" t="str">
        <x:v>12</x:v>
      </x:c>
      <x:c r="F1079" s="71" t="str">
        <x:v>12</x:v>
      </x:c>
      <x:c r="G1079" s="71" t="str">
        <x:v>文件未載明</x:v>
      </x:c>
      <x:c r="H1079" s="71" t="str">
        <x:v>文件未載明</x:v>
      </x:c>
      <x:c r="I1079" s="72"/>
      <x:c r="J1079" s="69" t="str">
        <x:v>文件未載明</x:v>
      </x:c>
      <x:c r="K1079" s="70"/>
      <x:c r="L1079" s="69" t="str">
        <x:v>文件未載明</x:v>
      </x:c>
      <x:c r="M1079" s="70"/>
      <x:c r="N1079" s="69" t="str">
        <x:v>文件未載明</x:v>
      </x:c>
      <x:c r="O1079" s="71" t="str">
        <x:v>文件未載明</x:v>
      </x:c>
      <x:c r="P1079" s="71" t="str">
        <x:v>HTML table 1 row 13</x:v>
      </x:c>
      <x:c r="Q1079" s="71" t="str">
        <x:v>12 | | | | | |</x:v>
      </x:c>
      <x:c r="R1079" s="71" t="str">
        <x:v>各廠商合約&amp; 報價\MD檔案\20260317 全鑫 浪板更換.md</x:v>
      </x:c>
    </x:row>
    <x:row r="1080">
      <x:c r="A1080" s="69" t="str">
        <x:v>ITEM01076</x:v>
      </x:c>
      <x:c r="B1080" s="69" t="str">
        <x:v>SRC067</x:v>
      </x:c>
      <x:c r="C1080" s="69" t="str">
        <x:v>2025-2026</x:v>
      </x:c>
      <x:c r="D1080" s="69" t="str">
        <x:v>detail</x:v>
      </x:c>
      <x:c r="E1080" s="69" t="str">
        <x:v>13</x:v>
      </x:c>
      <x:c r="F1080" s="71" t="str">
        <x:v>13</x:v>
      </x:c>
      <x:c r="G1080" s="71" t="str">
        <x:v>文件未載明</x:v>
      </x:c>
      <x:c r="H1080" s="71" t="str">
        <x:v>文件未載明</x:v>
      </x:c>
      <x:c r="I1080" s="72"/>
      <x:c r="J1080" s="69" t="str">
        <x:v>文件未載明</x:v>
      </x:c>
      <x:c r="K1080" s="70"/>
      <x:c r="L1080" s="69" t="str">
        <x:v>文件未載明</x:v>
      </x:c>
      <x:c r="M1080" s="70"/>
      <x:c r="N1080" s="69" t="str">
        <x:v>文件未載明</x:v>
      </x:c>
      <x:c r="O1080" s="71" t="str">
        <x:v>文件未載明</x:v>
      </x:c>
      <x:c r="P1080" s="71" t="str">
        <x:v>HTML table 1 row 14</x:v>
      </x:c>
      <x:c r="Q1080" s="71" t="str">
        <x:v>13 | | | | | |</x:v>
      </x:c>
      <x:c r="R1080" s="71" t="str">
        <x:v>各廠商合約&amp; 報價\MD檔案\20260317 全鑫 浪板更換.md</x:v>
      </x:c>
    </x:row>
    <x:row r="1081">
      <x:c r="A1081" s="69" t="str">
        <x:v>ITEM01077</x:v>
      </x:c>
      <x:c r="B1081" s="69" t="str">
        <x:v>SRC067</x:v>
      </x:c>
      <x:c r="C1081" s="69" t="str">
        <x:v>2025-2026</x:v>
      </x:c>
      <x:c r="D1081" s="69" t="str">
        <x:v>detail</x:v>
      </x:c>
      <x:c r="E1081" s="69" t="str">
        <x:v>14</x:v>
      </x:c>
      <x:c r="F1081" s="71" t="str">
        <x:v>14</x:v>
      </x:c>
      <x:c r="G1081" s="71" t="str">
        <x:v>文件未載明</x:v>
      </x:c>
      <x:c r="H1081" s="71" t="str">
        <x:v>文件未載明</x:v>
      </x:c>
      <x:c r="I1081" s="72"/>
      <x:c r="J1081" s="69" t="str">
        <x:v>文件未載明</x:v>
      </x:c>
      <x:c r="K1081" s="70"/>
      <x:c r="L1081" s="69" t="str">
        <x:v>文件未載明</x:v>
      </x:c>
      <x:c r="M1081" s="70"/>
      <x:c r="N1081" s="69" t="str">
        <x:v>文件未載明</x:v>
      </x:c>
      <x:c r="O1081" s="71" t="str">
        <x:v>文件未載明</x:v>
      </x:c>
      <x:c r="P1081" s="71" t="str">
        <x:v>HTML table 1 row 15</x:v>
      </x:c>
      <x:c r="Q1081" s="71" t="str">
        <x:v>14 | | | | | |</x:v>
      </x:c>
      <x:c r="R1081" s="71" t="str">
        <x:v>各廠商合約&amp; 報價\MD檔案\20260317 全鑫 浪板更換.md</x:v>
      </x:c>
    </x:row>
    <x:row r="1082">
      <x:c r="A1082" s="69" t="str">
        <x:v>ITEM01078</x:v>
      </x:c>
      <x:c r="B1082" s="69" t="str">
        <x:v>SRC067</x:v>
      </x:c>
      <x:c r="C1082" s="69" t="str">
        <x:v>2025-2026</x:v>
      </x:c>
      <x:c r="D1082" s="69" t="str">
        <x:v>detail</x:v>
      </x:c>
      <x:c r="E1082" s="69" t="str">
        <x:v>15</x:v>
      </x:c>
      <x:c r="F1082" s="71" t="str">
        <x:v>15</x:v>
      </x:c>
      <x:c r="G1082" s="71" t="str">
        <x:v>文件未載明</x:v>
      </x:c>
      <x:c r="H1082" s="71" t="str">
        <x:v>文件未載明</x:v>
      </x:c>
      <x:c r="I1082" s="72"/>
      <x:c r="J1082" s="69" t="str">
        <x:v>文件未載明</x:v>
      </x:c>
      <x:c r="K1082" s="70"/>
      <x:c r="L1082" s="69" t="str">
        <x:v>文件未載明</x:v>
      </x:c>
      <x:c r="M1082" s="70"/>
      <x:c r="N1082" s="69" t="str">
        <x:v>文件未載明</x:v>
      </x:c>
      <x:c r="O1082" s="71" t="str">
        <x:v>文件未載明</x:v>
      </x:c>
      <x:c r="P1082" s="71" t="str">
        <x:v>HTML table 1 row 16</x:v>
      </x:c>
      <x:c r="Q1082" s="71" t="str">
        <x:v>15 | | | | | |</x:v>
      </x:c>
      <x:c r="R1082" s="71" t="str">
        <x:v>各廠商合約&amp; 報價\MD檔案\20260317 全鑫 浪板更換.md</x:v>
      </x:c>
    </x:row>
    <x:row r="1083">
      <x:c r="A1083" s="69" t="str">
        <x:v>ITEM01079</x:v>
      </x:c>
      <x:c r="B1083" s="69" t="str">
        <x:v>SRC067</x:v>
      </x:c>
      <x:c r="C1083" s="69" t="str">
        <x:v>2025-2026</x:v>
      </x:c>
      <x:c r="D1083" s="69" t="str">
        <x:v>detail</x:v>
      </x:c>
      <x:c r="E1083" s="69" t="str">
        <x:v>16</x:v>
      </x:c>
      <x:c r="F1083" s="71" t="str">
        <x:v>16</x:v>
      </x:c>
      <x:c r="G1083" s="71" t="str">
        <x:v>文件未載明</x:v>
      </x:c>
      <x:c r="H1083" s="71" t="str">
        <x:v>文件未載明</x:v>
      </x:c>
      <x:c r="I1083" s="72"/>
      <x:c r="J1083" s="69" t="str">
        <x:v>文件未載明</x:v>
      </x:c>
      <x:c r="K1083" s="70"/>
      <x:c r="L1083" s="69" t="str">
        <x:v>文件未載明</x:v>
      </x:c>
      <x:c r="M1083" s="70"/>
      <x:c r="N1083" s="69" t="str">
        <x:v>文件未載明</x:v>
      </x:c>
      <x:c r="O1083" s="71" t="str">
        <x:v>文件未載明</x:v>
      </x:c>
      <x:c r="P1083" s="71" t="str">
        <x:v>HTML table 1 row 17</x:v>
      </x:c>
      <x:c r="Q1083" s="71" t="str">
        <x:v>16 | | | | | |</x:v>
      </x:c>
      <x:c r="R1083" s="71" t="str">
        <x:v>各廠商合約&amp; 報價\MD檔案\20260317 全鑫 浪板更換.md</x:v>
      </x:c>
    </x:row>
    <x:row r="1084">
      <x:c r="A1084" s="69" t="str">
        <x:v>ITEM01080</x:v>
      </x:c>
      <x:c r="B1084" s="69" t="str">
        <x:v>SRC067</x:v>
      </x:c>
      <x:c r="C1084" s="69" t="str">
        <x:v>2025-2026</x:v>
      </x:c>
      <x:c r="D1084" s="69" t="str">
        <x:v>detail</x:v>
      </x:c>
      <x:c r="E1084" s="69" t="str">
        <x:v>17</x:v>
      </x:c>
      <x:c r="F1084" s="71" t="str">
        <x:v>17</x:v>
      </x:c>
      <x:c r="G1084" s="71" t="str">
        <x:v>文件未載明</x:v>
      </x:c>
      <x:c r="H1084" s="71" t="str">
        <x:v>文件未載明</x:v>
      </x:c>
      <x:c r="I1084" s="72"/>
      <x:c r="J1084" s="69" t="str">
        <x:v>文件未載明</x:v>
      </x:c>
      <x:c r="K1084" s="70"/>
      <x:c r="L1084" s="69" t="str">
        <x:v>文件未載明</x:v>
      </x:c>
      <x:c r="M1084" s="70"/>
      <x:c r="N1084" s="69" t="str">
        <x:v>文件未載明</x:v>
      </x:c>
      <x:c r="O1084" s="71" t="str">
        <x:v>文件未載明</x:v>
      </x:c>
      <x:c r="P1084" s="71" t="str">
        <x:v>HTML table 1 row 18</x:v>
      </x:c>
      <x:c r="Q1084" s="71" t="str">
        <x:v>17 | | | | | |</x:v>
      </x:c>
      <x:c r="R1084" s="71" t="str">
        <x:v>各廠商合約&amp; 報價\MD檔案\20260317 全鑫 浪板更換.md</x:v>
      </x:c>
    </x:row>
    <x:row r="1085">
      <x:c r="A1085" s="69" t="str">
        <x:v>ITEM01081</x:v>
      </x:c>
      <x:c r="B1085" s="69" t="str">
        <x:v>SRC067</x:v>
      </x:c>
      <x:c r="C1085" s="69" t="str">
        <x:v>2025-2026</x:v>
      </x:c>
      <x:c r="D1085" s="69" t="str">
        <x:v>detail</x:v>
      </x:c>
      <x:c r="E1085" s="69" t="str">
        <x:v>18</x:v>
      </x:c>
      <x:c r="F1085" s="71" t="str">
        <x:v>18</x:v>
      </x:c>
      <x:c r="G1085" s="71" t="str">
        <x:v>文件未載明</x:v>
      </x:c>
      <x:c r="H1085" s="71" t="str">
        <x:v>文件未載明</x:v>
      </x:c>
      <x:c r="I1085" s="72"/>
      <x:c r="J1085" s="69" t="str">
        <x:v>文件未載明</x:v>
      </x:c>
      <x:c r="K1085" s="70"/>
      <x:c r="L1085" s="69" t="str">
        <x:v>文件未載明</x:v>
      </x:c>
      <x:c r="M1085" s="70"/>
      <x:c r="N1085" s="69" t="str">
        <x:v>文件未載明</x:v>
      </x:c>
      <x:c r="O1085" s="71" t="str">
        <x:v>文件未載明</x:v>
      </x:c>
      <x:c r="P1085" s="71" t="str">
        <x:v>HTML table 1 row 19</x:v>
      </x:c>
      <x:c r="Q1085" s="71" t="str">
        <x:v>18 | | | | | |</x:v>
      </x:c>
      <x:c r="R1085" s="71" t="str">
        <x:v>各廠商合約&amp; 報價\MD檔案\20260317 全鑫 浪板更換.md</x:v>
      </x:c>
    </x:row>
    <x:row r="1086">
      <x:c r="A1086" s="69" t="str">
        <x:v>ITEM01082</x:v>
      </x:c>
      <x:c r="B1086" s="69" t="str">
        <x:v>SRC067</x:v>
      </x:c>
      <x:c r="C1086" s="69" t="str">
        <x:v>2025-2026</x:v>
      </x:c>
      <x:c r="D1086" s="69" t="str">
        <x:v>detail</x:v>
      </x:c>
      <x:c r="E1086" s="69" t="str">
        <x:v>19</x:v>
      </x:c>
      <x:c r="F1086" s="71" t="str">
        <x:v>19</x:v>
      </x:c>
      <x:c r="G1086" s="71" t="str">
        <x:v>文件未載明</x:v>
      </x:c>
      <x:c r="H1086" s="71" t="str">
        <x:v>文件未載明</x:v>
      </x:c>
      <x:c r="I1086" s="72"/>
      <x:c r="J1086" s="69" t="str">
        <x:v>文件未載明</x:v>
      </x:c>
      <x:c r="K1086" s="70"/>
      <x:c r="L1086" s="69" t="str">
        <x:v>文件未載明</x:v>
      </x:c>
      <x:c r="M1086" s="70"/>
      <x:c r="N1086" s="69" t="str">
        <x:v>文件未載明</x:v>
      </x:c>
      <x:c r="O1086" s="71" t="str">
        <x:v>文件未載明</x:v>
      </x:c>
      <x:c r="P1086" s="71" t="str">
        <x:v>HTML table 1 row 20</x:v>
      </x:c>
      <x:c r="Q1086" s="71" t="str">
        <x:v>19 | | | | | |</x:v>
      </x:c>
      <x:c r="R1086" s="71" t="str">
        <x:v>各廠商合約&amp; 報價\MD檔案\20260317 全鑫 浪板更換.md</x:v>
      </x:c>
    </x:row>
    <x:row r="1087">
      <x:c r="A1087" s="69" t="str">
        <x:v>ITEM01083</x:v>
      </x:c>
      <x:c r="B1087" s="69" t="str">
        <x:v>SRC067</x:v>
      </x:c>
      <x:c r="C1087" s="69" t="str">
        <x:v>2025-2026</x:v>
      </x:c>
      <x:c r="D1087" s="69" t="str">
        <x:v>detail</x:v>
      </x:c>
      <x:c r="E1087" s="69" t="str">
        <x:v>20</x:v>
      </x:c>
      <x:c r="F1087" s="71" t="str">
        <x:v>20</x:v>
      </x:c>
      <x:c r="G1087" s="71" t="str">
        <x:v>文件未載明</x:v>
      </x:c>
      <x:c r="H1087" s="71" t="str">
        <x:v>文件未載明</x:v>
      </x:c>
      <x:c r="I1087" s="72"/>
      <x:c r="J1087" s="69" t="str">
        <x:v>文件未載明</x:v>
      </x:c>
      <x:c r="K1087" s="70"/>
      <x:c r="L1087" s="69" t="str">
        <x:v>文件未載明</x:v>
      </x:c>
      <x:c r="M1087" s="70"/>
      <x:c r="N1087" s="69" t="str">
        <x:v>文件未載明</x:v>
      </x:c>
      <x:c r="O1087" s="71" t="str">
        <x:v>文件未載明</x:v>
      </x:c>
      <x:c r="P1087" s="71" t="str">
        <x:v>HTML table 1 row 21</x:v>
      </x:c>
      <x:c r="Q1087" s="71" t="str">
        <x:v>20 | | | | | |</x:v>
      </x:c>
      <x:c r="R1087" s="71" t="str">
        <x:v>各廠商合約&amp; 報價\MD檔案\20260317 全鑫 浪板更換.md</x:v>
      </x:c>
    </x:row>
    <x:row r="1088">
      <x:c r="A1088" s="69" t="str">
        <x:v>ITEM01084</x:v>
      </x:c>
      <x:c r="B1088" s="69" t="str">
        <x:v>SRC067</x:v>
      </x:c>
      <x:c r="C1088" s="69" t="str">
        <x:v>2025-2026</x:v>
      </x:c>
      <x:c r="D1088" s="69" t="str">
        <x:v>detail</x:v>
      </x:c>
      <x:c r="E1088" s="69" t="str">
        <x:v>總額新台幣 佰 拾 萬 仟 佰 拾 元</x:v>
      </x:c>
      <x:c r="F1088" s="71" t="str">
        <x:v>總額新台幣 佰 拾 萬 仟 佰 拾 元</x:v>
      </x:c>
      <x:c r="G1088" s="71" t="str">
        <x:v>文件未載明</x:v>
      </x:c>
      <x:c r="H1088" s="71" t="str">
        <x:v>文件未載明</x:v>
      </x:c>
      <x:c r="I1088" s="72"/>
      <x:c r="J1088" s="69" t="str">
        <x:v>文件未載明</x:v>
      </x:c>
      <x:c r="K1088" s="70"/>
      <x:c r="L1088" s="69" t="str">
        <x:v>文件未載明</x:v>
      </x:c>
      <x:c r="M1088" s="70"/>
      <x:c r="N1088" s="69" t="str">
        <x:v>文件未載明</x:v>
      </x:c>
      <x:c r="O1088" s="71" t="str">
        <x:v>文件未載明</x:v>
      </x:c>
      <x:c r="P1088" s="71" t="str">
        <x:v>HTML table 1 row 23</x:v>
      </x:c>
      <x:c r="Q1088" s="71" t="str">
        <x:v>總額新台幣 佰 拾 萬 仟 佰 拾 元 | 35000 末稅</x:v>
      </x:c>
      <x:c r="R1088" s="71" t="str">
        <x:v>各廠商合約&amp; 報價\MD檔案\20260317 全鑫 浪板更換.md</x:v>
      </x:c>
    </x:row>
    <x:row r="1089">
      <x:c r="A1089" s="69" t="str">
        <x:v>ITEM01085</x:v>
      </x:c>
      <x:c r="B1089" s="69" t="str">
        <x:v>SRC069</x:v>
      </x:c>
      <x:c r="C1089" s="69" t="str">
        <x:v>2025-2026</x:v>
      </x:c>
      <x:c r="D1089" s="69" t="str">
        <x:v>header</x:v>
      </x:c>
      <x:c r="E1089" s="69" t="str">
        <x:v>項次</x:v>
      </x:c>
      <x:c r="F1089" s="71" t="str">
        <x:v>位置</x:v>
      </x:c>
      <x:c r="G1089" s="71" t="str">
        <x:v>規格</x:v>
      </x:c>
      <x:c r="H1089" s="71" t="str">
        <x:v>文件未載明</x:v>
      </x:c>
      <x:c r="I1089" s="72"/>
      <x:c r="J1089" s="69" t="str">
        <x:v>數量</x:v>
      </x:c>
      <x:c r="K1089" s="70"/>
      <x:c r="L1089" s="69" t="str">
        <x:v>文件未載明</x:v>
      </x:c>
      <x:c r="M1089" s="70"/>
      <x:c r="N1089" s="69" t="str">
        <x:v>單檯小計</x:v>
      </x:c>
      <x:c r="O1089" s="71" t="str">
        <x:v>備註</x:v>
      </x:c>
      <x:c r="P1089" s="71" t="str">
        <x:v>HTML table 1 row 1</x:v>
      </x:c>
      <x:c r="Q1089" s="71" t="str">
        <x:v>項次 | 位置 | 規格 | 色別 | 數量 | 單檯小計 | 複價 | 備註</x:v>
      </x:c>
      <x:c r="R1089" s="71" t="str">
        <x:v>各廠商合約&amp; 報價\MD檔案\20260317 塑豐 瓦斯錶格柵.md</x:v>
      </x:c>
    </x:row>
    <x:row r="1090">
      <x:c r="A1090" s="69" t="str">
        <x:v>ITEM01086</x:v>
      </x:c>
      <x:c r="B1090" s="69" t="str">
        <x:v>SRC069</x:v>
      </x:c>
      <x:c r="C1090" s="69" t="str">
        <x:v>2025-2026</x:v>
      </x:c>
      <x:c r="D1090" s="69" t="str">
        <x:v>detail</x:v>
      </x:c>
      <x:c r="E1090" s="69" t="str">
        <x:v>品名</x:v>
      </x:c>
      <x:c r="F1090" s="71" t="str">
        <x:v>W(cm)</x:v>
      </x:c>
      <x:c r="G1090" s="71" t="str">
        <x:v>H(cm)</x:v>
      </x:c>
      <x:c r="H1090" s="71" t="str">
        <x:v>文件未載明</x:v>
      </x:c>
      <x:c r="I1090" s="72"/>
      <x:c r="J1090" s="69" t="str">
        <x:v>文件未載明</x:v>
      </x:c>
      <x:c r="K1090" s="70"/>
      <x:c r="L1090" s="69" t="str">
        <x:v>文件未載明</x:v>
      </x:c>
      <x:c r="M1090" s="70"/>
      <x:c r="N1090" s="69" t="str">
        <x:v>文件未載明</x:v>
      </x:c>
      <x:c r="O1090" s="71" t="str">
        <x:v>文件未載明</x:v>
      </x:c>
      <x:c r="P1090" s="71" t="str">
        <x:v>HTML table 1 row 2</x:v>
      </x:c>
      <x:c r="Q1090" s="71" t="str">
        <x:v>品名 | W(cm) | H(cm)</x:v>
      </x:c>
      <x:c r="R1090" s="71" t="str">
        <x:v>各廠商合約&amp; 報價\MD檔案\20260317 塑豐 瓦斯錶格柵.md</x:v>
      </x:c>
    </x:row>
    <x:row r="1091">
      <x:c r="A1091" s="69" t="str">
        <x:v>ITEM01087</x:v>
      </x:c>
      <x:c r="B1091" s="69" t="str">
        <x:v>SRC069</x:v>
      </x:c>
      <x:c r="C1091" s="69" t="str">
        <x:v>2025-2026</x:v>
      </x:c>
      <x:c r="D1091" s="69" t="str">
        <x:v>detail</x:v>
      </x:c>
      <x:c r="E1091" s="69" t="str">
        <x:v>1</x:v>
      </x:c>
      <x:c r="F1091" s="71" t="str">
        <x:v>1F瓦斯表</x:v>
      </x:c>
      <x:c r="G1091" s="71" t="str">
        <x:v>鋁格柵</x:v>
      </x:c>
      <x:c r="H1091" s="71" t="str">
        <x:v>文件未載明</x:v>
      </x:c>
      <x:c r="I1091" s="72" t="n">
        <x:v>340</x:v>
      </x:c>
      <x:c r="J1091" s="69" t="str">
        <x:v>340</x:v>
      </x:c>
      <x:c r="K1091" s="70"/>
      <x:c r="L1091" s="69" t="str">
        <x:v>文件未載明</x:v>
      </x:c>
      <x:c r="M1091" s="70" t="n">
        <x:v>49316</x:v>
      </x:c>
      <x:c r="N1091" s="69" t="str">
        <x:v>粉體塗裝#49316 鐵灰色</x:v>
      </x:c>
      <x:c r="O1091" s="71" t="str">
        <x:v>63,180</x:v>
      </x:c>
      <x:c r="P1091" s="71" t="str">
        <x:v>HTML table 1 row 3</x:v>
      </x:c>
      <x:c r="Q1091" s="71" t="str">
        <x:v>1 | 1F瓦斯表 | 鋁格柵 | 340 | 340 | 粉體塗裝#49316 鐵灰色 | 1 | 63,180 | 63,180 | 採5*5背擋+3*6立料·間距8cm</x:v>
      </x:c>
      <x:c r="R1091" s="71" t="str">
        <x:v>各廠商合約&amp; 報價\MD檔案\20260317 塑豐 瓦斯錶格柵.md</x:v>
      </x:c>
    </x:row>
    <x:row r="1092">
      <x:c r="A1092" s="69" t="str">
        <x:v>ITEM01088</x:v>
      </x:c>
      <x:c r="B1092" s="69" t="str">
        <x:v>SRC069</x:v>
      </x:c>
      <x:c r="C1092" s="69" t="str">
        <x:v>2025-2026</x:v>
      </x:c>
      <x:c r="D1092" s="69" t="str">
        <x:v>detail</x:v>
      </x:c>
      <x:c r="E1092" s="69" t="str">
        <x:v>文件未載明</x:v>
      </x:c>
      <x:c r="F1092" s="71" t="str">
        <x:v>以下空白</x:v>
      </x:c>
      <x:c r="G1092" s="71" t="str">
        <x:v>以下空白</x:v>
      </x:c>
      <x:c r="H1092" s="71" t="str">
        <x:v>文件未載明</x:v>
      </x:c>
      <x:c r="I1092" s="72"/>
      <x:c r="J1092" s="69" t="str">
        <x:v>文件未載明</x:v>
      </x:c>
      <x:c r="K1092" s="70"/>
      <x:c r="L1092" s="69" t="str">
        <x:v>文件未載明</x:v>
      </x:c>
      <x:c r="M1092" s="70"/>
      <x:c r="N1092" s="69" t="str">
        <x:v>文件未載明</x:v>
      </x:c>
      <x:c r="O1092" s="71" t="str">
        <x:v>-</x:v>
      </x:c>
      <x:c r="P1092" s="71" t="str">
        <x:v>HTML table 1 row 4</x:v>
      </x:c>
      <x:c r="Q1092" s="71" t="str">
        <x:v>| | 以下空白 | | | | | - | - |</x:v>
      </x:c>
      <x:c r="R1092" s="71" t="str">
        <x:v>各廠商合約&amp; 報價\MD檔案\20260317 塑豐 瓦斯錶格柵.md</x:v>
      </x:c>
    </x:row>
    <x:row r="1093">
      <x:c r="A1093" s="69" t="str">
        <x:v>ITEM01089</x:v>
      </x:c>
      <x:c r="B1093" s="69" t="str">
        <x:v>SRC069</x:v>
      </x:c>
      <x:c r="C1093" s="69" t="str">
        <x:v>2025-2026</x:v>
      </x:c>
      <x:c r="D1093" s="69" t="str">
        <x:v>summary</x:v>
      </x:c>
      <x:c r="E1093" s="69" t="str">
        <x:v>小計</x:v>
      </x:c>
      <x:c r="F1093" s="71" t="str">
        <x:v>文件未載明</x:v>
      </x:c>
      <x:c r="G1093" s="71" t="str">
        <x:v>1</x:v>
      </x:c>
      <x:c r="H1093" s="71" t="str">
        <x:v>文件未載明</x:v>
      </x:c>
      <x:c r="I1093" s="72" t="n">
        <x:v>63180</x:v>
      </x:c>
      <x:c r="J1093" s="69" t="str">
        <x:v>63,180</x:v>
      </x:c>
      <x:c r="K1093" s="70"/>
      <x:c r="L1093" s="69" t="str">
        <x:v>文件未載明</x:v>
      </x:c>
      <x:c r="M1093" s="70"/>
      <x:c r="N1093" s="69" t="str">
        <x:v>文件未載明</x:v>
      </x:c>
      <x:c r="O1093" s="71" t="str">
        <x:v>文件未載明</x:v>
      </x:c>
      <x:c r="P1093" s="71" t="str">
        <x:v>HTML table 1 row 5</x:v>
      </x:c>
      <x:c r="Q1093" s="71" t="str">
        <x:v>小計 | | 1 | | 63,180 |</x:v>
      </x:c>
      <x:c r="R1093" s="71" t="str">
        <x:v>各廠商合約&amp; 報價\MD檔案\20260317 塑豐 瓦斯錶格柵.md</x:v>
      </x:c>
    </x:row>
    <x:row r="1094">
      <x:c r="A1094" s="69" t="str">
        <x:v>ITEM01090</x:v>
      </x:c>
      <x:c r="B1094" s="69" t="str">
        <x:v>SRC070</x:v>
      </x:c>
      <x:c r="C1094" s="69" t="str">
        <x:v>2025-2026</x:v>
      </x:c>
      <x:c r="D1094" s="69" t="str">
        <x:v>detail</x:v>
      </x:c>
      <x:c r="E1094" s="69" t="str">
        <x:v>文件未載明</x:v>
      </x:c>
      <x:c r="F1094" s="71" t="str">
        <x:v>客戶名稱</x:v>
      </x:c>
      <x:c r="G1094" s="71" t="str">
        <x:v>文件未載明</x:v>
      </x:c>
      <x:c r="H1094" s="71" t="str">
        <x:v>文件未載明</x:v>
      </x:c>
      <x:c r="I1094" s="72"/>
      <x:c r="J1094" s="69" t="str">
        <x:v>文件未載明</x:v>
      </x:c>
      <x:c r="K1094" s="70"/>
      <x:c r="L1094" s="69" t="str">
        <x:v>文件未載明</x:v>
      </x:c>
      <x:c r="M1094" s="70"/>
      <x:c r="N1094" s="69" t="str">
        <x:v>文件未載明</x:v>
      </x:c>
      <x:c r="O1094" s="71" t="str">
        <x:v>文件未載明</x:v>
      </x:c>
      <x:c r="P1094" s="71" t="str">
        <x:v>HTML table 1 row 1</x:v>
      </x:c>
      <x:c r="Q1094" s="71" t="str">
        <x:v>客戶名稱</x:v>
      </x:c>
      <x:c r="R1094" s="71" t="str">
        <x:v>各廠商合約&amp; 報價\MD檔案\20260319 太子種苗 狼尾草.md</x:v>
      </x:c>
    </x:row>
    <x:row r="1095">
      <x:c r="A1095" s="69" t="str">
        <x:v>ITEM01091</x:v>
      </x:c>
      <x:c r="B1095" s="69" t="str">
        <x:v>SRC070</x:v>
      </x:c>
      <x:c r="C1095" s="69" t="str">
        <x:v>2025-2026</x:v>
      </x:c>
      <x:c r="D1095" s="69" t="str">
        <x:v>detail</x:v>
      </x:c>
      <x:c r="E1095" s="69" t="str">
        <x:v>文件未載明</x:v>
      </x:c>
      <x:c r="F1095" s="71" t="str">
        <x:v>公司:</x:v>
      </x:c>
      <x:c r="G1095" s="71" t="str">
        <x:v>文件未載明</x:v>
      </x:c>
      <x:c r="H1095" s="71" t="str">
        <x:v>文件未載明</x:v>
      </x:c>
      <x:c r="I1095" s="72" t="n">
        <x:v>90057101</x:v>
      </x:c>
      <x:c r="J1095" s="69" t="str">
        <x:v>90057101</x:v>
      </x:c>
      <x:c r="K1095" s="70"/>
      <x:c r="L1095" s="69" t="str">
        <x:v>文件未載明</x:v>
      </x:c>
      <x:c r="M1095" s="70"/>
      <x:c r="N1095" s="69" t="str">
        <x:v>施工地點</x:v>
      </x:c>
      <x:c r="O1095" s="71" t="str">
        <x:v>文件未載明</x:v>
      </x:c>
      <x:c r="P1095" s="71" t="str">
        <x:v>HTML table 1 row 2</x:v>
      </x:c>
      <x:c r="Q1095" s="71" t="str">
        <x:v>公司: | 向上建設股份有限公司 | 統編: | 90057101 | | 施工地點 |</x:v>
      </x:c>
      <x:c r="R1095" s="71" t="str">
        <x:v>各廠商合約&amp; 報價\MD檔案\20260319 太子種苗 狼尾草.md</x:v>
      </x:c>
    </x:row>
    <x:row r="1096">
      <x:c r="A1096" s="69" t="str">
        <x:v>ITEM01092</x:v>
      </x:c>
      <x:c r="B1096" s="69" t="str">
        <x:v>SRC070</x:v>
      </x:c>
      <x:c r="C1096" s="69" t="str">
        <x:v>2025-2026</x:v>
      </x:c>
      <x:c r="D1096" s="69" t="str">
        <x:v>detail</x:v>
      </x:c>
      <x:c r="E1096" s="69" t="str">
        <x:v>文件未載明</x:v>
      </x:c>
      <x:c r="F1096" s="71" t="str">
        <x:v>聯絡人:</x:v>
      </x:c>
      <x:c r="G1096" s="71" t="str">
        <x:v>文件未載明</x:v>
      </x:c>
      <x:c r="H1096" s="71" t="str">
        <x:v>文件未載明</x:v>
      </x:c>
      <x:c r="I1096" s="72"/>
      <x:c r="J1096" s="69" t="str">
        <x:v>文件未載明</x:v>
      </x:c>
      <x:c r="K1096" s="70"/>
      <x:c r="L1096" s="69" t="str">
        <x:v>文件未載明</x:v>
      </x:c>
      <x:c r="M1096" s="70"/>
      <x:c r="N1096" s="69" t="str">
        <x:v>苗栗高鐵</x:v>
      </x:c>
      <x:c r="O1096" s="71" t="str">
        <x:v>文件未載明</x:v>
      </x:c>
      <x:c r="P1096" s="71" t="str">
        <x:v>HTML table 1 row 3</x:v>
      </x:c>
      <x:c r="Q1096" s="71" t="str">
        <x:v>聯絡人: | 蘇特助 | | | | 苗栗高鐵 |</x:v>
      </x:c>
      <x:c r="R1096" s="71" t="str">
        <x:v>各廠商合約&amp; 報價\MD檔案\20260319 太子種苗 狼尾草.md</x:v>
      </x:c>
    </x:row>
    <x:row r="1097">
      <x:c r="A1097" s="69" t="str">
        <x:v>ITEM01093</x:v>
      </x:c>
      <x:c r="B1097" s="69" t="str">
        <x:v>SRC070</x:v>
      </x:c>
      <x:c r="C1097" s="69" t="str">
        <x:v>2025-2026</x:v>
      </x:c>
      <x:c r="D1097" s="69" t="str">
        <x:v>detail</x:v>
      </x:c>
      <x:c r="E1097" s="69" t="str">
        <x:v>文件未載明</x:v>
      </x:c>
      <x:c r="F1097" s="71" t="str">
        <x:v>電話:</x:v>
      </x:c>
      <x:c r="G1097" s="71" t="str">
        <x:v>文件未載明</x:v>
      </x:c>
      <x:c r="H1097" s="71" t="str">
        <x:v>文件未載明</x:v>
      </x:c>
      <x:c r="I1097" s="72"/>
      <x:c r="J1097" s="69" t="str">
        <x:v>文件未載明</x:v>
      </x:c>
      <x:c r="K1097" s="70"/>
      <x:c r="L1097" s="69" t="str">
        <x:v>文件未載明</x:v>
      </x:c>
      <x:c r="M1097" s="70"/>
      <x:c r="N1097" s="69" t="str">
        <x:v>文件未載明</x:v>
      </x:c>
      <x:c r="O1097" s="71" t="str">
        <x:v>文件未載明</x:v>
      </x:c>
      <x:c r="P1097" s="71" t="str">
        <x:v>HTML table 1 row 4</x:v>
      </x:c>
      <x:c r="Q1097" s="71" t="str">
        <x:v>電話: | 0975210336 | | | | |</x:v>
      </x:c>
      <x:c r="R1097" s="71" t="str">
        <x:v>各廠商合約&amp; 報價\MD檔案\20260319 太子種苗 狼尾草.md</x:v>
      </x:c>
    </x:row>
    <x:row r="1098">
      <x:c r="A1098" s="69" t="str">
        <x:v>ITEM01094</x:v>
      </x:c>
      <x:c r="B1098" s="69" t="str">
        <x:v>SRC070</x:v>
      </x:c>
      <x:c r="C1098" s="69" t="str">
        <x:v>2025-2026</x:v>
      </x:c>
      <x:c r="D1098" s="69" t="str">
        <x:v>detail</x:v>
      </x:c>
      <x:c r="E1098" s="69" t="str">
        <x:v>文件未載明</x:v>
      </x:c>
      <x:c r="F1098" s="71" t="str">
        <x:v>敘述</x:v>
      </x:c>
      <x:c r="G1098" s="71" t="str">
        <x:v>文件未載明</x:v>
      </x:c>
      <x:c r="H1098" s="71" t="str">
        <x:v>文件未載明</x:v>
      </x:c>
      <x:c r="I1098" s="72"/>
      <x:c r="J1098" s="69" t="str">
        <x:v>文件未載明</x:v>
      </x:c>
      <x:c r="K1098" s="70"/>
      <x:c r="L1098" s="69" t="str">
        <x:v>文件未載明</x:v>
      </x:c>
      <x:c r="M1098" s="70"/>
      <x:c r="N1098" s="69" t="str">
        <x:v>文件未載明</x:v>
      </x:c>
      <x:c r="O1098" s="71" t="str">
        <x:v>文件未載明</x:v>
      </x:c>
      <x:c r="P1098" s="71" t="str">
        <x:v>HTML table 1 row 5</x:v>
      </x:c>
      <x:c r="Q1098" s="71" t="str">
        <x:v>敘述</x:v>
      </x:c>
      <x:c r="R1098" s="71" t="str">
        <x:v>各廠商合約&amp; 報價\MD檔案\20260319 太子種苗 狼尾草.md</x:v>
      </x:c>
    </x:row>
    <x:row r="1099">
      <x:c r="A1099" s="69" t="str">
        <x:v>ITEM01095</x:v>
      </x:c>
      <x:c r="B1099" s="69" t="str">
        <x:v>SRC070</x:v>
      </x:c>
      <x:c r="C1099" s="69" t="str">
        <x:v>2025-2026</x:v>
      </x:c>
      <x:c r="D1099" s="69" t="str">
        <x:v>detail</x:v>
      </x:c>
      <x:c r="E1099" s="69" t="str">
        <x:v>1</x:v>
      </x:c>
      <x:c r="F1099" s="71" t="str">
        <x:v>改良型花土</x:v>
      </x:c>
      <x:c r="G1099" s="71" t="str">
        <x:v>文件未載明</x:v>
      </x:c>
      <x:c r="H1099" s="71" t="str">
        <x:v>文件未載明</x:v>
      </x:c>
      <x:c r="I1099" s="72"/>
      <x:c r="J1099" s="69" t="str">
        <x:v>米</x:v>
      </x:c>
      <x:c r="K1099" s="70" t="n">
        <x:v>5</x:v>
      </x:c>
      <x:c r="L1099" s="69" t="str">
        <x:v>5</x:v>
      </x:c>
      <x:c r="M1099" s="70" t="n">
        <x:v>1600</x:v>
      </x:c>
      <x:c r="N1099" s="69" t="str">
        <x:v>1600</x:v>
      </x:c>
      <x:c r="O1099" s="71" t="str">
        <x:v>文件未載明</x:v>
      </x:c>
      <x:c r="P1099" s="71" t="str">
        <x:v>HTML table 1 row 6</x:v>
      </x:c>
      <x:c r="Q1099" s="71" t="str">
        <x:v>1 | 改良型花土 | | 米 | 5 | 1600 | 8000</x:v>
      </x:c>
      <x:c r="R1099" s="71" t="str">
        <x:v>各廠商合約&amp; 報價\MD檔案\20260319 太子種苗 狼尾草.md</x:v>
      </x:c>
    </x:row>
    <x:row r="1100">
      <x:c r="A1100" s="69" t="str">
        <x:v>ITEM01096</x:v>
      </x:c>
      <x:c r="B1100" s="69" t="str">
        <x:v>SRC070</x:v>
      </x:c>
      <x:c r="C1100" s="69" t="str">
        <x:v>2025-2026</x:v>
      </x:c>
      <x:c r="D1100" s="69" t="str">
        <x:v>detail</x:v>
      </x:c>
      <x:c r="E1100" s="69" t="str">
        <x:v>2</x:v>
      </x:c>
      <x:c r="F1100" s="71" t="str">
        <x:v>紅狼草</x:v>
      </x:c>
      <x:c r="G1100" s="71" t="str">
        <x:v>文件未載明</x:v>
      </x:c>
      <x:c r="H1100" s="71" t="str">
        <x:v>文件未載明</x:v>
      </x:c>
      <x:c r="I1100" s="72" t="n">
        <x:v>5</x:v>
      </x:c>
      <x:c r="J1100" s="69" t="str">
        <x:v>5寸</x:v>
      </x:c>
      <x:c r="K1100" s="70" t="n">
        <x:v>30</x:v>
      </x:c>
      <x:c r="L1100" s="69" t="str">
        <x:v>30</x:v>
      </x:c>
      <x:c r="M1100" s="70" t="n">
        <x:v>200</x:v>
      </x:c>
      <x:c r="N1100" s="69" t="str">
        <x:v>200</x:v>
      </x:c>
      <x:c r="O1100" s="71" t="str">
        <x:v>文件未載明</x:v>
      </x:c>
      <x:c r="P1100" s="71" t="str">
        <x:v>HTML table 1 row 7</x:v>
      </x:c>
      <x:c r="Q1100" s="71" t="str">
        <x:v>2 | 紅狼草 | | 5寸 | 30 | 200 | 6000</x:v>
      </x:c>
      <x:c r="R1100" s="71" t="str">
        <x:v>各廠商合約&amp; 報價\MD檔案\20260319 太子種苗 狼尾草.md</x:v>
      </x:c>
    </x:row>
    <x:row r="1101">
      <x:c r="A1101" s="69" t="str">
        <x:v>ITEM01097</x:v>
      </x:c>
      <x:c r="B1101" s="69" t="str">
        <x:v>SRC070</x:v>
      </x:c>
      <x:c r="C1101" s="69" t="str">
        <x:v>2025-2026</x:v>
      </x:c>
      <x:c r="D1101" s="69" t="str">
        <x:v>detail</x:v>
      </x:c>
      <x:c r="E1101" s="69" t="str">
        <x:v>3</x:v>
      </x:c>
      <x:c r="F1101" s="71" t="str">
        <x:v>工資</x:v>
      </x:c>
      <x:c r="G1101" s="71" t="str">
        <x:v>文件未載明</x:v>
      </x:c>
      <x:c r="H1101" s="71" t="str">
        <x:v>文件未載明</x:v>
      </x:c>
      <x:c r="I1101" s="72"/>
      <x:c r="J1101" s="69" t="str">
        <x:v>式</x:v>
      </x:c>
      <x:c r="K1101" s="70" t="n">
        <x:v>1</x:v>
      </x:c>
      <x:c r="L1101" s="69" t="str">
        <x:v>1</x:v>
      </x:c>
      <x:c r="M1101" s="70" t="n">
        <x:v>15000</x:v>
      </x:c>
      <x:c r="N1101" s="69" t="str">
        <x:v>15000</x:v>
      </x:c>
      <x:c r="O1101" s="71" t="str">
        <x:v>文件未載明</x:v>
      </x:c>
      <x:c r="P1101" s="71" t="str">
        <x:v>HTML table 1 row 8</x:v>
      </x:c>
      <x:c r="Q1101" s="71" t="str">
        <x:v>3 | 工資 | | 式 | 1 | 15000 | 15000</x:v>
      </x:c>
      <x:c r="R1101" s="71" t="str">
        <x:v>各廠商合約&amp; 報價\MD檔案\20260319 太子種苗 狼尾草.md</x:v>
      </x:c>
    </x:row>
    <x:row r="1102">
      <x:c r="A1102" s="69" t="str">
        <x:v>ITEM01098</x:v>
      </x:c>
      <x:c r="B1102" s="69" t="str">
        <x:v>SRC070</x:v>
      </x:c>
      <x:c r="C1102" s="69" t="str">
        <x:v>2025-2026</x:v>
      </x:c>
      <x:c r="D1102" s="69" t="str">
        <x:v>detail</x:v>
      </x:c>
      <x:c r="E1102" s="69" t="str">
        <x:v>4</x:v>
      </x:c>
      <x:c r="F1102" s="71" t="str">
        <x:v>碎石鋪面(樣式1)</x:v>
      </x:c>
      <x:c r="G1102" s="71" t="str">
        <x:v>文件未載明</x:v>
      </x:c>
      <x:c r="H1102" s="71" t="str">
        <x:v>文件未載明</x:v>
      </x:c>
      <x:c r="I1102" s="72"/>
      <x:c r="J1102" s="69" t="str">
        <x:v>式</x:v>
      </x:c>
      <x:c r="K1102" s="70" t="n">
        <x:v>1</x:v>
      </x:c>
      <x:c r="L1102" s="69" t="str">
        <x:v>1</x:v>
      </x:c>
      <x:c r="M1102" s="70" t="n">
        <x:v>2000</x:v>
      </x:c>
      <x:c r="N1102" s="69" t="str">
        <x:v>2000</x:v>
      </x:c>
      <x:c r="O1102" s="71" t="str">
        <x:v>文件未載明</x:v>
      </x:c>
      <x:c r="P1102" s="71" t="str">
        <x:v>HTML table 1 row 9</x:v>
      </x:c>
      <x:c r="Q1102" s="71" t="str">
        <x:v>4 | 碎石鋪面(樣式1) | | 式 | 1 | 2000 | 2000</x:v>
      </x:c>
      <x:c r="R1102" s="71" t="str">
        <x:v>各廠商合約&amp; 報價\MD檔案\20260319 太子種苗 狼尾草.md</x:v>
      </x:c>
    </x:row>
    <x:row r="1103">
      <x:c r="A1103" s="69" t="str">
        <x:v>ITEM01099</x:v>
      </x:c>
      <x:c r="B1103" s="69" t="str">
        <x:v>SRC070</x:v>
      </x:c>
      <x:c r="C1103" s="69" t="str">
        <x:v>2025-2026</x:v>
      </x:c>
      <x:c r="D1103" s="69" t="str">
        <x:v>detail</x:v>
      </x:c>
      <x:c r="E1103" s="69" t="str">
        <x:v>5</x:v>
      </x:c>
      <x:c r="F1103" s="71" t="str">
        <x:v>碎石鋪面(樣式2)</x:v>
      </x:c>
      <x:c r="G1103" s="71" t="str">
        <x:v>文件未載明</x:v>
      </x:c>
      <x:c r="H1103" s="71" t="str">
        <x:v>文件未載明</x:v>
      </x:c>
      <x:c r="I1103" s="72"/>
      <x:c r="J1103" s="69" t="str">
        <x:v>式</x:v>
      </x:c>
      <x:c r="K1103" s="70" t="n">
        <x:v>0</x:v>
      </x:c>
      <x:c r="L1103" s="69" t="str">
        <x:v>0</x:v>
      </x:c>
      <x:c r="M1103" s="70" t="n">
        <x:v>6000</x:v>
      </x:c>
      <x:c r="N1103" s="69" t="str">
        <x:v>6000</x:v>
      </x:c>
      <x:c r="O1103" s="71" t="str">
        <x:v>文件未載明</x:v>
      </x:c>
      <x:c r="P1103" s="71" t="str">
        <x:v>HTML table 1 row 10</x:v>
      </x:c>
      <x:c r="Q1103" s="71" t="str">
        <x:v>5 | 碎石鋪面(樣式2) | | 式 | 0 | 6000 | 0</x:v>
      </x:c>
      <x:c r="R1103" s="71" t="str">
        <x:v>各廠商合約&amp; 報價\MD檔案\20260319 太子種苗 狼尾草.md</x:v>
      </x:c>
    </x:row>
    <x:row r="1104">
      <x:c r="A1104" s="69" t="str">
        <x:v>ITEM01100</x:v>
      </x:c>
      <x:c r="B1104" s="69" t="str">
        <x:v>SRC070</x:v>
      </x:c>
      <x:c r="C1104" s="69" t="str">
        <x:v>2025-2026</x:v>
      </x:c>
      <x:c r="D1104" s="69" t="str">
        <x:v>detail</x:v>
      </x:c>
      <x:c r="E1104" s="69" t="str">
        <x:v>6</x:v>
      </x:c>
      <x:c r="F1104" s="71" t="str">
        <x:v>文件未載明</x:v>
      </x:c>
      <x:c r="G1104" s="71" t="str">
        <x:v>文件未載明</x:v>
      </x:c>
      <x:c r="H1104" s="71" t="str">
        <x:v>文件未載明</x:v>
      </x:c>
      <x:c r="I1104" s="72"/>
      <x:c r="J1104" s="69" t="str">
        <x:v>文件未載明</x:v>
      </x:c>
      <x:c r="K1104" s="70"/>
      <x:c r="L1104" s="69" t="str">
        <x:v>文件未載明</x:v>
      </x:c>
      <x:c r="M1104" s="70"/>
      <x:c r="N1104" s="69" t="str">
        <x:v>文件未載明</x:v>
      </x:c>
      <x:c r="O1104" s="71" t="str">
        <x:v>文件未載明</x:v>
      </x:c>
      <x:c r="P1104" s="71" t="str">
        <x:v>HTML table 1 row 11</x:v>
      </x:c>
      <x:c r="Q1104" s="71" t="str">
        <x:v>6 | | | | | | 0</x:v>
      </x:c>
      <x:c r="R1104" s="71" t="str">
        <x:v>各廠商合約&amp; 報價\MD檔案\20260319 太子種苗 狼尾草.md</x:v>
      </x:c>
    </x:row>
    <x:row r="1105">
      <x:c r="A1105" s="69" t="str">
        <x:v>ITEM01101</x:v>
      </x:c>
      <x:c r="B1105" s="69" t="str">
        <x:v>SRC070</x:v>
      </x:c>
      <x:c r="C1105" s="69" t="str">
        <x:v>2025-2026</x:v>
      </x:c>
      <x:c r="D1105" s="69" t="str">
        <x:v>detail</x:v>
      </x:c>
      <x:c r="E1105" s="69" t="str">
        <x:v>7</x:v>
      </x:c>
      <x:c r="F1105" s="71" t="str">
        <x:v>文件未載明</x:v>
      </x:c>
      <x:c r="G1105" s="71" t="str">
        <x:v>文件未載明</x:v>
      </x:c>
      <x:c r="H1105" s="71" t="str">
        <x:v>文件未載明</x:v>
      </x:c>
      <x:c r="I1105" s="72"/>
      <x:c r="J1105" s="69" t="str">
        <x:v>文件未載明</x:v>
      </x:c>
      <x:c r="K1105" s="70"/>
      <x:c r="L1105" s="69" t="str">
        <x:v>文件未載明</x:v>
      </x:c>
      <x:c r="M1105" s="70"/>
      <x:c r="N1105" s="69" t="str">
        <x:v>文件未載明</x:v>
      </x:c>
      <x:c r="O1105" s="71" t="str">
        <x:v>文件未載明</x:v>
      </x:c>
      <x:c r="P1105" s="71" t="str">
        <x:v>HTML table 1 row 12</x:v>
      </x:c>
      <x:c r="Q1105" s="71" t="str">
        <x:v>7 | | | | 0</x:v>
      </x:c>
      <x:c r="R1105" s="71" t="str">
        <x:v>各廠商合約&amp; 報價\MD檔案\20260319 太子種苗 狼尾草.md</x:v>
      </x:c>
    </x:row>
    <x:row r="1106">
      <x:c r="A1106" s="69" t="str">
        <x:v>ITEM01102</x:v>
      </x:c>
      <x:c r="B1106" s="69" t="str">
        <x:v>SRC070</x:v>
      </x:c>
      <x:c r="C1106" s="69" t="str">
        <x:v>2025-2026</x:v>
      </x:c>
      <x:c r="D1106" s="69" t="str">
        <x:v>detail</x:v>
      </x:c>
      <x:c r="E1106" s="69" t="str">
        <x:v>8</x:v>
      </x:c>
      <x:c r="F1106" s="71" t="str">
        <x:v>文件未載明</x:v>
      </x:c>
      <x:c r="G1106" s="71" t="str">
        <x:v>文件未載明</x:v>
      </x:c>
      <x:c r="H1106" s="71" t="str">
        <x:v>文件未載明</x:v>
      </x:c>
      <x:c r="I1106" s="72"/>
      <x:c r="J1106" s="69" t="str">
        <x:v>文件未載明</x:v>
      </x:c>
      <x:c r="K1106" s="70"/>
      <x:c r="L1106" s="69" t="str">
        <x:v>文件未載明</x:v>
      </x:c>
      <x:c r="M1106" s="70"/>
      <x:c r="N1106" s="69" t="str">
        <x:v>文件未載明</x:v>
      </x:c>
      <x:c r="O1106" s="71" t="str">
        <x:v>文件未載明</x:v>
      </x:c>
      <x:c r="P1106" s="71" t="str">
        <x:v>HTML table 1 row 13</x:v>
      </x:c>
      <x:c r="Q1106" s="71" t="str">
        <x:v>8 | | | | 0</x:v>
      </x:c>
      <x:c r="R1106" s="71" t="str">
        <x:v>各廠商合約&amp; 報價\MD檔案\20260319 太子種苗 狼尾草.md</x:v>
      </x:c>
    </x:row>
    <x:row r="1107">
      <x:c r="A1107" s="69" t="str">
        <x:v>ITEM01103</x:v>
      </x:c>
      <x:c r="B1107" s="69" t="str">
        <x:v>SRC070</x:v>
      </x:c>
      <x:c r="C1107" s="69" t="str">
        <x:v>2025-2026</x:v>
      </x:c>
      <x:c r="D1107" s="69" t="str">
        <x:v>detail</x:v>
      </x:c>
      <x:c r="E1107" s="69" t="str">
        <x:v>9</x:v>
      </x:c>
      <x:c r="F1107" s="71" t="str">
        <x:v>文件未載明</x:v>
      </x:c>
      <x:c r="G1107" s="71" t="str">
        <x:v>文件未載明</x:v>
      </x:c>
      <x:c r="H1107" s="71" t="str">
        <x:v>文件未載明</x:v>
      </x:c>
      <x:c r="I1107" s="72"/>
      <x:c r="J1107" s="69" t="str">
        <x:v>文件未載明</x:v>
      </x:c>
      <x:c r="K1107" s="70"/>
      <x:c r="L1107" s="69" t="str">
        <x:v>文件未載明</x:v>
      </x:c>
      <x:c r="M1107" s="70"/>
      <x:c r="N1107" s="69" t="str">
        <x:v>文件未載明</x:v>
      </x:c>
      <x:c r="O1107" s="71" t="str">
        <x:v>文件未載明</x:v>
      </x:c>
      <x:c r="P1107" s="71" t="str">
        <x:v>HTML table 1 row 14</x:v>
      </x:c>
      <x:c r="Q1107" s="71" t="str">
        <x:v>9 | | | | 0</x:v>
      </x:c>
      <x:c r="R1107" s="71" t="str">
        <x:v>各廠商合約&amp; 報價\MD檔案\20260319 太子種苗 狼尾草.md</x:v>
      </x:c>
    </x:row>
    <x:row r="1108">
      <x:c r="A1108" s="69" t="str">
        <x:v>ITEM01104</x:v>
      </x:c>
      <x:c r="B1108" s="69" t="str">
        <x:v>SRC070</x:v>
      </x:c>
      <x:c r="C1108" s="69" t="str">
        <x:v>2025-2026</x:v>
      </x:c>
      <x:c r="D1108" s="69" t="str">
        <x:v>detail</x:v>
      </x:c>
      <x:c r="E1108" s="69" t="str">
        <x:v>10</x:v>
      </x:c>
      <x:c r="F1108" s="71" t="str">
        <x:v>文件未載明</x:v>
      </x:c>
      <x:c r="G1108" s="71" t="str">
        <x:v>文件未載明</x:v>
      </x:c>
      <x:c r="H1108" s="71" t="str">
        <x:v>文件未載明</x:v>
      </x:c>
      <x:c r="I1108" s="72"/>
      <x:c r="J1108" s="69" t="str">
        <x:v>文件未載明</x:v>
      </x:c>
      <x:c r="K1108" s="70"/>
      <x:c r="L1108" s="69" t="str">
        <x:v>文件未載明</x:v>
      </x:c>
      <x:c r="M1108" s="70"/>
      <x:c r="N1108" s="69" t="str">
        <x:v>文件未載明</x:v>
      </x:c>
      <x:c r="O1108" s="71" t="str">
        <x:v>文件未載明</x:v>
      </x:c>
      <x:c r="P1108" s="71" t="str">
        <x:v>HTML table 1 row 15</x:v>
      </x:c>
      <x:c r="Q1108" s="71" t="str">
        <x:v>10 | | | | 0</x:v>
      </x:c>
      <x:c r="R1108" s="71" t="str">
        <x:v>各廠商合約&amp; 報價\MD檔案\20260319 太子種苗 狼尾草.md</x:v>
      </x:c>
    </x:row>
    <x:row r="1109">
      <x:c r="A1109" s="69" t="str">
        <x:v>ITEM01105</x:v>
      </x:c>
      <x:c r="B1109" s="69" t="str">
        <x:v>SRC070</x:v>
      </x:c>
      <x:c r="C1109" s="69" t="str">
        <x:v>2025-2026</x:v>
      </x:c>
      <x:c r="D1109" s="69" t="str">
        <x:v>detail</x:v>
      </x:c>
      <x:c r="E1109" s="69" t="str">
        <x:v>11</x:v>
      </x:c>
      <x:c r="F1109" s="71" t="str">
        <x:v>文件未載明</x:v>
      </x:c>
      <x:c r="G1109" s="71" t="str">
        <x:v>文件未載明</x:v>
      </x:c>
      <x:c r="H1109" s="71" t="str">
        <x:v>文件未載明</x:v>
      </x:c>
      <x:c r="I1109" s="72"/>
      <x:c r="J1109" s="69" t="str">
        <x:v>文件未載明</x:v>
      </x:c>
      <x:c r="K1109" s="70"/>
      <x:c r="L1109" s="69" t="str">
        <x:v>文件未載明</x:v>
      </x:c>
      <x:c r="M1109" s="70"/>
      <x:c r="N1109" s="69" t="str">
        <x:v>文件未載明</x:v>
      </x:c>
      <x:c r="O1109" s="71" t="str">
        <x:v>文件未載明</x:v>
      </x:c>
      <x:c r="P1109" s="71" t="str">
        <x:v>HTML table 1 row 16</x:v>
      </x:c>
      <x:c r="Q1109" s="71" t="str">
        <x:v>11 | | | | 0</x:v>
      </x:c>
      <x:c r="R1109" s="71" t="str">
        <x:v>各廠商合約&amp; 報價\MD檔案\20260319 太子種苗 狼尾草.md</x:v>
      </x:c>
    </x:row>
    <x:row r="1110">
      <x:c r="A1110" s="69" t="str">
        <x:v>ITEM01106</x:v>
      </x:c>
      <x:c r="B1110" s="69" t="str">
        <x:v>SRC070</x:v>
      </x:c>
      <x:c r="C1110" s="69" t="str">
        <x:v>2025-2026</x:v>
      </x:c>
      <x:c r="D1110" s="69" t="str">
        <x:v>detail</x:v>
      </x:c>
      <x:c r="E1110" s="69" t="str">
        <x:v>12</x:v>
      </x:c>
      <x:c r="F1110" s="71" t="str">
        <x:v>文件未載明</x:v>
      </x:c>
      <x:c r="G1110" s="71" t="str">
        <x:v>文件未載明</x:v>
      </x:c>
      <x:c r="H1110" s="71" t="str">
        <x:v>文件未載明</x:v>
      </x:c>
      <x:c r="I1110" s="72"/>
      <x:c r="J1110" s="69" t="str">
        <x:v>文件未載明</x:v>
      </x:c>
      <x:c r="K1110" s="70"/>
      <x:c r="L1110" s="69" t="str">
        <x:v>文件未載明</x:v>
      </x:c>
      <x:c r="M1110" s="70"/>
      <x:c r="N1110" s="69" t="str">
        <x:v>文件未載明</x:v>
      </x:c>
      <x:c r="O1110" s="71" t="str">
        <x:v>文件未載明</x:v>
      </x:c>
      <x:c r="P1110" s="71" t="str">
        <x:v>HTML table 1 row 17</x:v>
      </x:c>
      <x:c r="Q1110" s="71" t="str">
        <x:v>12 | | | | 0</x:v>
      </x:c>
      <x:c r="R1110" s="71" t="str">
        <x:v>各廠商合約&amp; 報價\MD檔案\20260319 太子種苗 狼尾草.md</x:v>
      </x:c>
    </x:row>
    <x:row r="1111">
      <x:c r="A1111" s="69" t="str">
        <x:v>ITEM01107</x:v>
      </x:c>
      <x:c r="B1111" s="69" t="str">
        <x:v>SRC070</x:v>
      </x:c>
      <x:c r="C1111" s="69" t="str">
        <x:v>2025-2026</x:v>
      </x:c>
      <x:c r="D1111" s="69" t="str">
        <x:v>detail</x:v>
      </x:c>
      <x:c r="E1111" s="69" t="str">
        <x:v>13</x:v>
      </x:c>
      <x:c r="F1111" s="71" t="str">
        <x:v>文件未載明</x:v>
      </x:c>
      <x:c r="G1111" s="71" t="str">
        <x:v>文件未載明</x:v>
      </x:c>
      <x:c r="H1111" s="71" t="str">
        <x:v>文件未載明</x:v>
      </x:c>
      <x:c r="I1111" s="72"/>
      <x:c r="J1111" s="69" t="str">
        <x:v>文件未載明</x:v>
      </x:c>
      <x:c r="K1111" s="70"/>
      <x:c r="L1111" s="69" t="str">
        <x:v>文件未載明</x:v>
      </x:c>
      <x:c r="M1111" s="70"/>
      <x:c r="N1111" s="69" t="str">
        <x:v>文件未載明</x:v>
      </x:c>
      <x:c r="O1111" s="71" t="str">
        <x:v>文件未載明</x:v>
      </x:c>
      <x:c r="P1111" s="71" t="str">
        <x:v>HTML table 1 row 18</x:v>
      </x:c>
      <x:c r="Q1111" s="71" t="str">
        <x:v>13 | | | | 0</x:v>
      </x:c>
      <x:c r="R1111" s="71" t="str">
        <x:v>各廠商合約&amp; 報價\MD檔案\20260319 太子種苗 狼尾草.md</x:v>
      </x:c>
    </x:row>
    <x:row r="1112">
      <x:c r="A1112" s="69" t="str">
        <x:v>ITEM01108</x:v>
      </x:c>
      <x:c r="B1112" s="69" t="str">
        <x:v>SRC070</x:v>
      </x:c>
      <x:c r="C1112" s="69" t="str">
        <x:v>2025-2026</x:v>
      </x:c>
      <x:c r="D1112" s="69" t="str">
        <x:v>note</x:v>
      </x:c>
      <x:c r="E1112" s="69" t="str">
        <x:v>文件未載明</x:v>
      </x:c>
      <x:c r="F1112" s="71" t="str">
        <x:v>備註</x:v>
      </x:c>
      <x:c r="G1112" s="71" t="str">
        <x:v>文件未載明</x:v>
      </x:c>
      <x:c r="H1112" s="71" t="str">
        <x:v>文件未載明</x:v>
      </x:c>
      <x:c r="I1112" s="72"/>
      <x:c r="J1112" s="69" t="str">
        <x:v>文件未載明</x:v>
      </x:c>
      <x:c r="K1112" s="70"/>
      <x:c r="L1112" s="69" t="str">
        <x:v>文件未載明</x:v>
      </x:c>
      <x:c r="M1112" s="70"/>
      <x:c r="N1112" s="69" t="str">
        <x:v>文件未載明</x:v>
      </x:c>
      <x:c r="O1112" s="71" t="str">
        <x:v>文件未載明</x:v>
      </x:c>
      <x:c r="P1112" s="71" t="str">
        <x:v>HTML table 1 row 19</x:v>
      </x:c>
      <x:c r="Q1112" s="71" t="str">
        <x:v>備註</x:v>
      </x:c>
      <x:c r="R1112" s="71" t="str">
        <x:v>各廠商合約&amp; 報價\MD檔案\20260319 太子種苗 狼尾草.md</x:v>
      </x:c>
    </x:row>
    <x:row r="1113">
      <x:c r="A1113" s="69" t="str">
        <x:v>ITEM01109</x:v>
      </x:c>
      <x:c r="B1113" s="69" t="str">
        <x:v>SRC070</x:v>
      </x:c>
      <x:c r="C1113" s="69" t="str">
        <x:v>2025-2026</x:v>
      </x:c>
      <x:c r="D1113" s="69" t="str">
        <x:v>summary</x:v>
      </x:c>
      <x:c r="E1113" s="69" t="str">
        <x:v>文件未載明</x:v>
      </x:c>
      <x:c r="F1113" s="71" t="str">
        <x:v>合計</x:v>
      </x:c>
      <x:c r="G1113" s="71" t="str">
        <x:v>文件未載明</x:v>
      </x:c>
      <x:c r="H1113" s="71" t="str">
        <x:v>文件未載明</x:v>
      </x:c>
      <x:c r="I1113" s="72"/>
      <x:c r="J1113" s="69" t="str">
        <x:v>文件未載明</x:v>
      </x:c>
      <x:c r="K1113" s="70"/>
      <x:c r="L1113" s="69" t="str">
        <x:v>文件未載明</x:v>
      </x:c>
      <x:c r="M1113" s="70"/>
      <x:c r="N1113" s="69" t="str">
        <x:v>文件未載明</x:v>
      </x:c>
      <x:c r="O1113" s="71" t="str">
        <x:v>文件未載明</x:v>
      </x:c>
      <x:c r="P1113" s="71" t="str">
        <x:v>HTML table 1 row 20</x:v>
      </x:c>
      <x:c r="Q1113" s="71" t="str">
        <x:v>| | 合計 | $31000</x:v>
      </x:c>
      <x:c r="R1113" s="71" t="str">
        <x:v>各廠商合約&amp; 報價\MD檔案\20260319 太子種苗 狼尾草.md</x:v>
      </x:c>
    </x:row>
    <x:row r="1114">
      <x:c r="A1114" s="69" t="str">
        <x:v>ITEM01110</x:v>
      </x:c>
      <x:c r="B1114" s="69" t="str">
        <x:v>SRC070</x:v>
      </x:c>
      <x:c r="C1114" s="69" t="str">
        <x:v>2025-2026</x:v>
      </x:c>
      <x:c r="D1114" s="69" t="str">
        <x:v>summary</x:v>
      </x:c>
      <x:c r="E1114" s="69" t="str">
        <x:v>文件未載明</x:v>
      </x:c>
      <x:c r="F1114" s="71" t="str">
        <x:v>稅金</x:v>
      </x:c>
      <x:c r="G1114" s="71" t="str">
        <x:v>文件未載明</x:v>
      </x:c>
      <x:c r="H1114" s="71" t="str">
        <x:v>文件未載明</x:v>
      </x:c>
      <x:c r="I1114" s="72"/>
      <x:c r="J1114" s="69" t="str">
        <x:v>文件未載明</x:v>
      </x:c>
      <x:c r="K1114" s="70"/>
      <x:c r="L1114" s="69" t="str">
        <x:v>文件未載明</x:v>
      </x:c>
      <x:c r="M1114" s="70"/>
      <x:c r="N1114" s="69" t="str">
        <x:v>文件未載明</x:v>
      </x:c>
      <x:c r="O1114" s="71" t="str">
        <x:v>文件未載明</x:v>
      </x:c>
      <x:c r="P1114" s="71" t="str">
        <x:v>HTML table 1 row 21</x:v>
      </x:c>
      <x:c r="Q1114" s="71" t="str">
        <x:v>稅金 | $1550</x:v>
      </x:c>
      <x:c r="R1114" s="71" t="str">
        <x:v>各廠商合約&amp; 報價\MD檔案\20260319 太子種苗 狼尾草.md</x:v>
      </x:c>
    </x:row>
    <x:row r="1115">
      <x:c r="A1115" s="69" t="str">
        <x:v>ITEM01111</x:v>
      </x:c>
      <x:c r="B1115" s="69" t="str">
        <x:v>SRC070</x:v>
      </x:c>
      <x:c r="C1115" s="69" t="str">
        <x:v>2025-2026</x:v>
      </x:c>
      <x:c r="D1115" s="69" t="str">
        <x:v>detail</x:v>
      </x:c>
      <x:c r="E1115" s="69" t="str">
        <x:v>文件未載明</x:v>
      </x:c>
      <x:c r="F1115" s="71" t="str">
        <x:v>管理費8%</x:v>
      </x:c>
      <x:c r="G1115" s="71" t="str">
        <x:v>文件未載明</x:v>
      </x:c>
      <x:c r="H1115" s="71" t="str">
        <x:v>文件未載明</x:v>
      </x:c>
      <x:c r="I1115" s="72"/>
      <x:c r="J1115" s="69" t="str">
        <x:v>文件未載明</x:v>
      </x:c>
      <x:c r="K1115" s="70"/>
      <x:c r="L1115" s="69" t="str">
        <x:v>文件未載明</x:v>
      </x:c>
      <x:c r="M1115" s="70"/>
      <x:c r="N1115" s="69" t="str">
        <x:v>文件未載明</x:v>
      </x:c>
      <x:c r="O1115" s="71" t="str">
        <x:v>文件未載明</x:v>
      </x:c>
      <x:c r="P1115" s="71" t="str">
        <x:v>HTML table 1 row 22</x:v>
      </x:c>
      <x:c r="Q1115" s="71" t="str">
        <x:v>管理費8% |</x:v>
      </x:c>
      <x:c r="R1115" s="71" t="str">
        <x:v>各廠商合約&amp; 報價\MD檔案\20260319 太子種苗 狼尾草.md</x:v>
      </x:c>
    </x:row>
    <x:row r="1116">
      <x:c r="A1116" s="69" t="str">
        <x:v>ITEM01112</x:v>
      </x:c>
      <x:c r="B1116" s="69" t="str">
        <x:v>SRC070</x:v>
      </x:c>
      <x:c r="C1116" s="69" t="str">
        <x:v>2025-2026</x:v>
      </x:c>
      <x:c r="D1116" s="69" t="str">
        <x:v>summary</x:v>
      </x:c>
      <x:c r="E1116" s="69" t="str">
        <x:v>文件未載明</x:v>
      </x:c>
      <x:c r="F1116" s="71" t="str">
        <x:v>總計</x:v>
      </x:c>
      <x:c r="G1116" s="71" t="str">
        <x:v>文件未載明</x:v>
      </x:c>
      <x:c r="H1116" s="71" t="str">
        <x:v>文件未載明</x:v>
      </x:c>
      <x:c r="I1116" s="72"/>
      <x:c r="J1116" s="69" t="str">
        <x:v>文件未載明</x:v>
      </x:c>
      <x:c r="K1116" s="70"/>
      <x:c r="L1116" s="69" t="str">
        <x:v>文件未載明</x:v>
      </x:c>
      <x:c r="M1116" s="70"/>
      <x:c r="N1116" s="69" t="str">
        <x:v>文件未載明</x:v>
      </x:c>
      <x:c r="O1116" s="71" t="str">
        <x:v>文件未載明</x:v>
      </x:c>
      <x:c r="P1116" s="71" t="str">
        <x:v>HTML table 1 row 23</x:v>
      </x:c>
      <x:c r="Q1116" s="71" t="str">
        <x:v>總計 | $32550</x:v>
      </x:c>
      <x:c r="R1116" s="71" t="str">
        <x:v>各廠商合約&amp; 報價\MD檔案\20260319 太子種苗 狼尾草.md</x:v>
      </x:c>
    </x:row>
    <x:row r="1117">
      <x:c r="A1117" s="69" t="str">
        <x:v>ITEM01113</x:v>
      </x:c>
      <x:c r="B1117" s="69" t="str">
        <x:v>SRC071</x:v>
      </x:c>
      <x:c r="C1117" s="69" t="str">
        <x:v>2025-2026</x:v>
      </x:c>
      <x:c r="D1117" s="69" t="str">
        <x:v>header</x:v>
      </x:c>
      <x:c r="E1117" s="69" t="str">
        <x:v>項目</x:v>
      </x:c>
      <x:c r="F1117" s="71" t="str">
        <x:v>項目</x:v>
      </x:c>
      <x:c r="G1117" s="71" t="str">
        <x:v>規格</x:v>
      </x:c>
      <x:c r="H1117" s="71" t="str">
        <x:v>文件未載明</x:v>
      </x:c>
      <x:c r="I1117" s="72"/>
      <x:c r="J1117" s="69" t="str">
        <x:v>數量</x:v>
      </x:c>
      <x:c r="K1117" s="70"/>
      <x:c r="L1117" s="69" t="str">
        <x:v>單價</x:v>
      </x:c>
      <x:c r="M1117" s="70"/>
      <x:c r="N1117" s="69" t="str">
        <x:v>金額</x:v>
      </x:c>
      <x:c r="O1117" s="71" t="str">
        <x:v>備註</x:v>
      </x:c>
      <x:c r="P1117" s="71" t="str">
        <x:v>HTML table 1 row 1</x:v>
      </x:c>
      <x:c r="Q1117" s="71" t="str">
        <x:v>項目 | 品名 | 規格 | 數量 | 單價 | 金額 | 備註</x:v>
      </x:c>
      <x:c r="R1117" s="71" t="str">
        <x:v>各廠商合約&amp; 報價\MD檔案\20260401 全鑫 圍籬.md</x:v>
      </x:c>
    </x:row>
    <x:row r="1118">
      <x:c r="A1118" s="69" t="str">
        <x:v>ITEM01114</x:v>
      </x:c>
      <x:c r="B1118" s="69" t="str">
        <x:v>SRC071</x:v>
      </x:c>
      <x:c r="C1118" s="69" t="str">
        <x:v>2025-2026</x:v>
      </x:c>
      <x:c r="D1118" s="69" t="str">
        <x:v>detail</x:v>
      </x:c>
      <x:c r="E1118" s="69" t="str">
        <x:v>1</x:v>
      </x:c>
      <x:c r="F1118" s="71" t="str">
        <x:v>1</x:v>
      </x:c>
      <x:c r="G1118" s="71" t="str">
        <x:v>式</x:v>
      </x:c>
      <x:c r="H1118" s="71" t="str">
        <x:v>文件未載明</x:v>
      </x:c>
      <x:c r="I1118" s="72" t="n">
        <x:v>1</x:v>
      </x:c>
      <x:c r="J1118" s="69" t="str">
        <x:v>1</x:v>
      </x:c>
      <x:c r="K1118" s="70"/>
      <x:c r="L1118" s="69" t="str">
        <x:v>文件未載明</x:v>
      </x:c>
      <x:c r="M1118" s="70" t="n">
        <x:v>25000</x:v>
      </x:c>
      <x:c r="N1118" s="69" t="str">
        <x:v>25000</x:v>
      </x:c>
      <x:c r="O1118" s="71" t="str">
        <x:v>文件未載明</x:v>
      </x:c>
      <x:c r="P1118" s="71" t="str">
        <x:v>HTML table 1 row 2</x:v>
      </x:c>
      <x:c r="Q1118" s="71" t="str">
        <x:v>1 | 代工安裝格栅鐵網約20米開3個小門(拾壹閥圖籠、水塗圖籠) | 式 | 1 | | 25000 |</x:v>
      </x:c>
      <x:c r="R1118" s="71" t="str">
        <x:v>各廠商合約&amp; 報價\MD檔案\20260401 全鑫 圍籬.md</x:v>
      </x:c>
    </x:row>
    <x:row r="1119">
      <x:c r="A1119" s="69" t="str">
        <x:v>ITEM01115</x:v>
      </x:c>
      <x:c r="B1119" s="69" t="str">
        <x:v>SRC071</x:v>
      </x:c>
      <x:c r="C1119" s="69" t="str">
        <x:v>2025-2026</x:v>
      </x:c>
      <x:c r="D1119" s="69" t="str">
        <x:v>detail</x:v>
      </x:c>
      <x:c r="E1119" s="69" t="str">
        <x:v>2</x:v>
      </x:c>
      <x:c r="F1119" s="71" t="str">
        <x:v>2</x:v>
      </x:c>
      <x:c r="G1119" s="71" t="str">
        <x:v>文件未載明</x:v>
      </x:c>
      <x:c r="H1119" s="71" t="str">
        <x:v>文件未載明</x:v>
      </x:c>
      <x:c r="I1119" s="72"/>
      <x:c r="J1119" s="69" t="str">
        <x:v>文件未載明</x:v>
      </x:c>
      <x:c r="K1119" s="70"/>
      <x:c r="L1119" s="69" t="str">
        <x:v>文件未載明</x:v>
      </x:c>
      <x:c r="M1119" s="70"/>
      <x:c r="N1119" s="69" t="str">
        <x:v>文件未載明</x:v>
      </x:c>
      <x:c r="O1119" s="71" t="str">
        <x:v>文件未載明</x:v>
      </x:c>
      <x:c r="P1119" s="71" t="str">
        <x:v>HTML table 1 row 3</x:v>
      </x:c>
      <x:c r="Q1119" s="71" t="str">
        <x:v>2 | | | | |</x:v>
      </x:c>
      <x:c r="R1119" s="71" t="str">
        <x:v>各廠商合約&amp; 報價\MD檔案\20260401 全鑫 圍籬.md</x:v>
      </x:c>
    </x:row>
    <x:row r="1120">
      <x:c r="A1120" s="69" t="str">
        <x:v>ITEM01116</x:v>
      </x:c>
      <x:c r="B1120" s="69" t="str">
        <x:v>SRC071</x:v>
      </x:c>
      <x:c r="C1120" s="69" t="str">
        <x:v>2025-2026</x:v>
      </x:c>
      <x:c r="D1120" s="69" t="str">
        <x:v>detail</x:v>
      </x:c>
      <x:c r="E1120" s="69" t="str">
        <x:v>3</x:v>
      </x:c>
      <x:c r="F1120" s="71" t="str">
        <x:v>3</x:v>
      </x:c>
      <x:c r="G1120" s="71" t="str">
        <x:v>文件未載明</x:v>
      </x:c>
      <x:c r="H1120" s="71" t="str">
        <x:v>文件未載明</x:v>
      </x:c>
      <x:c r="I1120" s="72"/>
      <x:c r="J1120" s="69" t="str">
        <x:v>文件未載明</x:v>
      </x:c>
      <x:c r="K1120" s="70"/>
      <x:c r="L1120" s="69" t="str">
        <x:v>文件未載明</x:v>
      </x:c>
      <x:c r="M1120" s="70"/>
      <x:c r="N1120" s="69" t="str">
        <x:v>文件未載明</x:v>
      </x:c>
      <x:c r="O1120" s="71" t="str">
        <x:v>文件未載明</x:v>
      </x:c>
      <x:c r="P1120" s="71" t="str">
        <x:v>HTML table 1 row 4</x:v>
      </x:c>
      <x:c r="Q1120" s="71" t="str">
        <x:v>3 | 鎧3mm花板長1130寬420含下面 | | | | |</x:v>
      </x:c>
      <x:c r="R1120" s="71" t="str">
        <x:v>各廠商合約&amp; 報價\MD檔案\20260401 全鑫 圍籬.md</x:v>
      </x:c>
    </x:row>
    <x:row r="1121">
      <x:c r="A1121" s="69" t="str">
        <x:v>ITEM01117</x:v>
      </x:c>
      <x:c r="B1121" s="69" t="str">
        <x:v>SRC071</x:v>
      </x:c>
      <x:c r="C1121" s="69" t="str">
        <x:v>2025-2026</x:v>
      </x:c>
      <x:c r="D1121" s="69" t="str">
        <x:v>detail</x:v>
      </x:c>
      <x:c r="E1121" s="69" t="str">
        <x:v>4</x:v>
      </x:c>
      <x:c r="F1121" s="71" t="str">
        <x:v>4</x:v>
      </x:c>
      <x:c r="G1121" s="71" t="str">
        <x:v>式</x:v>
      </x:c>
      <x:c r="H1121" s="71" t="str">
        <x:v>文件未載明</x:v>
      </x:c>
      <x:c r="I1121" s="72" t="n">
        <x:v>1</x:v>
      </x:c>
      <x:c r="J1121" s="69" t="str">
        <x:v>1</x:v>
      </x:c>
      <x:c r="K1121" s="70"/>
      <x:c r="L1121" s="69" t="str">
        <x:v>文件未載明</x:v>
      </x:c>
      <x:c r="M1121" s="70" t="n">
        <x:v>3800</x:v>
      </x:c>
      <x:c r="N1121" s="69" t="str">
        <x:v>3800</x:v>
      </x:c>
      <x:c r="O1121" s="71" t="str">
        <x:v>文件未載明</x:v>
      </x:c>
      <x:c r="P1121" s="71" t="str">
        <x:v>HTML table 1 row 5</x:v>
      </x:c>
      <x:c r="Q1121" s="71" t="str">
        <x:v>4 | 斜擰補強 | 式 | 1 | | 3800 |</x:v>
      </x:c>
      <x:c r="R1121" s="71" t="str">
        <x:v>各廠商合約&amp; 報價\MD檔案\20260401 全鑫 圍籬.md</x:v>
      </x:c>
    </x:row>
    <x:row r="1122">
      <x:c r="A1122" s="69" t="str">
        <x:v>ITEM01118</x:v>
      </x:c>
      <x:c r="B1122" s="69" t="str">
        <x:v>SRC071</x:v>
      </x:c>
      <x:c r="C1122" s="69" t="str">
        <x:v>2025-2026</x:v>
      </x:c>
      <x:c r="D1122" s="69" t="str">
        <x:v>detail</x:v>
      </x:c>
      <x:c r="E1122" s="69" t="str">
        <x:v>5</x:v>
      </x:c>
      <x:c r="F1122" s="71" t="str">
        <x:v>5</x:v>
      </x:c>
      <x:c r="G1122" s="71" t="str">
        <x:v>文件未載明</x:v>
      </x:c>
      <x:c r="H1122" s="71" t="str">
        <x:v>文件未載明</x:v>
      </x:c>
      <x:c r="I1122" s="72"/>
      <x:c r="J1122" s="69" t="str">
        <x:v>文件未載明</x:v>
      </x:c>
      <x:c r="K1122" s="70"/>
      <x:c r="L1122" s="69" t="str">
        <x:v>文件未載明</x:v>
      </x:c>
      <x:c r="M1122" s="70"/>
      <x:c r="N1122" s="69" t="str">
        <x:v>文件未載明</x:v>
      </x:c>
      <x:c r="O1122" s="71" t="str">
        <x:v>文件未載明</x:v>
      </x:c>
      <x:c r="P1122" s="71" t="str">
        <x:v>HTML table 1 row 6</x:v>
      </x:c>
      <x:c r="Q1122" s="71" t="str">
        <x:v>5 | | | | | |</x:v>
      </x:c>
      <x:c r="R1122" s="71" t="str">
        <x:v>各廠商合約&amp; 報價\MD檔案\20260401 全鑫 圍籬.md</x:v>
      </x:c>
    </x:row>
    <x:row r="1123">
      <x:c r="A1123" s="69" t="str">
        <x:v>ITEM01119</x:v>
      </x:c>
      <x:c r="B1123" s="69" t="str">
        <x:v>SRC071</x:v>
      </x:c>
      <x:c r="C1123" s="69" t="str">
        <x:v>2025-2026</x:v>
      </x:c>
      <x:c r="D1123" s="69" t="str">
        <x:v>detail</x:v>
      </x:c>
      <x:c r="E1123" s="69" t="str">
        <x:v>6</x:v>
      </x:c>
      <x:c r="F1123" s="71" t="str">
        <x:v>6</x:v>
      </x:c>
      <x:c r="G1123" s="71" t="str">
        <x:v>式</x:v>
      </x:c>
      <x:c r="H1123" s="71" t="str">
        <x:v>文件未載明</x:v>
      </x:c>
      <x:c r="I1123" s="72" t="n">
        <x:v>1</x:v>
      </x:c>
      <x:c r="J1123" s="69" t="str">
        <x:v>1</x:v>
      </x:c>
      <x:c r="K1123" s="70"/>
      <x:c r="L1123" s="69" t="str">
        <x:v>文件未載明</x:v>
      </x:c>
      <x:c r="M1123" s="70" t="n">
        <x:v>9000</x:v>
      </x:c>
      <x:c r="N1123" s="69" t="str">
        <x:v>9000</x:v>
      </x:c>
      <x:c r="O1123" s="71" t="str">
        <x:v>文件未載明</x:v>
      </x:c>
      <x:c r="P1123" s="71" t="str">
        <x:v>HTML table 1 row 7</x:v>
      </x:c>
      <x:c r="Q1123" s="71" t="str">
        <x:v>6 | 長2540 寬445含下面斜擰補強 | 式 | 1 | | 9000 |</x:v>
      </x:c>
      <x:c r="R1123" s="71" t="str">
        <x:v>各廠商合約&amp; 報價\MD檔案\20260401 全鑫 圍籬.md</x:v>
      </x:c>
    </x:row>
    <x:row r="1124">
      <x:c r="A1124" s="69" t="str">
        <x:v>ITEM01120</x:v>
      </x:c>
      <x:c r="B1124" s="69" t="str">
        <x:v>SRC071</x:v>
      </x:c>
      <x:c r="C1124" s="69" t="str">
        <x:v>2025-2026</x:v>
      </x:c>
      <x:c r="D1124" s="69" t="str">
        <x:v>detail</x:v>
      </x:c>
      <x:c r="E1124" s="69" t="str">
        <x:v>7</x:v>
      </x:c>
      <x:c r="F1124" s="71" t="str">
        <x:v>7</x:v>
      </x:c>
      <x:c r="G1124" s="71" t="str">
        <x:v>文件未載明</x:v>
      </x:c>
      <x:c r="H1124" s="71" t="str">
        <x:v>文件未載明</x:v>
      </x:c>
      <x:c r="I1124" s="72"/>
      <x:c r="J1124" s="69" t="str">
        <x:v>文件未載明</x:v>
      </x:c>
      <x:c r="K1124" s="70"/>
      <x:c r="L1124" s="69" t="str">
        <x:v>文件未載明</x:v>
      </x:c>
      <x:c r="M1124" s="70"/>
      <x:c r="N1124" s="69" t="str">
        <x:v>文件未載明</x:v>
      </x:c>
      <x:c r="O1124" s="71" t="str">
        <x:v>文件未載明</x:v>
      </x:c>
      <x:c r="P1124" s="71" t="str">
        <x:v>HTML table 1 row 8</x:v>
      </x:c>
      <x:c r="Q1124" s="71" t="str">
        <x:v>7 | | | | | |</x:v>
      </x:c>
      <x:c r="R1124" s="71" t="str">
        <x:v>各廠商合約&amp; 報價\MD檔案\20260401 全鑫 圍籬.md</x:v>
      </x:c>
    </x:row>
    <x:row r="1125">
      <x:c r="A1125" s="69" t="str">
        <x:v>ITEM01121</x:v>
      </x:c>
      <x:c r="B1125" s="69" t="str">
        <x:v>SRC071</x:v>
      </x:c>
      <x:c r="C1125" s="69" t="str">
        <x:v>2025-2026</x:v>
      </x:c>
      <x:c r="D1125" s="69" t="str">
        <x:v>summary</x:v>
      </x:c>
      <x:c r="E1125" s="69" t="str">
        <x:v>8</x:v>
      </x:c>
      <x:c r="F1125" s="71" t="str">
        <x:v>8</x:v>
      </x:c>
      <x:c r="G1125" s="71" t="str">
        <x:v>文件未載明</x:v>
      </x:c>
      <x:c r="H1125" s="71" t="str">
        <x:v>文件未載明</x:v>
      </x:c>
      <x:c r="I1125" s="72"/>
      <x:c r="J1125" s="69" t="str">
        <x:v>文件未載明</x:v>
      </x:c>
      <x:c r="K1125" s="70"/>
      <x:c r="L1125" s="69" t="str">
        <x:v>文件未載明</x:v>
      </x:c>
      <x:c r="M1125" s="70"/>
      <x:c r="N1125" s="69" t="str">
        <x:v>文件未載明</x:v>
      </x:c>
      <x:c r="O1125" s="71" t="str">
        <x:v>文件未載明</x:v>
      </x:c>
      <x:c r="P1125" s="71" t="str">
        <x:v>HTML table 1 row 9</x:v>
      </x:c>
      <x:c r="Q1125" s="71" t="str">
        <x:v>8 | 總價$37800 未稅 | | | | |</x:v>
      </x:c>
      <x:c r="R1125" s="71" t="str">
        <x:v>各廠商合約&amp; 報價\MD檔案\20260401 全鑫 圍籬.md</x:v>
      </x:c>
    </x:row>
    <x:row r="1126">
      <x:c r="A1126" s="69" t="str">
        <x:v>ITEM01122</x:v>
      </x:c>
      <x:c r="B1126" s="69" t="str">
        <x:v>SRC071</x:v>
      </x:c>
      <x:c r="C1126" s="69" t="str">
        <x:v>2025-2026</x:v>
      </x:c>
      <x:c r="D1126" s="69" t="str">
        <x:v>detail</x:v>
      </x:c>
      <x:c r="E1126" s="69" t="str">
        <x:v>9</x:v>
      </x:c>
      <x:c r="F1126" s="71" t="str">
        <x:v>9</x:v>
      </x:c>
      <x:c r="G1126" s="71" t="str">
        <x:v>文件未載明</x:v>
      </x:c>
      <x:c r="H1126" s="71" t="str">
        <x:v>文件未載明</x:v>
      </x:c>
      <x:c r="I1126" s="72"/>
      <x:c r="J1126" s="69" t="str">
        <x:v>文件未載明</x:v>
      </x:c>
      <x:c r="K1126" s="70"/>
      <x:c r="L1126" s="69" t="str">
        <x:v>文件未載明</x:v>
      </x:c>
      <x:c r="M1126" s="70"/>
      <x:c r="N1126" s="69" t="str">
        <x:v>文件未載明</x:v>
      </x:c>
      <x:c r="O1126" s="71" t="str">
        <x:v>文件未載明</x:v>
      </x:c>
      <x:c r="P1126" s="71" t="str">
        <x:v>HTML table 1 row 10</x:v>
      </x:c>
      <x:c r="Q1126" s="71" t="str">
        <x:v>9 | | | | | |</x:v>
      </x:c>
      <x:c r="R1126" s="71" t="str">
        <x:v>各廠商合約&amp; 報價\MD檔案\20260401 全鑫 圍籬.md</x:v>
      </x:c>
    </x:row>
    <x:row r="1127">
      <x:c r="A1127" s="69" t="str">
        <x:v>ITEM01123</x:v>
      </x:c>
      <x:c r="B1127" s="69" t="str">
        <x:v>SRC071</x:v>
      </x:c>
      <x:c r="C1127" s="69" t="str">
        <x:v>2025-2026</x:v>
      </x:c>
      <x:c r="D1127" s="69" t="str">
        <x:v>detail</x:v>
      </x:c>
      <x:c r="E1127" s="69" t="str">
        <x:v>10</x:v>
      </x:c>
      <x:c r="F1127" s="71" t="str">
        <x:v>10</x:v>
      </x:c>
      <x:c r="G1127" s="71" t="str">
        <x:v>文件未載明</x:v>
      </x:c>
      <x:c r="H1127" s="71" t="str">
        <x:v>文件未載明</x:v>
      </x:c>
      <x:c r="I1127" s="72"/>
      <x:c r="J1127" s="69" t="str">
        <x:v>文件未載明</x:v>
      </x:c>
      <x:c r="K1127" s="70"/>
      <x:c r="L1127" s="69" t="str">
        <x:v>文件未載明</x:v>
      </x:c>
      <x:c r="M1127" s="70"/>
      <x:c r="N1127" s="69" t="str">
        <x:v>文件未載明</x:v>
      </x:c>
      <x:c r="O1127" s="71" t="str">
        <x:v>文件未載明</x:v>
      </x:c>
      <x:c r="P1127" s="71" t="str">
        <x:v>HTML table 1 row 11</x:v>
      </x:c>
      <x:c r="Q1127" s="71" t="str">
        <x:v>10 | | | | | |</x:v>
      </x:c>
      <x:c r="R1127" s="71" t="str">
        <x:v>各廠商合約&amp; 報價\MD檔案\20260401 全鑫 圍籬.md</x:v>
      </x:c>
    </x:row>
    <x:row r="1128">
      <x:c r="A1128" s="69" t="str">
        <x:v>ITEM01124</x:v>
      </x:c>
      <x:c r="B1128" s="69" t="str">
        <x:v>SRC071</x:v>
      </x:c>
      <x:c r="C1128" s="69" t="str">
        <x:v>2025-2026</x:v>
      </x:c>
      <x:c r="D1128" s="69" t="str">
        <x:v>detail</x:v>
      </x:c>
      <x:c r="E1128" s="69" t="str">
        <x:v>11</x:v>
      </x:c>
      <x:c r="F1128" s="71" t="str">
        <x:v>11</x:v>
      </x:c>
      <x:c r="G1128" s="71" t="str">
        <x:v>文件未載明</x:v>
      </x:c>
      <x:c r="H1128" s="71" t="str">
        <x:v>文件未載明</x:v>
      </x:c>
      <x:c r="I1128" s="72"/>
      <x:c r="J1128" s="69" t="str">
        <x:v>文件未載明</x:v>
      </x:c>
      <x:c r="K1128" s="70"/>
      <x:c r="L1128" s="69" t="str">
        <x:v>文件未載明</x:v>
      </x:c>
      <x:c r="M1128" s="70"/>
      <x:c r="N1128" s="69" t="str">
        <x:v>文件未載明</x:v>
      </x:c>
      <x:c r="O1128" s="71" t="str">
        <x:v>文件未載明</x:v>
      </x:c>
      <x:c r="P1128" s="71" t="str">
        <x:v>HTML table 1 row 12</x:v>
      </x:c>
      <x:c r="Q1128" s="71" t="str">
        <x:v>11 | | | | | |</x:v>
      </x:c>
      <x:c r="R1128" s="71" t="str">
        <x:v>各廠商合約&amp; 報價\MD檔案\20260401 全鑫 圍籬.md</x:v>
      </x:c>
    </x:row>
    <x:row r="1129">
      <x:c r="A1129" s="69" t="str">
        <x:v>ITEM01125</x:v>
      </x:c>
      <x:c r="B1129" s="69" t="str">
        <x:v>SRC071</x:v>
      </x:c>
      <x:c r="C1129" s="69" t="str">
        <x:v>2025-2026</x:v>
      </x:c>
      <x:c r="D1129" s="69" t="str">
        <x:v>detail</x:v>
      </x:c>
      <x:c r="E1129" s="69" t="str">
        <x:v>12</x:v>
      </x:c>
      <x:c r="F1129" s="71" t="str">
        <x:v>12</x:v>
      </x:c>
      <x:c r="G1129" s="71" t="str">
        <x:v>文件未載明</x:v>
      </x:c>
      <x:c r="H1129" s="71" t="str">
        <x:v>文件未載明</x:v>
      </x:c>
      <x:c r="I1129" s="72"/>
      <x:c r="J1129" s="69" t="str">
        <x:v>文件未載明</x:v>
      </x:c>
      <x:c r="K1129" s="70"/>
      <x:c r="L1129" s="69" t="str">
        <x:v>文件未載明</x:v>
      </x:c>
      <x:c r="M1129" s="70"/>
      <x:c r="N1129" s="69" t="str">
        <x:v>文件未載明</x:v>
      </x:c>
      <x:c r="O1129" s="71" t="str">
        <x:v>文件未載明</x:v>
      </x:c>
      <x:c r="P1129" s="71" t="str">
        <x:v>HTML table 1 row 13</x:v>
      </x:c>
      <x:c r="Q1129" s="71" t="str">
        <x:v>12 | | | | | |</x:v>
      </x:c>
      <x:c r="R1129" s="71" t="str">
        <x:v>各廠商合約&amp; 報價\MD檔案\20260401 全鑫 圍籬.md</x:v>
      </x:c>
    </x:row>
    <x:row r="1130">
      <x:c r="A1130" s="69" t="str">
        <x:v>ITEM01126</x:v>
      </x:c>
      <x:c r="B1130" s="69" t="str">
        <x:v>SRC071</x:v>
      </x:c>
      <x:c r="C1130" s="69" t="str">
        <x:v>2025-2026</x:v>
      </x:c>
      <x:c r="D1130" s="69" t="str">
        <x:v>detail</x:v>
      </x:c>
      <x:c r="E1130" s="69" t="str">
        <x:v>13</x:v>
      </x:c>
      <x:c r="F1130" s="71" t="str">
        <x:v>13</x:v>
      </x:c>
      <x:c r="G1130" s="71" t="str">
        <x:v>文件未載明</x:v>
      </x:c>
      <x:c r="H1130" s="71" t="str">
        <x:v>文件未載明</x:v>
      </x:c>
      <x:c r="I1130" s="72"/>
      <x:c r="J1130" s="69" t="str">
        <x:v>文件未載明</x:v>
      </x:c>
      <x:c r="K1130" s="70"/>
      <x:c r="L1130" s="69" t="str">
        <x:v>文件未載明</x:v>
      </x:c>
      <x:c r="M1130" s="70"/>
      <x:c r="N1130" s="69" t="str">
        <x:v>文件未載明</x:v>
      </x:c>
      <x:c r="O1130" s="71" t="str">
        <x:v>文件未載明</x:v>
      </x:c>
      <x:c r="P1130" s="71" t="str">
        <x:v>HTML table 1 row 14</x:v>
      </x:c>
      <x:c r="Q1130" s="71" t="str">
        <x:v>13 | | | | | |</x:v>
      </x:c>
      <x:c r="R1130" s="71" t="str">
        <x:v>各廠商合約&amp; 報價\MD檔案\20260401 全鑫 圍籬.md</x:v>
      </x:c>
    </x:row>
    <x:row r="1131">
      <x:c r="A1131" s="69" t="str">
        <x:v>ITEM01127</x:v>
      </x:c>
      <x:c r="B1131" s="69" t="str">
        <x:v>SRC071</x:v>
      </x:c>
      <x:c r="C1131" s="69" t="str">
        <x:v>2025-2026</x:v>
      </x:c>
      <x:c r="D1131" s="69" t="str">
        <x:v>detail</x:v>
      </x:c>
      <x:c r="E1131" s="69" t="str">
        <x:v>14</x:v>
      </x:c>
      <x:c r="F1131" s="71" t="str">
        <x:v>14</x:v>
      </x:c>
      <x:c r="G1131" s="71" t="str">
        <x:v>文件未載明</x:v>
      </x:c>
      <x:c r="H1131" s="71" t="str">
        <x:v>文件未載明</x:v>
      </x:c>
      <x:c r="I1131" s="72"/>
      <x:c r="J1131" s="69" t="str">
        <x:v>文件未載明</x:v>
      </x:c>
      <x:c r="K1131" s="70"/>
      <x:c r="L1131" s="69" t="str">
        <x:v>文件未載明</x:v>
      </x:c>
      <x:c r="M1131" s="70"/>
      <x:c r="N1131" s="69" t="str">
        <x:v>文件未載明</x:v>
      </x:c>
      <x:c r="O1131" s="71" t="str">
        <x:v>文件未載明</x:v>
      </x:c>
      <x:c r="P1131" s="71" t="str">
        <x:v>HTML table 1 row 15</x:v>
      </x:c>
      <x:c r="Q1131" s="71" t="str">
        <x:v>14 | | | | | |</x:v>
      </x:c>
      <x:c r="R1131" s="71" t="str">
        <x:v>各廠商合約&amp; 報價\MD檔案\20260401 全鑫 圍籬.md</x:v>
      </x:c>
    </x:row>
    <x:row r="1132">
      <x:c r="A1132" s="69" t="str">
        <x:v>ITEM01128</x:v>
      </x:c>
      <x:c r="B1132" s="69" t="str">
        <x:v>SRC071</x:v>
      </x:c>
      <x:c r="C1132" s="69" t="str">
        <x:v>2025-2026</x:v>
      </x:c>
      <x:c r="D1132" s="69" t="str">
        <x:v>detail</x:v>
      </x:c>
      <x:c r="E1132" s="69" t="str">
        <x:v>15</x:v>
      </x:c>
      <x:c r="F1132" s="71" t="str">
        <x:v>15</x:v>
      </x:c>
      <x:c r="G1132" s="71" t="str">
        <x:v>文件未載明</x:v>
      </x:c>
      <x:c r="H1132" s="71" t="str">
        <x:v>文件未載明</x:v>
      </x:c>
      <x:c r="I1132" s="72"/>
      <x:c r="J1132" s="69" t="str">
        <x:v>文件未載明</x:v>
      </x:c>
      <x:c r="K1132" s="70"/>
      <x:c r="L1132" s="69" t="str">
        <x:v>文件未載明</x:v>
      </x:c>
      <x:c r="M1132" s="70"/>
      <x:c r="N1132" s="69" t="str">
        <x:v>文件未載明</x:v>
      </x:c>
      <x:c r="O1132" s="71" t="str">
        <x:v>文件未載明</x:v>
      </x:c>
      <x:c r="P1132" s="71" t="str">
        <x:v>HTML table 1 row 16</x:v>
      </x:c>
      <x:c r="Q1132" s="71" t="str">
        <x:v>15 | | | | | |</x:v>
      </x:c>
      <x:c r="R1132" s="71" t="str">
        <x:v>各廠商合約&amp; 報價\MD檔案\20260401 全鑫 圍籬.md</x:v>
      </x:c>
    </x:row>
    <x:row r="1133">
      <x:c r="A1133" s="69" t="str">
        <x:v>ITEM01129</x:v>
      </x:c>
      <x:c r="B1133" s="69" t="str">
        <x:v>SRC071</x:v>
      </x:c>
      <x:c r="C1133" s="69" t="str">
        <x:v>2025-2026</x:v>
      </x:c>
      <x:c r="D1133" s="69" t="str">
        <x:v>detail</x:v>
      </x:c>
      <x:c r="E1133" s="69" t="str">
        <x:v>16</x:v>
      </x:c>
      <x:c r="F1133" s="71" t="str">
        <x:v>16</x:v>
      </x:c>
      <x:c r="G1133" s="71" t="str">
        <x:v>文件未載明</x:v>
      </x:c>
      <x:c r="H1133" s="71" t="str">
        <x:v>文件未載明</x:v>
      </x:c>
      <x:c r="I1133" s="72"/>
      <x:c r="J1133" s="69" t="str">
        <x:v>文件未載明</x:v>
      </x:c>
      <x:c r="K1133" s="70"/>
      <x:c r="L1133" s="69" t="str">
        <x:v>文件未載明</x:v>
      </x:c>
      <x:c r="M1133" s="70"/>
      <x:c r="N1133" s="69" t="str">
        <x:v>文件未載明</x:v>
      </x:c>
      <x:c r="O1133" s="71" t="str">
        <x:v>文件未載明</x:v>
      </x:c>
      <x:c r="P1133" s="71" t="str">
        <x:v>HTML table 1 row 17</x:v>
      </x:c>
      <x:c r="Q1133" s="71" t="str">
        <x:v>16 | | | | | |</x:v>
      </x:c>
      <x:c r="R1133" s="71" t="str">
        <x:v>各廠商合約&amp; 報價\MD檔案\20260401 全鑫 圍籬.md</x:v>
      </x:c>
    </x:row>
    <x:row r="1134">
      <x:c r="A1134" s="69" t="str">
        <x:v>ITEM01130</x:v>
      </x:c>
      <x:c r="B1134" s="69" t="str">
        <x:v>SRC071</x:v>
      </x:c>
      <x:c r="C1134" s="69" t="str">
        <x:v>2025-2026</x:v>
      </x:c>
      <x:c r="D1134" s="69" t="str">
        <x:v>detail</x:v>
      </x:c>
      <x:c r="E1134" s="69" t="str">
        <x:v>17</x:v>
      </x:c>
      <x:c r="F1134" s="71" t="str">
        <x:v>17</x:v>
      </x:c>
      <x:c r="G1134" s="71" t="str">
        <x:v>文件未載明</x:v>
      </x:c>
      <x:c r="H1134" s="71" t="str">
        <x:v>文件未載明</x:v>
      </x:c>
      <x:c r="I1134" s="72"/>
      <x:c r="J1134" s="69" t="str">
        <x:v>文件未載明</x:v>
      </x:c>
      <x:c r="K1134" s="70"/>
      <x:c r="L1134" s="69" t="str">
        <x:v>文件未載明</x:v>
      </x:c>
      <x:c r="M1134" s="70"/>
      <x:c r="N1134" s="69" t="str">
        <x:v>文件未載明</x:v>
      </x:c>
      <x:c r="O1134" s="71" t="str">
        <x:v>文件未載明</x:v>
      </x:c>
      <x:c r="P1134" s="71" t="str">
        <x:v>HTML table 1 row 18</x:v>
      </x:c>
      <x:c r="Q1134" s="71" t="str">
        <x:v>17 | | | | | |</x:v>
      </x:c>
      <x:c r="R1134" s="71" t="str">
        <x:v>各廠商合約&amp; 報價\MD檔案\20260401 全鑫 圍籬.md</x:v>
      </x:c>
    </x:row>
    <x:row r="1135">
      <x:c r="A1135" s="69" t="str">
        <x:v>ITEM01131</x:v>
      </x:c>
      <x:c r="B1135" s="69" t="str">
        <x:v>SRC071</x:v>
      </x:c>
      <x:c r="C1135" s="69" t="str">
        <x:v>2025-2026</x:v>
      </x:c>
      <x:c r="D1135" s="69" t="str">
        <x:v>detail</x:v>
      </x:c>
      <x:c r="E1135" s="69" t="str">
        <x:v>18</x:v>
      </x:c>
      <x:c r="F1135" s="71" t="str">
        <x:v>18</x:v>
      </x:c>
      <x:c r="G1135" s="71" t="str">
        <x:v>文件未載明</x:v>
      </x:c>
      <x:c r="H1135" s="71" t="str">
        <x:v>文件未載明</x:v>
      </x:c>
      <x:c r="I1135" s="72"/>
      <x:c r="J1135" s="69" t="str">
        <x:v>文件未載明</x:v>
      </x:c>
      <x:c r="K1135" s="70"/>
      <x:c r="L1135" s="69" t="str">
        <x:v>文件未載明</x:v>
      </x:c>
      <x:c r="M1135" s="70"/>
      <x:c r="N1135" s="69" t="str">
        <x:v>文件未載明</x:v>
      </x:c>
      <x:c r="O1135" s="71" t="str">
        <x:v>文件未載明</x:v>
      </x:c>
      <x:c r="P1135" s="71" t="str">
        <x:v>HTML table 1 row 19</x:v>
      </x:c>
      <x:c r="Q1135" s="71" t="str">
        <x:v>18 | | | | | |</x:v>
      </x:c>
      <x:c r="R1135" s="71" t="str">
        <x:v>各廠商合約&amp; 報價\MD檔案\20260401 全鑫 圍籬.md</x:v>
      </x:c>
    </x:row>
    <x:row r="1136">
      <x:c r="A1136" s="69" t="str">
        <x:v>ITEM01132</x:v>
      </x:c>
      <x:c r="B1136" s="69" t="str">
        <x:v>SRC071</x:v>
      </x:c>
      <x:c r="C1136" s="69" t="str">
        <x:v>2025-2026</x:v>
      </x:c>
      <x:c r="D1136" s="69" t="str">
        <x:v>detail</x:v>
      </x:c>
      <x:c r="E1136" s="69" t="str">
        <x:v>19</x:v>
      </x:c>
      <x:c r="F1136" s="71" t="str">
        <x:v>19</x:v>
      </x:c>
      <x:c r="G1136" s="71" t="str">
        <x:v>文件未載明</x:v>
      </x:c>
      <x:c r="H1136" s="71" t="str">
        <x:v>文件未載明</x:v>
      </x:c>
      <x:c r="I1136" s="72"/>
      <x:c r="J1136" s="69" t="str">
        <x:v>文件未載明</x:v>
      </x:c>
      <x:c r="K1136" s="70"/>
      <x:c r="L1136" s="69" t="str">
        <x:v>文件未載明</x:v>
      </x:c>
      <x:c r="M1136" s="70"/>
      <x:c r="N1136" s="69" t="str">
        <x:v>文件未載明</x:v>
      </x:c>
      <x:c r="O1136" s="71" t="str">
        <x:v>文件未載明</x:v>
      </x:c>
      <x:c r="P1136" s="71" t="str">
        <x:v>HTML table 1 row 20</x:v>
      </x:c>
      <x:c r="Q1136" s="71" t="str">
        <x:v>19 | | | | | |</x:v>
      </x:c>
      <x:c r="R1136" s="71" t="str">
        <x:v>各廠商合約&amp; 報價\MD檔案\20260401 全鑫 圍籬.md</x:v>
      </x:c>
    </x:row>
    <x:row r="1137">
      <x:c r="A1137" s="69" t="str">
        <x:v>ITEM01133</x:v>
      </x:c>
      <x:c r="B1137" s="69" t="str">
        <x:v>SRC071</x:v>
      </x:c>
      <x:c r="C1137" s="69" t="str">
        <x:v>2025-2026</x:v>
      </x:c>
      <x:c r="D1137" s="69" t="str">
        <x:v>detail</x:v>
      </x:c>
      <x:c r="E1137" s="69" t="str">
        <x:v>20</x:v>
      </x:c>
      <x:c r="F1137" s="71" t="str">
        <x:v>20</x:v>
      </x:c>
      <x:c r="G1137" s="71" t="str">
        <x:v>文件未載明</x:v>
      </x:c>
      <x:c r="H1137" s="71" t="str">
        <x:v>文件未載明</x:v>
      </x:c>
      <x:c r="I1137" s="72"/>
      <x:c r="J1137" s="69" t="str">
        <x:v>文件未載明</x:v>
      </x:c>
      <x:c r="K1137" s="70"/>
      <x:c r="L1137" s="69" t="str">
        <x:v>文件未載明</x:v>
      </x:c>
      <x:c r="M1137" s="70"/>
      <x:c r="N1137" s="69" t="str">
        <x:v>文件未載明</x:v>
      </x:c>
      <x:c r="O1137" s="71" t="str">
        <x:v>文件未載明</x:v>
      </x:c>
      <x:c r="P1137" s="71" t="str">
        <x:v>HTML table 1 row 21</x:v>
      </x:c>
      <x:c r="Q1137" s="71" t="str">
        <x:v>20 | | | | | |</x:v>
      </x:c>
      <x:c r="R1137" s="71" t="str">
        <x:v>各廠商合約&amp; 報價\MD檔案\20260401 全鑫 圍籬.md</x:v>
      </x:c>
    </x:row>
    <x:row r="1138">
      <x:c r="A1138" s="69" t="str">
        <x:v>ITEM01134</x:v>
      </x:c>
      <x:c r="B1138" s="69" t="str">
        <x:v>SRC071</x:v>
      </x:c>
      <x:c r="C1138" s="69" t="str">
        <x:v>2025-2026</x:v>
      </x:c>
      <x:c r="D1138" s="69" t="str">
        <x:v>detail</x:v>
      </x:c>
      <x:c r="E1138" s="69" t="str">
        <x:v>總額新台幣 佰 拾 萬 仟 佰 拾 元</x:v>
      </x:c>
      <x:c r="F1138" s="71" t="str">
        <x:v>總額新台幣 佰 拾 萬 仟 佰 拾 元</x:v>
      </x:c>
      <x:c r="G1138" s="71" t="str">
        <x:v>文件未載明</x:v>
      </x:c>
      <x:c r="H1138" s="71" t="str">
        <x:v>文件未載明</x:v>
      </x:c>
      <x:c r="I1138" s="72"/>
      <x:c r="J1138" s="69" t="str">
        <x:v>文件未載明</x:v>
      </x:c>
      <x:c r="K1138" s="70"/>
      <x:c r="L1138" s="69" t="str">
        <x:v>文件未載明</x:v>
      </x:c>
      <x:c r="M1138" s="70"/>
      <x:c r="N1138" s="69" t="str">
        <x:v>文件未載明</x:v>
      </x:c>
      <x:c r="O1138" s="71" t="str">
        <x:v>文件未載明</x:v>
      </x:c>
      <x:c r="P1138" s="71" t="str">
        <x:v>HTML table 1 row 23</x:v>
      </x:c>
      <x:c r="Q1138" s="71" t="str">
        <x:v>總額新台幣 佰 拾 萬 仟 佰 拾 元 |</x:v>
      </x:c>
      <x:c r="R1138" s="71" t="str">
        <x:v>各廠商合約&amp; 報價\MD檔案\20260401 全鑫 圍籬.md</x:v>
      </x:c>
    </x:row>
    <x:row r="1139">
      <x:c r="A1139" s="69" t="str">
        <x:v>ITEM01135</x:v>
      </x:c>
      <x:c r="B1139" s="69" t="str">
        <x:v>SRC072</x:v>
      </x:c>
      <x:c r="C1139" s="69" t="str">
        <x:v>2025-2026</x:v>
      </x:c>
      <x:c r="D1139" s="69" t="str">
        <x:v>detail</x:v>
      </x:c>
      <x:c r="E1139" s="69" t="str">
        <x:v>文件未載明</x:v>
      </x:c>
      <x:c r="F1139" s="71" t="str">
        <x:v>客戶廠商:向上建設股份有限公司</x:v>
      </x:c>
      <x:c r="G1139" s="71" t="str">
        <x:v>文件未載明</x:v>
      </x:c>
      <x:c r="H1139" s="71" t="str">
        <x:v>文件未載明</x:v>
      </x:c>
      <x:c r="I1139" s="72"/>
      <x:c r="J1139" s="69" t="str">
        <x:v>文件未載明</x:v>
      </x:c>
      <x:c r="K1139" s="70"/>
      <x:c r="L1139" s="69" t="str">
        <x:v>文件未載明</x:v>
      </x:c>
      <x:c r="M1139" s="70"/>
      <x:c r="N1139" s="69" t="str">
        <x:v>文件未載明</x:v>
      </x:c>
      <x:c r="O1139" s="71" t="str">
        <x:v>文件未載明</x:v>
      </x:c>
      <x:c r="P1139" s="71" t="str">
        <x:v>HTML table 1 row 1</x:v>
      </x:c>
      <x:c r="Q1139" s="71" t="str">
        <x:v>客戶廠商:向上建設股份有限公司 | 施工地點:高鐵附近(新東路116號旁)</x:v>
      </x:c>
      <x:c r="R1139" s="71" t="str">
        <x:v>各廠商合約&amp; 報價\MD檔案\20260402花台磚.md</x:v>
      </x:c>
    </x:row>
    <x:row r="1140">
      <x:c r="A1140" s="69" t="str">
        <x:v>ITEM01136</x:v>
      </x:c>
      <x:c r="B1140" s="69" t="str">
        <x:v>SRC072</x:v>
      </x:c>
      <x:c r="C1140" s="69" t="str">
        <x:v>2025-2026</x:v>
      </x:c>
      <x:c r="D1140" s="69" t="str">
        <x:v>summary</x:v>
      </x:c>
      <x:c r="E1140" s="69" t="str">
        <x:v>文件未載明</x:v>
      </x:c>
      <x:c r="F1140" s="71" t="str">
        <x:v>工程名稱:圍牆施工</x:v>
      </x:c>
      <x:c r="G1140" s="71" t="str">
        <x:v>文件未載明</x:v>
      </x:c>
      <x:c r="H1140" s="71" t="str">
        <x:v>文件未載明</x:v>
      </x:c>
      <x:c r="I1140" s="72"/>
      <x:c r="J1140" s="69" t="str">
        <x:v>文件未載明</x:v>
      </x:c>
      <x:c r="K1140" s="70"/>
      <x:c r="L1140" s="69" t="str">
        <x:v>文件未載明</x:v>
      </x:c>
      <x:c r="M1140" s="70"/>
      <x:c r="N1140" s="69" t="str">
        <x:v>文件未載明</x:v>
      </x:c>
      <x:c r="O1140" s="71" t="str">
        <x:v>文件未載明</x:v>
      </x:c>
      <x:c r="P1140" s="71" t="str">
        <x:v>HTML table 1 row 2</x:v>
      </x:c>
      <x:c r="Q1140" s="71" t="str">
        <x:v>工程名稱:圍牆施工 | 使用材料: | V | 百歲磚(1式21000元未稅)</x:v>
      </x:c>
      <x:c r="R1140" s="71" t="str">
        <x:v>各廠商合約&amp; 報價\MD檔案\20260402花台磚.md</x:v>
      </x:c>
    </x:row>
    <x:row r="1141">
      <x:c r="A1141" s="69" t="str">
        <x:v>ITEM01137</x:v>
      </x:c>
      <x:c r="B1141" s="69" t="str">
        <x:v>SRC072</x:v>
      </x:c>
      <x:c r="C1141" s="69" t="str">
        <x:v>2025-2026</x:v>
      </x:c>
      <x:c r="D1141" s="69" t="str">
        <x:v>summary</x:v>
      </x:c>
      <x:c r="E1141" s="69" t="str">
        <x:v>V</x:v>
      </x:c>
      <x:c r="F1141" s="71" t="str">
        <x:v>V</x:v>
      </x:c>
      <x:c r="G1141" s="71" t="str">
        <x:v>文件未載明</x:v>
      </x:c>
      <x:c r="H1141" s="71" t="str">
        <x:v>文件未載明</x:v>
      </x:c>
      <x:c r="I1141" s="72"/>
      <x:c r="J1141" s="69" t="str">
        <x:v>文件未載明</x:v>
      </x:c>
      <x:c r="K1141" s="70"/>
      <x:c r="L1141" s="69" t="str">
        <x:v>文件未載明</x:v>
      </x:c>
      <x:c r="M1141" s="70"/>
      <x:c r="N1141" s="69" t="str">
        <x:v>文件未載明</x:v>
      </x:c>
      <x:c r="O1141" s="71" t="str">
        <x:v>文件未載明</x:v>
      </x:c>
      <x:c r="P1141" s="71" t="str">
        <x:v>HTML table 1 row 3</x:v>
      </x:c>
      <x:c r="Q1141" s="71" t="str">
        <x:v>V | 切面磚(1式22000元未稅)</x:v>
      </x:c>
      <x:c r="R1141" s="71" t="str">
        <x:v>各廠商合約&amp; 報價\MD檔案\20260402花台磚.md</x:v>
      </x:c>
    </x:row>
    <x:row r="1142">
      <x:c r="A1142" s="69" t="str">
        <x:v>ITEM01138</x:v>
      </x:c>
      <x:c r="B1142" s="69" t="str">
        <x:v>SRC072</x:v>
      </x:c>
      <x:c r="C1142" s="69" t="str">
        <x:v>2025-2026</x:v>
      </x:c>
      <x:c r="D1142" s="69" t="str">
        <x:v>detail</x:v>
      </x:c>
      <x:c r="E1142" s="69" t="str">
        <x:v>文件未載明</x:v>
      </x:c>
      <x:c r="F1142" s="71" t="str">
        <x:v>一、施工範圍:基礎與施工前之任何障礙物清理,由工地負責。進料之運輸,以板車能到,堆高機在50公尺內為原則(二次搬運不在估價內);如有推磚太遠或施工難度較高,酌情貼補工資。施工高度由業主自訂,如需搭架由工地提供,高度超過2M或施工難度高者,酌增收工資補貼費用。初估丈量尺寸:長15.6m、高50cm(含帽沿)計價。水泥砂及…（詳原文索引）</x:v>
      </x:c>
      <x:c r="G1142" s="71" t="str">
        <x:v>文件未載明</x:v>
      </x:c>
      <x:c r="H1142" s="71" t="str">
        <x:v>文件未載明</x:v>
      </x:c>
      <x:c r="I1142" s="72"/>
      <x:c r="J1142" s="69" t="str">
        <x:v>文件未載明</x:v>
      </x:c>
      <x:c r="K1142" s="70"/>
      <x:c r="L1142" s="69" t="str">
        <x:v>文件未載明</x:v>
      </x:c>
      <x:c r="M1142" s="70"/>
      <x:c r="N1142" s="69" t="str">
        <x:v>文件未載明</x:v>
      </x:c>
      <x:c r="O1142" s="71" t="str">
        <x:v>文件未載明</x:v>
      </x:c>
      <x:c r="P1142" s="71" t="str">
        <x:v>HTML table 1 row 4</x:v>
      </x:c>
      <x:c r="Q1142" s="71" t="str">
        <x:v>一、施工範圍:基礎與施工前之任何障礙物清理,由工地負責。進料之運輸,以板車能到,堆高機在50公尺內為原則(二次搬運不在估價內);如有推磚太遠或施工難度較高,酌情貼補工資。施工高度由業主自訂,如需搭架由工地提供,高度超過2M或施工難度高者,酌增收工資補貼費用。初估丈量尺寸:長15.6m、高50cm(含帽沿)計價。水泥砂及由業主現場無價供應。水電由業主提供(需就近提供)無價供應。此報價依現場初估範圍內計價.如有增加數量工資及材料價格亦會增加。如因現場變更施做造成工時延誤時.需另貼補工資。</x:v>
      </x:c>
      <x:c r="R1142" s="71" t="str">
        <x:v>各廠商合約&amp; 報價\MD檔案\20260402花台磚.md</x:v>
      </x:c>
    </x:row>
    <x:row r="1143">
      <x:c r="A1143" s="69" t="str">
        <x:v>ITEM01139</x:v>
      </x:c>
      <x:c r="B1143" s="69" t="str">
        <x:v>SRC072</x:v>
      </x:c>
      <x:c r="C1143" s="69" t="str">
        <x:v>2025-2026</x:v>
      </x:c>
      <x:c r="D1143" s="69" t="str">
        <x:v>detail</x:v>
      </x:c>
      <x:c r="E1143" s="69" t="str">
        <x:v>文件未載明</x:v>
      </x:c>
      <x:c r="F1143" s="71" t="str">
        <x:v>二、施工方式:</x:v>
      </x:c>
      <x:c r="G1143" s="71" t="str">
        <x:v>文件未載明</x:v>
      </x:c>
      <x:c r="H1143" s="71" t="str">
        <x:v>文件未載明</x:v>
      </x:c>
      <x:c r="I1143" s="72"/>
      <x:c r="J1143" s="69" t="str">
        <x:v>文件未載明</x:v>
      </x:c>
      <x:c r="K1143" s="70"/>
      <x:c r="L1143" s="69" t="str">
        <x:v>文件未載明</x:v>
      </x:c>
      <x:c r="M1143" s="70"/>
      <x:c r="N1143" s="69" t="str">
        <x:v>文件未載明</x:v>
      </x:c>
      <x:c r="O1143" s="71" t="str">
        <x:v>文件未載明</x:v>
      </x:c>
      <x:c r="P1143" s="71" t="str">
        <x:v>HTML table 1 row 5</x:v>
      </x:c>
      <x:c r="Q1143" s="71" t="str">
        <x:v>二、施工方式:</x:v>
      </x:c>
      <x:c r="R1143" s="71" t="str">
        <x:v>各廠商合約&amp; 報價\MD檔案\20260402花台磚.md</x:v>
      </x:c>
    </x:row>
    <x:row r="1144">
      <x:c r="A1144" s="69" t="str">
        <x:v>ITEM01140</x:v>
      </x:c>
      <x:c r="B1144" s="69" t="str">
        <x:v>SRC072</x:v>
      </x:c>
      <x:c r="C1144" s="69" t="str">
        <x:v>2025-2026</x:v>
      </x:c>
      <x:c r="D1144" s="69" t="str">
        <x:v>summary</x:v>
      </x:c>
      <x:c r="E1144" s="69" t="str">
        <x:v>文件未載明</x:v>
      </x:c>
      <x:c r="F1144" s="71" t="str">
        <x:v>1. V 圍牆/花台施工,百歲磚本色1式/21000元,切面磚本色1式/22000元,★不含水泥砂、不含鐵、不含植筋膠(不含稅金),兩種磚二擇一。圖牆施工,牆與柱分開計數,40*40柱仔量四面即1.6*高度,每層帽磚加10cm(40*20柱仔量四面即1.2*高度,帽磚不加10cm);墙面長*高,帽磚加10cm計數。施工…（詳原文索引）</x:v>
      </x:c>
      <x:c r="G1144" s="71" t="str">
        <x:v>文件未載明</x:v>
      </x:c>
      <x:c r="H1144" s="71" t="str">
        <x:v>文件未載明</x:v>
      </x:c>
      <x:c r="I1144" s="72"/>
      <x:c r="J1144" s="69" t="str">
        <x:v>文件未載明</x:v>
      </x:c>
      <x:c r="K1144" s="70"/>
      <x:c r="L1144" s="69" t="str">
        <x:v>文件未載明</x:v>
      </x:c>
      <x:c r="M1144" s="70"/>
      <x:c r="N1144" s="69" t="str">
        <x:v>文件未載明</x:v>
      </x:c>
      <x:c r="O1144" s="71" t="str">
        <x:v>文件未載明</x:v>
      </x:c>
      <x:c r="P1144" s="71" t="str">
        <x:v>HTML table 1 row 6</x:v>
      </x:c>
      <x:c r="Q1144" s="71" t="str">
        <x:v>1. V 圍牆/花台施工,百歲磚本色1式/21000元,切面磚本色1式/22000元,★不含水泥砂、不含鐵、不含植筋膠(不含稅金),兩種磚二擇一。圖牆施工,牆與柱分開計數,40*40柱仔量四面即1.6*高度,每層帽磚加10cm(40*20柱仔量四面即1.2*高度,帽磚不加10cm);墙面長*高,帽磚加10cm計數。施工如需灌漿,灌柱另計★不含水泥砂★不含植筋膠鋼筋由基礎施工時植入,如加植鋼筋,酌情增加費用(高度以1.5M為標準)。工程進行中如有發現不合施工要求,請即刻指正改進,以免完成後修改之困擾(如有上述情形,一切費用由業主負責)。圖牆施工以本色為主,黑色、紅色及其他顏色M2/加20元。加特…（詳原文索引）</x:v>
      </x:c>
      <x:c r="R1144" s="71" t="str">
        <x:v>各廠商合約&amp; 報價\MD檔案\20260402花台磚.md</x:v>
      </x:c>
    </x:row>
    <x:row r="1145">
      <x:c r="A1145" s="69" t="str">
        <x:v>ITEM01141</x:v>
      </x:c>
      <x:c r="B1145" s="69" t="str">
        <x:v>SRC072</x:v>
      </x:c>
      <x:c r="C1145" s="69" t="str">
        <x:v>2025-2026</x:v>
      </x:c>
      <x:c r="D1145" s="69" t="str">
        <x:v>detail</x:v>
      </x:c>
      <x:c r="E1145" s="69" t="str">
        <x:v>文件未載明</x:v>
      </x:c>
      <x:c r="F1145" s="71" t="str">
        <x:v>PS: 圍牆一律實做實算實量。</x:v>
      </x:c>
      <x:c r="G1145" s="71" t="str">
        <x:v>文件未載明</x:v>
      </x:c>
      <x:c r="H1145" s="71" t="str">
        <x:v>文件未載明</x:v>
      </x:c>
      <x:c r="I1145" s="72"/>
      <x:c r="J1145" s="69" t="str">
        <x:v>文件未載明</x:v>
      </x:c>
      <x:c r="K1145" s="70"/>
      <x:c r="L1145" s="69" t="str">
        <x:v>文件未載明</x:v>
      </x:c>
      <x:c r="M1145" s="70"/>
      <x:c r="N1145" s="69" t="str">
        <x:v>文件未載明</x:v>
      </x:c>
      <x:c r="O1145" s="71" t="str">
        <x:v>文件未載明</x:v>
      </x:c>
      <x:c r="P1145" s="71" t="str">
        <x:v>HTML table 1 row 7</x:v>
      </x:c>
      <x:c r="Q1145" s="71" t="str">
        <x:v>PS: 圍牆一律實做實算實量。</x:v>
      </x:c>
      <x:c r="R1145" s="71" t="str">
        <x:v>各廠商合約&amp; 報價\MD檔案\20260402花台磚.md</x:v>
      </x:c>
    </x:row>
    <x:row r="1146">
      <x:c r="A1146" s="69" t="str">
        <x:v>ITEM01142</x:v>
      </x:c>
      <x:c r="B1146" s="69" t="str">
        <x:v>SRC072</x:v>
      </x:c>
      <x:c r="C1146" s="69" t="str">
        <x:v>2025-2026</x:v>
      </x:c>
      <x:c r="D1146" s="69" t="str">
        <x:v>detail</x:v>
      </x:c>
      <x:c r="E1146" s="69" t="str">
        <x:v>文件未載明</x:v>
      </x:c>
      <x:c r="F1146" s="71" t="str">
        <x:v>注意:圍牆磚本色皆為水泥砂顏色,因不同批水泥砂製做.磚本就會有些許色差皆屬正常範圍內請勿見怪,謝謝。</x:v>
      </x:c>
      <x:c r="G1146" s="71" t="str">
        <x:v>文件未載明</x:v>
      </x:c>
      <x:c r="H1146" s="71" t="str">
        <x:v>文件未載明</x:v>
      </x:c>
      <x:c r="I1146" s="72"/>
      <x:c r="J1146" s="69" t="str">
        <x:v>文件未載明</x:v>
      </x:c>
      <x:c r="K1146" s="70"/>
      <x:c r="L1146" s="69" t="str">
        <x:v>文件未載明</x:v>
      </x:c>
      <x:c r="M1146" s="70"/>
      <x:c r="N1146" s="69" t="str">
        <x:v>文件未載明</x:v>
      </x:c>
      <x:c r="O1146" s="71" t="str">
        <x:v>文件未載明</x:v>
      </x:c>
      <x:c r="P1146" s="71" t="str">
        <x:v>HTML table 1 row 8</x:v>
      </x:c>
      <x:c r="Q1146" s="71" t="str">
        <x:v>注意:圍牆磚本色皆為水泥砂顏色,因不同批水泥砂製做.磚本就會有些許色差皆屬正常範圍內請勿見怪,謝謝。</x:v>
      </x:c>
      <x:c r="R1146" s="71" t="str">
        <x:v>各廠商合約&amp; 報價\MD檔案\20260402花台磚.md</x:v>
      </x:c>
    </x:row>
    <x:row r="1147">
      <x:c r="A1147" s="69" t="str">
        <x:v>ITEM01143</x:v>
      </x:c>
      <x:c r="B1147" s="69" t="str">
        <x:v>SRC072</x:v>
      </x:c>
      <x:c r="C1147" s="69" t="str">
        <x:v>2025-2026</x:v>
      </x:c>
      <x:c r="D1147" s="69" t="str">
        <x:v>note</x:v>
      </x:c>
      <x:c r="E1147" s="69" t="str">
        <x:v>文件未載明</x:v>
      </x:c>
      <x:c r="F1147" s="71" t="str">
        <x:v>※此報價單以10日期限內有效.如超過期限請重新報價.造成不便敬請見諒.謝謝。</x:v>
      </x:c>
      <x:c r="G1147" s="71" t="str">
        <x:v>文件未載明</x:v>
      </x:c>
      <x:c r="H1147" s="71" t="str">
        <x:v>文件未載明</x:v>
      </x:c>
      <x:c r="I1147" s="72"/>
      <x:c r="J1147" s="69" t="str">
        <x:v>文件未載明</x:v>
      </x:c>
      <x:c r="K1147" s="70"/>
      <x:c r="L1147" s="69" t="str">
        <x:v>文件未載明</x:v>
      </x:c>
      <x:c r="M1147" s="70"/>
      <x:c r="N1147" s="69" t="str">
        <x:v>文件未載明</x:v>
      </x:c>
      <x:c r="O1147" s="71" t="str">
        <x:v>文件未載明</x:v>
      </x:c>
      <x:c r="P1147" s="71" t="str">
        <x:v>HTML table 1 row 9</x:v>
      </x:c>
      <x:c r="Q1147" s="71" t="str">
        <x:v>※此報價單以10日期限內有效.如超過期限請重新報價.造成不便敬請見諒.謝謝。</x:v>
      </x:c>
      <x:c r="R1147" s="71" t="str">
        <x:v>各廠商合約&amp; 報價\MD檔案\20260402花台磚.md</x:v>
      </x:c>
    </x:row>
    <x:row r="1148">
      <x:c r="A1148" s="69" t="str">
        <x:v>ITEM01144</x:v>
      </x:c>
      <x:c r="B1148" s="69" t="str">
        <x:v>SRC072</x:v>
      </x:c>
      <x:c r="C1148" s="69" t="str">
        <x:v>2025-2026</x:v>
      </x:c>
      <x:c r="D1148" s="69" t="str">
        <x:v>note</x:v>
      </x:c>
      <x:c r="E1148" s="69" t="str">
        <x:v>文件未載明</x:v>
      </x:c>
      <x:c r="F1148" s="71" t="str">
        <x:v>三、付款方式:施工完成後.配合當月請款.可現金可匯款.若開立支票(票日請開請款當月算起20日內).敬請配合.謝謝。(現金不折扣)請全額支付,零保留。</x:v>
      </x:c>
      <x:c r="G1148" s="71" t="str">
        <x:v>文件未載明</x:v>
      </x:c>
      <x:c r="H1148" s="71" t="str">
        <x:v>文件未載明</x:v>
      </x:c>
      <x:c r="I1148" s="72"/>
      <x:c r="J1148" s="69" t="str">
        <x:v>文件未載明</x:v>
      </x:c>
      <x:c r="K1148" s="70"/>
      <x:c r="L1148" s="69" t="str">
        <x:v>文件未載明</x:v>
      </x:c>
      <x:c r="M1148" s="70"/>
      <x:c r="N1148" s="69" t="str">
        <x:v>文件未載明</x:v>
      </x:c>
      <x:c r="O1148" s="71" t="str">
        <x:v>文件未載明</x:v>
      </x:c>
      <x:c r="P1148" s="71" t="str">
        <x:v>HTML table 1 row 10</x:v>
      </x:c>
      <x:c r="Q1148" s="71" t="str">
        <x:v>三、付款方式:施工完成後.配合當月請款.可現金可匯款.若開立支票(票日請開請款當月算起20日內).敬請配合.謝謝。(現金不折扣)請全額支付,零保留。</x:v>
      </x:c>
      <x:c r="R1148" s="71" t="str">
        <x:v>各廠商合約&amp; 報價\MD檔案\20260402花台磚.md</x:v>
      </x:c>
    </x:row>
    <x:row r="1149">
      <x:c r="A1149" s="69" t="str">
        <x:v>ITEM01145</x:v>
      </x:c>
      <x:c r="B1149" s="69" t="str">
        <x:v>SRC072</x:v>
      </x:c>
      <x:c r="C1149" s="69" t="str">
        <x:v>2025-2026</x:v>
      </x:c>
      <x:c r="D1149" s="69" t="str">
        <x:v>summary</x:v>
      </x:c>
      <x:c r="E1149" s="69" t="str">
        <x:v>文件未載明</x:v>
      </x:c>
      <x:c r="F1149" s="71" t="str">
        <x:v>*施工數量以施工完畢數量為準。以上報價皆不含稅金。*此報價單為初估參考數量.不可當作施工完成數量.需以施工完畢後實際數量為準。備註:請確認無誤後簽章回傳.方可盡快為貴公司安排施工事宜.謝謝。</x:v>
      </x:c>
      <x:c r="G1149" s="71" t="str">
        <x:v>文件未載明</x:v>
      </x:c>
      <x:c r="H1149" s="71" t="str">
        <x:v>文件未載明</x:v>
      </x:c>
      <x:c r="I1149" s="72"/>
      <x:c r="J1149" s="69" t="str">
        <x:v>文件未載明</x:v>
      </x:c>
      <x:c r="K1149" s="70"/>
      <x:c r="L1149" s="69" t="str">
        <x:v>文件未載明</x:v>
      </x:c>
      <x:c r="M1149" s="70"/>
      <x:c r="N1149" s="69" t="str">
        <x:v>文件未載明</x:v>
      </x:c>
      <x:c r="O1149" s="71" t="str">
        <x:v>文件未載明</x:v>
      </x:c>
      <x:c r="P1149" s="71" t="str">
        <x:v>HTML table 1 row 11</x:v>
      </x:c>
      <x:c r="Q1149" s="71" t="str">
        <x:v>*施工數量以施工完畢數量為準。以上報價皆不含稅金。*此報價單為初估參考數量.不可當作施工完成數量.需以施工完畢後實際數量為準。備註:請確認無誤後簽章回傳.方可盡快為貴公司安排施工事宜.謝謝。</x:v>
      </x:c>
      <x:c r="R1149" s="71" t="str">
        <x:v>各廠商合約&amp; 報價\MD檔案\20260402花台磚.md</x:v>
      </x:c>
    </x:row>
    <x:row r="1150">
      <x:c r="A1150" s="69" t="str">
        <x:v>ITEM01146</x:v>
      </x:c>
      <x:c r="B1150" s="69" t="str">
        <x:v>SRC072</x:v>
      </x:c>
      <x:c r="C1150" s="69" t="str">
        <x:v>2025-2026</x:v>
      </x:c>
      <x:c r="D1150" s="69" t="str">
        <x:v>detail</x:v>
      </x:c>
      <x:c r="E1150" s="69" t="str">
        <x:v>文件未載明</x:v>
      </x:c>
      <x:c r="F1150" s="71" t="str">
        <x:v>甲方</x:v>
      </x:c>
      <x:c r="G1150" s="71" t="str">
        <x:v>文件未載明</x:v>
      </x:c>
      <x:c r="H1150" s="71" t="str">
        <x:v>文件未載明</x:v>
      </x:c>
      <x:c r="I1150" s="72"/>
      <x:c r="J1150" s="69" t="str">
        <x:v>文件未載明</x:v>
      </x:c>
      <x:c r="K1150" s="70"/>
      <x:c r="L1150" s="69" t="str">
        <x:v>文件未載明</x:v>
      </x:c>
      <x:c r="M1150" s="70"/>
      <x:c r="N1150" s="69" t="str">
        <x:v>文件未載明</x:v>
      </x:c>
      <x:c r="O1150" s="71" t="str">
        <x:v>文件未載明</x:v>
      </x:c>
      <x:c r="P1150" s="71" t="str">
        <x:v>HTML table 1 row 12</x:v>
      </x:c>
      <x:c r="Q1150" s="71" t="str">
        <x:v>甲方 | 乙方</x:v>
      </x:c>
      <x:c r="R1150" s="71" t="str">
        <x:v>各廠商合約&amp; 報價\MD檔案\20260402花台磚.md</x:v>
      </x:c>
    </x:row>
    <x:row r="1151">
      <x:c r="A1151" s="69" t="str">
        <x:v>ITEM01147</x:v>
      </x:c>
      <x:c r="B1151" s="69" t="str">
        <x:v>SRC072</x:v>
      </x:c>
      <x:c r="C1151" s="69" t="str">
        <x:v>2025-2026</x:v>
      </x:c>
      <x:c r="D1151" s="69" t="str">
        <x:v>party</x:v>
      </x:c>
      <x:c r="E1151" s="69" t="str">
        <x:v>文件未載明</x:v>
      </x:c>
      <x:c r="F1151" s="71" t="str">
        <x:v>公司名稱:智慧城企業有限公司負責人:陳明駿</x:v>
      </x:c>
      <x:c r="G1151" s="71" t="str">
        <x:v>文件未載明</x:v>
      </x:c>
      <x:c r="H1151" s="71" t="str">
        <x:v>文件未載明</x:v>
      </x:c>
      <x:c r="I1151" s="72"/>
      <x:c r="J1151" s="69" t="str">
        <x:v>文件未載明</x:v>
      </x:c>
      <x:c r="K1151" s="70"/>
      <x:c r="L1151" s="69" t="str">
        <x:v>文件未載明</x:v>
      </x:c>
      <x:c r="M1151" s="70"/>
      <x:c r="N1151" s="69" t="str">
        <x:v>文件未載明</x:v>
      </x:c>
      <x:c r="O1151" s="71" t="str">
        <x:v>文件未載明</x:v>
      </x:c>
      <x:c r="P1151" s="71" t="str">
        <x:v>HTML table 1 row 13</x:v>
      </x:c>
      <x:c r="Q1151" s="71" t="str">
        <x:v>公司名稱:智慧城企業有限公司負責人:陳明駿 | 公司名稱:負責人:</x:v>
      </x:c>
      <x:c r="R1151" s="71" t="str">
        <x:v>各廠商合約&amp; 報價\MD檔案\20260402花台磚.md</x:v>
      </x:c>
    </x:row>
    <x:row r="1152">
      <x:c r="A1152" s="69" t="str">
        <x:v>ITEM01148</x:v>
      </x:c>
      <x:c r="B1152" s="69" t="str">
        <x:v>SRC073</x:v>
      </x:c>
      <x:c r="C1152" s="69" t="str">
        <x:v>2025-2026</x:v>
      </x:c>
      <x:c r="D1152" s="69" t="str">
        <x:v>detail</x:v>
      </x:c>
      <x:c r="E1152" s="69" t="str">
        <x:v>文件未載明</x:v>
      </x:c>
      <x:c r="F1152" s="71" t="str">
        <x:v>客戶廠商:向上建設股份有限公司</x:v>
      </x:c>
      <x:c r="G1152" s="71" t="str">
        <x:v>文件未載明</x:v>
      </x:c>
      <x:c r="H1152" s="71" t="str">
        <x:v>文件未載明</x:v>
      </x:c>
      <x:c r="I1152" s="72"/>
      <x:c r="J1152" s="69" t="str">
        <x:v>文件未載明</x:v>
      </x:c>
      <x:c r="K1152" s="70"/>
      <x:c r="L1152" s="69" t="str">
        <x:v>文件未載明</x:v>
      </x:c>
      <x:c r="M1152" s="70"/>
      <x:c r="N1152" s="69" t="str">
        <x:v>文件未載明</x:v>
      </x:c>
      <x:c r="O1152" s="71" t="str">
        <x:v>文件未載明</x:v>
      </x:c>
      <x:c r="P1152" s="71" t="str">
        <x:v>HTML table 1 row 1</x:v>
      </x:c>
      <x:c r="Q1152" s="71" t="str">
        <x:v>客戶廠商:向上建設股份有限公司 | 施工地點:高鐵附近(新東路116號旁)</x:v>
      </x:c>
      <x:c r="R1152" s="71" t="str">
        <x:v>各廠商合約&amp; 報價\MD檔案\20260408 智慧城 花台磚.md</x:v>
      </x:c>
    </x:row>
    <x:row r="1153">
      <x:c r="A1153" s="69" t="str">
        <x:v>ITEM01149</x:v>
      </x:c>
      <x:c r="B1153" s="69" t="str">
        <x:v>SRC073</x:v>
      </x:c>
      <x:c r="C1153" s="69" t="str">
        <x:v>2025-2026</x:v>
      </x:c>
      <x:c r="D1153" s="69" t="str">
        <x:v>summary</x:v>
      </x:c>
      <x:c r="E1153" s="69" t="str">
        <x:v>文件未載明</x:v>
      </x:c>
      <x:c r="F1153" s="71" t="str">
        <x:v>工程名稱:圍牆施工</x:v>
      </x:c>
      <x:c r="G1153" s="71" t="str">
        <x:v>文件未載明</x:v>
      </x:c>
      <x:c r="H1153" s="71" t="str">
        <x:v>文件未載明</x:v>
      </x:c>
      <x:c r="I1153" s="72"/>
      <x:c r="J1153" s="69" t="str">
        <x:v>文件未載明</x:v>
      </x:c>
      <x:c r="K1153" s="70"/>
      <x:c r="L1153" s="69" t="str">
        <x:v>文件未載明</x:v>
      </x:c>
      <x:c r="M1153" s="70"/>
      <x:c r="N1153" s="69" t="str">
        <x:v>文件未載明</x:v>
      </x:c>
      <x:c r="O1153" s="71" t="str">
        <x:v>文件未載明</x:v>
      </x:c>
      <x:c r="P1153" s="71" t="str">
        <x:v>HTML table 1 row 2</x:v>
      </x:c>
      <x:c r="Q1153" s="71" t="str">
        <x:v>工程名稱:圍牆施工 | 使用材料: | V | 百歲磚(1式21000元未稅)</x:v>
      </x:c>
      <x:c r="R1153" s="71" t="str">
        <x:v>各廠商合約&amp; 報價\MD檔案\20260408 智慧城 花台磚.md</x:v>
      </x:c>
    </x:row>
    <x:row r="1154">
      <x:c r="A1154" s="69" t="str">
        <x:v>ITEM01150</x:v>
      </x:c>
      <x:c r="B1154" s="69" t="str">
        <x:v>SRC073</x:v>
      </x:c>
      <x:c r="C1154" s="69" t="str">
        <x:v>2025-2026</x:v>
      </x:c>
      <x:c r="D1154" s="69" t="str">
        <x:v>summary</x:v>
      </x:c>
      <x:c r="E1154" s="69" t="str">
        <x:v>V</x:v>
      </x:c>
      <x:c r="F1154" s="71" t="str">
        <x:v>V</x:v>
      </x:c>
      <x:c r="G1154" s="71" t="str">
        <x:v>文件未載明</x:v>
      </x:c>
      <x:c r="H1154" s="71" t="str">
        <x:v>文件未載明</x:v>
      </x:c>
      <x:c r="I1154" s="72"/>
      <x:c r="J1154" s="69" t="str">
        <x:v>文件未載明</x:v>
      </x:c>
      <x:c r="K1154" s="70"/>
      <x:c r="L1154" s="69" t="str">
        <x:v>文件未載明</x:v>
      </x:c>
      <x:c r="M1154" s="70"/>
      <x:c r="N1154" s="69" t="str">
        <x:v>文件未載明</x:v>
      </x:c>
      <x:c r="O1154" s="71" t="str">
        <x:v>文件未載明</x:v>
      </x:c>
      <x:c r="P1154" s="71" t="str">
        <x:v>HTML table 1 row 3</x:v>
      </x:c>
      <x:c r="Q1154" s="71" t="str">
        <x:v>V | 切面磚(1式22000元未稅)</x:v>
      </x:c>
      <x:c r="R1154" s="71" t="str">
        <x:v>各廠商合約&amp; 報價\MD檔案\20260408 智慧城 花台磚.md</x:v>
      </x:c>
    </x:row>
    <x:row r="1155">
      <x:c r="A1155" s="69" t="str">
        <x:v>ITEM01151</x:v>
      </x:c>
      <x:c r="B1155" s="69" t="str">
        <x:v>SRC073</x:v>
      </x:c>
      <x:c r="C1155" s="69" t="str">
        <x:v>2025-2026</x:v>
      </x:c>
      <x:c r="D1155" s="69" t="str">
        <x:v>detail</x:v>
      </x:c>
      <x:c r="E1155" s="69" t="str">
        <x:v>文件未載明</x:v>
      </x:c>
      <x:c r="F1155" s="71" t="str">
        <x:v>一.施工範圍:1.V基礎與施工前之任何障礙物清理、由工地負責。2.V進料之運輸、以板車能到,堆高機在50公尺內為原則(二次搬運不在估價內):如有推磚大道或施工难度較高,酌情貼補工資。請加工或施工需要作業,如推磚有中土地提用,高度超過圖,施工和工事。</x:v>
      </x:c>
      <x:c r="G1155" s="71" t="str">
        <x:v>文件未載明</x:v>
      </x:c>
      <x:c r="H1155" s="71" t="str">
        <x:v>文件未載明</x:v>
      </x:c>
      <x:c r="I1155" s="72"/>
      <x:c r="J1155" s="69" t="str">
        <x:v>文件未載明</x:v>
      </x:c>
      <x:c r="K1155" s="70"/>
      <x:c r="L1155" s="69" t="str">
        <x:v>文件未載明</x:v>
      </x:c>
      <x:c r="M1155" s="70"/>
      <x:c r="N1155" s="69" t="str">
        <x:v>文件未載明</x:v>
      </x:c>
      <x:c r="O1155" s="71" t="str">
        <x:v>文件未載明</x:v>
      </x:c>
      <x:c r="P1155" s="71" t="str">
        <x:v>HTML table 1 row 4</x:v>
      </x:c>
      <x:c r="Q1155" s="71" t="str">
        <x:v>一.施工範圍:1.V基礎與施工前之任何障礙物清理、由工地負責。2.V進料之運輸、以板車能到,堆高機在50公尺內為原則(二次搬運不在估價內):如有推磚大道或施工难度較高,酌情貼補工資。請加工或施工需要作業,如推磚有中土地提用,高度超過圖,施工和工事。</x:v>
      </x:c>
      <x:c r="R1155" s="71" t="str">
        <x:v>各廠商合約&amp; 報價\MD檔案\20260408 智慧城 花台磚.md</x:v>
      </x:c>
    </x:row>
    <x:row r="1156">
      <x:c r="A1156" s="69" t="str">
        <x:v>ITEM01152</x:v>
      </x:c>
      <x:c r="B1156" s="69" t="str">
        <x:v>SRC073</x:v>
      </x:c>
      <x:c r="C1156" s="69" t="str">
        <x:v>2025-2026</x:v>
      </x:c>
      <x:c r="D1156" s="69" t="str">
        <x:v>note</x:v>
      </x:c>
      <x:c r="E1156" s="69" t="str">
        <x:v>文件未載明</x:v>
      </x:c>
      <x:c r="F1156" s="71" t="str">
        <x:v>1.V圍牆/花台施工,百歲磚本色1式/21000元,切面磚本色1式/22000元,★不含水泥砂,不含鐵、不含植筋鋼(不含鉛合金)兩種磚二擇一2.V圍牆施工,地與柱分開計數,40×40柱仔童四面即1.6*高度,每個幅磚加10cm(40×20柱仔童四面即1.2*高度,帽磚不加10cm);膝面長*高,帽磚加10cm計數3.V…（詳原文索引）</x:v>
      </x:c>
      <x:c r="G1156" s="71" t="str">
        <x:v>文件未載明</x:v>
      </x:c>
      <x:c r="H1156" s="71" t="str">
        <x:v>文件未載明</x:v>
      </x:c>
      <x:c r="I1156" s="72"/>
      <x:c r="J1156" s="69" t="str">
        <x:v>文件未載明</x:v>
      </x:c>
      <x:c r="K1156" s="70"/>
      <x:c r="L1156" s="69" t="str">
        <x:v>文件未載明</x:v>
      </x:c>
      <x:c r="M1156" s="70"/>
      <x:c r="N1156" s="69" t="str">
        <x:v>文件未載明</x:v>
      </x:c>
      <x:c r="O1156" s="71" t="str">
        <x:v>文件未載明</x:v>
      </x:c>
      <x:c r="P1156" s="71" t="str">
        <x:v>HTML table 1 row 6</x:v>
      </x:c>
      <x:c r="Q1156" s="71" t="str">
        <x:v>1.V圍牆/花台施工,百歲磚本色1式/21000元,切面磚本色1式/22000元,★不含水泥砂,不含鐵、不含植筋鋼(不含鉛合金)兩種磚二擇一2.V圍牆施工,地與柱分開計數,40×40柱仔童四面即1.6*高度,每個幅磚加10cm(40×20柱仔童四面即1.2*高度,帽磚不加10cm);膝面長*高,帽磚加10cm計數3.V施工如意層服,灌柱另計★不含水泥砂★不含銅製膠4.W鋼筋由基礎施工時植入,如加植鋼筋,酌情增加費用(高度以1.5M為標準),工程進行手如有存疑不含施工要求,請節刻拋正改進,以更完成後修改之固擾(如有上述情形,一切費用由業主負責)5.V圍牆施工以木色為主,黑色、紅色及其他顏色M2,…（詳原文索引）</x:v>
      </x:c>
      <x:c r="R1156" s="71" t="str">
        <x:v>各廠商合約&amp; 報價\MD檔案\20260408 智慧城 花台磚.md</x:v>
      </x:c>
    </x:row>
    <x:row r="1157">
      <x:c r="A1157" s="69" t="str">
        <x:v>ITEM01153</x:v>
      </x:c>
      <x:c r="B1157" s="69" t="str">
        <x:v>SRC073</x:v>
      </x:c>
      <x:c r="C1157" s="69" t="str">
        <x:v>2025-2026</x:v>
      </x:c>
      <x:c r="D1157" s="69" t="str">
        <x:v>detail</x:v>
      </x:c>
      <x:c r="E1157" s="69" t="str">
        <x:v>文件未載明</x:v>
      </x:c>
      <x:c r="F1157" s="71" t="str">
        <x:v>PS:圍牆一律實做實算實量。</x:v>
      </x:c>
      <x:c r="G1157" s="71" t="str">
        <x:v>文件未載明</x:v>
      </x:c>
      <x:c r="H1157" s="71" t="str">
        <x:v>文件未載明</x:v>
      </x:c>
      <x:c r="I1157" s="72"/>
      <x:c r="J1157" s="69" t="str">
        <x:v>文件未載明</x:v>
      </x:c>
      <x:c r="K1157" s="70"/>
      <x:c r="L1157" s="69" t="str">
        <x:v>文件未載明</x:v>
      </x:c>
      <x:c r="M1157" s="70"/>
      <x:c r="N1157" s="69" t="str">
        <x:v>文件未載明</x:v>
      </x:c>
      <x:c r="O1157" s="71" t="str">
        <x:v>文件未載明</x:v>
      </x:c>
      <x:c r="P1157" s="71" t="str">
        <x:v>HTML table 1 row 7</x:v>
      </x:c>
      <x:c r="Q1157" s="71" t="str">
        <x:v>PS:圍牆一律實做實算實量。</x:v>
      </x:c>
      <x:c r="R1157" s="71" t="str">
        <x:v>各廠商合約&amp; 報價\MD檔案\20260408 智慧城 花台磚.md</x:v>
      </x:c>
    </x:row>
    <x:row r="1158">
      <x:c r="A1158" s="69" t="str">
        <x:v>ITEM01154</x:v>
      </x:c>
      <x:c r="B1158" s="69" t="str">
        <x:v>SRC073</x:v>
      </x:c>
      <x:c r="C1158" s="69" t="str">
        <x:v>2025-2026</x:v>
      </x:c>
      <x:c r="D1158" s="69" t="str">
        <x:v>detail</x:v>
      </x:c>
      <x:c r="E1158" s="69" t="str">
        <x:v>文件未載明</x:v>
      </x:c>
      <x:c r="F1158" s="71" t="str">
        <x:v>注意:圍牆磚本色皆為水泥砂顏色,因不同批水泥砂製做,磚本就會有些許色差皆屬正常範圍內請勿見怪,謝謝。</x:v>
      </x:c>
      <x:c r="G1158" s="71" t="str">
        <x:v>文件未載明</x:v>
      </x:c>
      <x:c r="H1158" s="71" t="str">
        <x:v>文件未載明</x:v>
      </x:c>
      <x:c r="I1158" s="72"/>
      <x:c r="J1158" s="69" t="str">
        <x:v>文件未載明</x:v>
      </x:c>
      <x:c r="K1158" s="70"/>
      <x:c r="L1158" s="69" t="str">
        <x:v>文件未載明</x:v>
      </x:c>
      <x:c r="M1158" s="70"/>
      <x:c r="N1158" s="69" t="str">
        <x:v>文件未載明</x:v>
      </x:c>
      <x:c r="O1158" s="71" t="str">
        <x:v>文件未載明</x:v>
      </x:c>
      <x:c r="P1158" s="71" t="str">
        <x:v>HTML table 1 row 8</x:v>
      </x:c>
      <x:c r="Q1158" s="71" t="str">
        <x:v>注意:圍牆磚本色皆為水泥砂顏色,因不同批水泥砂製做,磚本就會有些許色差皆屬正常範圍內請勿見怪,謝謝。</x:v>
      </x:c>
      <x:c r="R1158" s="71" t="str">
        <x:v>各廠商合約&amp; 報價\MD檔案\20260408 智慧城 花台磚.md</x:v>
      </x:c>
    </x:row>
    <x:row r="1159">
      <x:c r="A1159" s="69" t="str">
        <x:v>ITEM01155</x:v>
      </x:c>
      <x:c r="B1159" s="69" t="str">
        <x:v>SRC073</x:v>
      </x:c>
      <x:c r="C1159" s="69" t="str">
        <x:v>2025-2026</x:v>
      </x:c>
      <x:c r="D1159" s="69" t="str">
        <x:v>note</x:v>
      </x:c>
      <x:c r="E1159" s="69" t="str">
        <x:v>文件未載明</x:v>
      </x:c>
      <x:c r="F1159" s="71" t="str">
        <x:v>※此報價單以10日期限內有效.如超過期限請重新報價.造成不便敬請見諒.謝謝。</x:v>
      </x:c>
      <x:c r="G1159" s="71" t="str">
        <x:v>文件未載明</x:v>
      </x:c>
      <x:c r="H1159" s="71" t="str">
        <x:v>文件未載明</x:v>
      </x:c>
      <x:c r="I1159" s="72"/>
      <x:c r="J1159" s="69" t="str">
        <x:v>文件未載明</x:v>
      </x:c>
      <x:c r="K1159" s="70"/>
      <x:c r="L1159" s="69" t="str">
        <x:v>文件未載明</x:v>
      </x:c>
      <x:c r="M1159" s="70"/>
      <x:c r="N1159" s="69" t="str">
        <x:v>文件未載明</x:v>
      </x:c>
      <x:c r="O1159" s="71" t="str">
        <x:v>文件未載明</x:v>
      </x:c>
      <x:c r="P1159" s="71" t="str">
        <x:v>HTML table 1 row 9</x:v>
      </x:c>
      <x:c r="Q1159" s="71" t="str">
        <x:v>※此報價單以10日期限內有效.如超過期限請重新報價.造成不便敬請見諒.謝謝。</x:v>
      </x:c>
      <x:c r="R1159" s="71" t="str">
        <x:v>各廠商合約&amp; 報價\MD檔案\20260408 智慧城 花台磚.md</x:v>
      </x:c>
    </x:row>
    <x:row r="1160">
      <x:c r="A1160" s="69" t="str">
        <x:v>ITEM01156</x:v>
      </x:c>
      <x:c r="B1160" s="69" t="str">
        <x:v>SRC073</x:v>
      </x:c>
      <x:c r="C1160" s="69" t="str">
        <x:v>2025-2026</x:v>
      </x:c>
      <x:c r="D1160" s="69" t="str">
        <x:v>summary</x:v>
      </x:c>
      <x:c r="E1160" s="69" t="str">
        <x:v>文件未載明</x:v>
      </x:c>
      <x:c r="F1160" s="71" t="str">
        <x:v>二.付款方式:施工完成後.配合當月請款.可現金可匯款.若開立支票(票日請開請款當月算起20日內).敬請配合.謝謝。(現金不折扣)請全額支付,零保留。*施工數量以施工完畢數量為準。以上報價皆不含稅金。此報價單為初估參考數量,不可當作施工完成數量,需以施工完畢後實際數量為準備註:請確認無誤後簽章回傳,方可盡快為貴公司安排施…（詳原文索引）</x:v>
      </x:c>
      <x:c r="G1160" s="71" t="str">
        <x:v>文件未載明</x:v>
      </x:c>
      <x:c r="H1160" s="71" t="str">
        <x:v>文件未載明</x:v>
      </x:c>
      <x:c r="I1160" s="72"/>
      <x:c r="J1160" s="69" t="str">
        <x:v>文件未載明</x:v>
      </x:c>
      <x:c r="K1160" s="70"/>
      <x:c r="L1160" s="69" t="str">
        <x:v>文件未載明</x:v>
      </x:c>
      <x:c r="M1160" s="70"/>
      <x:c r="N1160" s="69" t="str">
        <x:v>文件未載明</x:v>
      </x:c>
      <x:c r="O1160" s="71" t="str">
        <x:v>文件未載明</x:v>
      </x:c>
      <x:c r="P1160" s="71" t="str">
        <x:v>HTML table 1 row 10</x:v>
      </x:c>
      <x:c r="Q1160" s="71" t="str">
        <x:v>二.付款方式:施工完成後.配合當月請款.可現金可匯款.若開立支票(票日請開請款當月算起20日內).敬請配合.謝謝。(現金不折扣)請全額支付,零保留。*施工數量以施工完畢數量為準。以上報價皆不含稅金。此報價單為初估參考數量,不可當作施工完成數量,需以施工完畢後實際數量為準備註:請確認無誤後簽章回傳,方可盡快為貴公司安排施工事宜.謝謝。</x:v>
      </x:c>
      <x:c r="R1160" s="71" t="str">
        <x:v>各廠商合約&amp; 報價\MD檔案\20260408 智慧城 花台磚.md</x:v>
      </x:c>
    </x:row>
    <x:row r="1161">
      <x:c r="A1161" s="69" t="str">
        <x:v>ITEM01157</x:v>
      </x:c>
      <x:c r="B1161" s="69" t="str">
        <x:v>SRC073</x:v>
      </x:c>
      <x:c r="C1161" s="69" t="str">
        <x:v>2025-2026</x:v>
      </x:c>
      <x:c r="D1161" s="69" t="str">
        <x:v>detail</x:v>
      </x:c>
      <x:c r="E1161" s="69" t="str">
        <x:v>文件未載明</x:v>
      </x:c>
      <x:c r="F1161" s="71" t="str">
        <x:v>甲方</x:v>
      </x:c>
      <x:c r="G1161" s="71" t="str">
        <x:v>文件未載明</x:v>
      </x:c>
      <x:c r="H1161" s="71" t="str">
        <x:v>文件未載明</x:v>
      </x:c>
      <x:c r="I1161" s="72"/>
      <x:c r="J1161" s="69" t="str">
        <x:v>文件未載明</x:v>
      </x:c>
      <x:c r="K1161" s="70"/>
      <x:c r="L1161" s="69" t="str">
        <x:v>文件未載明</x:v>
      </x:c>
      <x:c r="M1161" s="70"/>
      <x:c r="N1161" s="69" t="str">
        <x:v>文件未載明</x:v>
      </x:c>
      <x:c r="O1161" s="71" t="str">
        <x:v>文件未載明</x:v>
      </x:c>
      <x:c r="P1161" s="71" t="str">
        <x:v>HTML table 1 row 11</x:v>
      </x:c>
      <x:c r="Q1161" s="71" t="str">
        <x:v>甲方 | 乙方</x:v>
      </x:c>
      <x:c r="R1161" s="71" t="str">
        <x:v>各廠商合約&amp; 報價\MD檔案\20260408 智慧城 花台磚.md</x:v>
      </x:c>
    </x:row>
    <x:row r="1162">
      <x:c r="A1162" s="69" t="str">
        <x:v>ITEM01158</x:v>
      </x:c>
      <x:c r="B1162" s="69" t="str">
        <x:v>SRC073</x:v>
      </x:c>
      <x:c r="C1162" s="69" t="str">
        <x:v>2025-2026</x:v>
      </x:c>
      <x:c r="D1162" s="69" t="str">
        <x:v>party</x:v>
      </x:c>
      <x:c r="E1162" s="69" t="str">
        <x:v>文件未載明</x:v>
      </x:c>
      <x:c r="F1162" s="71" t="str">
        <x:v>公司名稱:智慧城企業有限公司负责人:陳明駿</x:v>
      </x:c>
      <x:c r="G1162" s="71" t="str">
        <x:v>文件未載明</x:v>
      </x:c>
      <x:c r="H1162" s="71" t="str">
        <x:v>文件未載明</x:v>
      </x:c>
      <x:c r="I1162" s="72"/>
      <x:c r="J1162" s="69" t="str">
        <x:v>文件未載明</x:v>
      </x:c>
      <x:c r="K1162" s="70"/>
      <x:c r="L1162" s="69" t="str">
        <x:v>文件未載明</x:v>
      </x:c>
      <x:c r="M1162" s="70"/>
      <x:c r="N1162" s="69" t="str">
        <x:v>文件未載明</x:v>
      </x:c>
      <x:c r="O1162" s="71" t="str">
        <x:v>文件未載明</x:v>
      </x:c>
      <x:c r="P1162" s="71" t="str">
        <x:v>HTML table 1 row 12</x:v>
      </x:c>
      <x:c r="Q1162" s="71" t="str">
        <x:v>公司名稱:智慧城企業有限公司负责人:陳明駿 | 公司名稱 負責人: | 建洪豪洪</x:v>
      </x:c>
      <x:c r="R1162" s="71" t="str">
        <x:v>各廠商合約&amp; 報價\MD檔案\20260408 智慧城 花台磚.md</x:v>
      </x:c>
    </x:row>
    <x:row r="1163">
      <x:c r="A1163" s="69" t="str">
        <x:v>ITEM01159</x:v>
      </x:c>
      <x:c r="B1163" s="69" t="str">
        <x:v>SRC074</x:v>
      </x:c>
      <x:c r="C1163" s="69" t="str">
        <x:v>2025-2026</x:v>
      </x:c>
      <x:c r="D1163" s="69" t="str">
        <x:v>header</x:v>
      </x:c>
      <x:c r="E1163" s="69" t="str">
        <x:v>項次</x:v>
      </x:c>
      <x:c r="F1163" s="71" t="str">
        <x:v>工程項目</x:v>
      </x:c>
      <x:c r="G1163" s="71" t="str">
        <x:v>文件未載明</x:v>
      </x:c>
      <x:c r="H1163" s="71" t="str">
        <x:v>單位</x:v>
      </x:c>
      <x:c r="I1163" s="72"/>
      <x:c r="J1163" s="69" t="str">
        <x:v>數量</x:v>
      </x:c>
      <x:c r="K1163" s="70"/>
      <x:c r="L1163" s="69" t="str">
        <x:v>單價</x:v>
      </x:c>
      <x:c r="M1163" s="70"/>
      <x:c r="N1163" s="69" t="str">
        <x:v>小計</x:v>
      </x:c>
      <x:c r="O1163" s="71" t="str">
        <x:v>備註</x:v>
      </x:c>
      <x:c r="P1163" s="71" t="str">
        <x:v>HTML table 1 row 1</x:v>
      </x:c>
      <x:c r="Q1163" s="71" t="str">
        <x:v>項次 | 工程項目 | 數量 | 單位 | 單價 | 小計 | 總價 | 備註</x:v>
      </x:c>
      <x:c r="R1163" s="71" t="str">
        <x:v>各廠商合約&amp; 報價\MD檔案\20260422 工務所裝潢合約.報價.md</x:v>
      </x:c>
    </x:row>
    <x:row r="1164">
      <x:c r="A1164" s="69" t="str">
        <x:v>ITEM01160</x:v>
      </x:c>
      <x:c r="B1164" s="69" t="str">
        <x:v>SRC074</x:v>
      </x:c>
      <x:c r="C1164" s="69" t="str">
        <x:v>2025-2026</x:v>
      </x:c>
      <x:c r="D1164" s="69" t="str">
        <x:v>detail</x:v>
      </x:c>
      <x:c r="E1164" s="69" t="str">
        <x:v>1</x:v>
      </x:c>
      <x:c r="F1164" s="71" t="str">
        <x:v>水電工程</x:v>
      </x:c>
      <x:c r="G1164" s="71" t="str">
        <x:v>文件未載明</x:v>
      </x:c>
      <x:c r="H1164" s="71" t="str">
        <x:v>文件未載明</x:v>
      </x:c>
      <x:c r="I1164" s="72"/>
      <x:c r="J1164" s="69" t="str">
        <x:v>文件未載明</x:v>
      </x:c>
      <x:c r="K1164" s="70"/>
      <x:c r="L1164" s="69" t="str">
        <x:v>文件未載明</x:v>
      </x:c>
      <x:c r="M1164" s="70"/>
      <x:c r="N1164" s="69" t="str">
        <x:v>文件未載明</x:v>
      </x:c>
      <x:c r="O1164" s="71" t="str">
        <x:v>文件未載明</x:v>
      </x:c>
      <x:c r="P1164" s="71" t="str">
        <x:v>HTML table 1 row 2</x:v>
      </x:c>
      <x:c r="Q1164" s="71" t="str">
        <x:v>1 | 水電工程 | | | | | |</x:v>
      </x:c>
      <x:c r="R1164" s="71" t="str">
        <x:v>各廠商合約&amp; 報價\MD檔案\20260422 工務所裝潢合約.報價.md</x:v>
      </x:c>
    </x:row>
    <x:row r="1165">
      <x:c r="A1165" s="69" t="str">
        <x:v>ITEM01161</x:v>
      </x:c>
      <x:c r="B1165" s="69" t="str">
        <x:v>SRC074</x:v>
      </x:c>
      <x:c r="C1165" s="69" t="str">
        <x:v>2025-2026</x:v>
      </x:c>
      <x:c r="D1165" s="69" t="str">
        <x:v>detail</x:v>
      </x:c>
      <x:c r="E1165" s="69" t="str">
        <x:v>2</x:v>
      </x:c>
      <x:c r="F1165" s="71" t="str">
        <x:v>電話換新延長</x:v>
      </x:c>
      <x:c r="G1165" s="71" t="str">
        <x:v>文件未載明</x:v>
      </x:c>
      <x:c r="H1165" s="71" t="str">
        <x:v>式</x:v>
      </x:c>
      <x:c r="I1165" s="72" t="n">
        <x:v>1</x:v>
      </x:c>
      <x:c r="J1165" s="69" t="str">
        <x:v>1</x:v>
      </x:c>
      <x:c r="K1165" s="70" t="n">
        <x:v>2800</x:v>
      </x:c>
      <x:c r="L1165" s="69" t="str">
        <x:v>2,800</x:v>
      </x:c>
      <x:c r="M1165" s="70" t="n">
        <x:v>2800</x:v>
      </x:c>
      <x:c r="N1165" s="69" t="str">
        <x:v>2,800</x:v>
      </x:c>
      <x:c r="O1165" s="71" t="str">
        <x:v>Panasonic 星光系列</x:v>
      </x:c>
      <x:c r="P1165" s="71" t="str">
        <x:v>HTML table 1 row 3</x:v>
      </x:c>
      <x:c r="Q1165" s="71" t="str">
        <x:v>2 | 電話換新延長 | 1 | 式 | 2,800 | 2,800 | | Panasonic 星光系列</x:v>
      </x:c>
      <x:c r="R1165" s="71" t="str">
        <x:v>各廠商合約&amp; 報價\MD檔案\20260422 工務所裝潢合約.報價.md</x:v>
      </x:c>
    </x:row>
    <x:row r="1166">
      <x:c r="A1166" s="69" t="str">
        <x:v>ITEM01162</x:v>
      </x:c>
      <x:c r="B1166" s="69" t="str">
        <x:v>SRC074</x:v>
      </x:c>
      <x:c r="C1166" s="69" t="str">
        <x:v>2025-2026</x:v>
      </x:c>
      <x:c r="D1166" s="69" t="str">
        <x:v>detail</x:v>
      </x:c>
      <x:c r="E1166" s="69" t="str">
        <x:v>3</x:v>
      </x:c>
      <x:c r="F1166" s="71" t="str">
        <x:v>網路線CAT.6換新延長</x:v>
      </x:c>
      <x:c r="G1166" s="71" t="str">
        <x:v>文件未載明</x:v>
      </x:c>
      <x:c r="H1166" s="71" t="str">
        <x:v>式</x:v>
      </x:c>
      <x:c r="I1166" s="72" t="n">
        <x:v>1</x:v>
      </x:c>
      <x:c r="J1166" s="69" t="str">
        <x:v>1</x:v>
      </x:c>
      <x:c r="K1166" s="70" t="n">
        <x:v>2800</x:v>
      </x:c>
      <x:c r="L1166" s="69" t="str">
        <x:v>2,800</x:v>
      </x:c>
      <x:c r="M1166" s="70" t="n">
        <x:v>2800</x:v>
      </x:c>
      <x:c r="N1166" s="69" t="str">
        <x:v>2,800</x:v>
      </x:c>
      <x:c r="O1166" s="71" t="str">
        <x:v>Panasonic 星光系列</x:v>
      </x:c>
      <x:c r="P1166" s="71" t="str">
        <x:v>HTML table 1 row 4</x:v>
      </x:c>
      <x:c r="Q1166" s="71" t="str">
        <x:v>3 | 網路線CAT.6換新延長 | 1 | 式 | 2,800 | 2,800 | | Panasonic 星光系列</x:v>
      </x:c>
      <x:c r="R1166" s="71" t="str">
        <x:v>各廠商合約&amp; 報價\MD檔案\20260422 工務所裝潢合約.報價.md</x:v>
      </x:c>
    </x:row>
    <x:row r="1167">
      <x:c r="A1167" s="69" t="str">
        <x:v>ITEM01163</x:v>
      </x:c>
      <x:c r="B1167" s="69" t="str">
        <x:v>SRC074</x:v>
      </x:c>
      <x:c r="C1167" s="69" t="str">
        <x:v>2025-2026</x:v>
      </x:c>
      <x:c r="D1167" s="69" t="str">
        <x:v>detail</x:v>
      </x:c>
      <x:c r="E1167" s="69" t="str">
        <x:v>4</x:v>
      </x:c>
      <x:c r="F1167" s="71" t="str">
        <x:v>一般插座延長</x:v>
      </x:c>
      <x:c r="G1167" s="71" t="str">
        <x:v>文件未載明</x:v>
      </x:c>
      <x:c r="H1167" s="71" t="str">
        <x:v>只</x:v>
      </x:c>
      <x:c r="I1167" s="72" t="n">
        <x:v>20</x:v>
      </x:c>
      <x:c r="J1167" s="69" t="str">
        <x:v>20</x:v>
      </x:c>
      <x:c r="K1167" s="70" t="n">
        <x:v>950</x:v>
      </x:c>
      <x:c r="L1167" s="69" t="str">
        <x:v>950</x:v>
      </x:c>
      <x:c r="M1167" s="70" t="n">
        <x:v>19000</x:v>
      </x:c>
      <x:c r="N1167" s="69" t="str">
        <x:v>19,000</x:v>
      </x:c>
      <x:c r="O1167" s="71" t="str">
        <x:v>Panasonic 星光系列</x:v>
      </x:c>
      <x:c r="P1167" s="71" t="str">
        <x:v>HTML table 1 row 5</x:v>
      </x:c>
      <x:c r="Q1167" s="71" t="str">
        <x:v>4 | 一般插座延長 | 20 | 只 | 950 | 19,000 | | Panasonic 星光系列</x:v>
      </x:c>
      <x:c r="R1167" s="71" t="str">
        <x:v>各廠商合約&amp; 報價\MD檔案\20260422 工務所裝潢合約.報價.md</x:v>
      </x:c>
    </x:row>
    <x:row r="1168">
      <x:c r="A1168" s="69" t="str">
        <x:v>ITEM01164</x:v>
      </x:c>
      <x:c r="B1168" s="69" t="str">
        <x:v>SRC074</x:v>
      </x:c>
      <x:c r="C1168" s="69" t="str">
        <x:v>2025-2026</x:v>
      </x:c>
      <x:c r="D1168" s="69" t="str">
        <x:v>detail</x:v>
      </x:c>
      <x:c r="E1168" s="69" t="str">
        <x:v>5</x:v>
      </x:c>
      <x:c r="F1168" s="71" t="str">
        <x:v>增加單切開關</x:v>
      </x:c>
      <x:c r="G1168" s="71" t="str">
        <x:v>文件未載明</x:v>
      </x:c>
      <x:c r="H1168" s="71" t="str">
        <x:v>只</x:v>
      </x:c>
      <x:c r="I1168" s="72" t="n">
        <x:v>3</x:v>
      </x:c>
      <x:c r="J1168" s="69" t="str">
        <x:v>3</x:v>
      </x:c>
      <x:c r="K1168" s="70" t="n">
        <x:v>2300</x:v>
      </x:c>
      <x:c r="L1168" s="69" t="str">
        <x:v>2,300</x:v>
      </x:c>
      <x:c r="M1168" s="70" t="n">
        <x:v>6900</x:v>
      </x:c>
      <x:c r="N1168" s="69" t="str">
        <x:v>6,900</x:v>
      </x:c>
      <x:c r="O1168" s="71" t="str">
        <x:v>含迴路</x:v>
      </x:c>
      <x:c r="P1168" s="71" t="str">
        <x:v>HTML table 1 row 6</x:v>
      </x:c>
      <x:c r="Q1168" s="71" t="str">
        <x:v>5 | 增加單切開關 | 3 | 只 | 2,300 | 6,900 | | 含迴路</x:v>
      </x:c>
      <x:c r="R1168" s="71" t="str">
        <x:v>各廠商合約&amp; 報價\MD檔案\20260422 工務所裝潢合約.報價.md</x:v>
      </x:c>
    </x:row>
    <x:row r="1169">
      <x:c r="A1169" s="69" t="str">
        <x:v>ITEM01165</x:v>
      </x:c>
      <x:c r="B1169" s="69" t="str">
        <x:v>SRC074</x:v>
      </x:c>
      <x:c r="C1169" s="69" t="str">
        <x:v>2025-2026</x:v>
      </x:c>
      <x:c r="D1169" s="69" t="str">
        <x:v>detail</x:v>
      </x:c>
      <x:c r="E1169" s="69" t="str">
        <x:v>6</x:v>
      </x:c>
      <x:c r="F1169" s="71" t="str">
        <x:v>打牆</x:v>
      </x:c>
      <x:c r="G1169" s="71" t="str">
        <x:v>文件未載明</x:v>
      </x:c>
      <x:c r="H1169" s="71" t="str">
        <x:v>處</x:v>
      </x:c>
      <x:c r="I1169" s="72" t="n">
        <x:v>1</x:v>
      </x:c>
      <x:c r="J1169" s="69" t="str">
        <x:v>1</x:v>
      </x:c>
      <x:c r="K1169" s="70" t="n">
        <x:v>2600</x:v>
      </x:c>
      <x:c r="L1169" s="69" t="str">
        <x:v>2,600</x:v>
      </x:c>
      <x:c r="M1169" s="70" t="n">
        <x:v>2600</x:v>
      </x:c>
      <x:c r="N1169" s="69" t="str">
        <x:v>2,600</x:v>
      </x:c>
      <x:c r="O1169" s="71" t="str">
        <x:v>文件未載明</x:v>
      </x:c>
      <x:c r="P1169" s="71" t="str">
        <x:v>HTML table 1 row 7</x:v>
      </x:c>
      <x:c r="Q1169" s="71" t="str">
        <x:v>6 | 打牆 | 1 | 處 | 2,600 | 2,600 | |</x:v>
      </x:c>
      <x:c r="R1169" s="71" t="str">
        <x:v>各廠商合約&amp; 報價\MD檔案\20260422 工務所裝潢合約.報價.md</x:v>
      </x:c>
    </x:row>
    <x:row r="1170">
      <x:c r="A1170" s="69" t="str">
        <x:v>ITEM01166</x:v>
      </x:c>
      <x:c r="B1170" s="69" t="str">
        <x:v>SRC074</x:v>
      </x:c>
      <x:c r="C1170" s="69" t="str">
        <x:v>2025-2026</x:v>
      </x:c>
      <x:c r="D1170" s="69" t="str">
        <x:v>detail</x:v>
      </x:c>
      <x:c r="E1170" s="69" t="str">
        <x:v>7</x:v>
      </x:c>
      <x:c r="F1170" s="71" t="str">
        <x:v>舞光 9CM LED 玖燈</x:v>
      </x:c>
      <x:c r="G1170" s="71" t="str">
        <x:v>文件未載明</x:v>
      </x:c>
      <x:c r="H1170" s="71" t="str">
        <x:v>式</x:v>
      </x:c>
      <x:c r="I1170" s="72" t="n">
        <x:v>1</x:v>
      </x:c>
      <x:c r="J1170" s="69" t="str">
        <x:v>1</x:v>
      </x:c>
      <x:c r="K1170" s="70" t="n">
        <x:v>1200</x:v>
      </x:c>
      <x:c r="L1170" s="69" t="str">
        <x:v>1,200</x:v>
      </x:c>
      <x:c r="M1170" s="70" t="n">
        <x:v>1200</x:v>
      </x:c>
      <x:c r="N1170" s="69" t="str">
        <x:v>1,200</x:v>
      </x:c>
      <x:c r="O1170" s="71" t="str">
        <x:v>安裝挖孔佈線</x:v>
      </x:c>
      <x:c r="P1170" s="71" t="str">
        <x:v>HTML table 1 row 8</x:v>
      </x:c>
      <x:c r="Q1170" s="71" t="str">
        <x:v>7 | 舞光 9CM LED 玖燈 | 1 | 式 | 1,200 | 1,200 | | 安裝挖孔佈線</x:v>
      </x:c>
      <x:c r="R1170" s="71" t="str">
        <x:v>各廠商合約&amp; 報價\MD檔案\20260422 工務所裝潢合約.報價.md</x:v>
      </x:c>
    </x:row>
    <x:row r="1171">
      <x:c r="A1171" s="69" t="str">
        <x:v>ITEM01167</x:v>
      </x:c>
      <x:c r="B1171" s="69" t="str">
        <x:v>SRC074</x:v>
      </x:c>
      <x:c r="C1171" s="69" t="str">
        <x:v>2025-2026</x:v>
      </x:c>
      <x:c r="D1171" s="69" t="str">
        <x:v>detail</x:v>
      </x:c>
      <x:c r="E1171" s="69" t="str">
        <x:v>8</x:v>
      </x:c>
      <x:c r="F1171" s="71" t="str">
        <x:v>軌道燈</x:v>
      </x:c>
      <x:c r="G1171" s="71" t="str">
        <x:v>文件未載明</x:v>
      </x:c>
      <x:c r="H1171" s="71" t="str">
        <x:v>式</x:v>
      </x:c>
      <x:c r="I1171" s="72" t="n">
        <x:v>25</x:v>
      </x:c>
      <x:c r="J1171" s="69" t="str">
        <x:v>25</x:v>
      </x:c>
      <x:c r="K1171" s="70" t="n">
        <x:v>1000</x:v>
      </x:c>
      <x:c r="L1171" s="69" t="str">
        <x:v>1,000</x:v>
      </x:c>
      <x:c r="M1171" s="70" t="n">
        <x:v>25000</x:v>
      </x:c>
      <x:c r="N1171" s="69" t="str">
        <x:v>25,000</x:v>
      </x:c>
      <x:c r="O1171" s="71" t="str">
        <x:v>文件未載明</x:v>
      </x:c>
      <x:c r="P1171" s="71" t="str">
        <x:v>HTML table 1 row 9</x:v>
      </x:c>
      <x:c r="Q1171" s="71" t="str">
        <x:v>8 | 軌道燈 | 25 | 式 | 1,000 | 25,000 | |</x:v>
      </x:c>
      <x:c r="R1171" s="71" t="str">
        <x:v>各廠商合約&amp; 報價\MD檔案\20260422 工務所裝潢合約.報價.md</x:v>
      </x:c>
    </x:row>
    <x:row r="1172">
      <x:c r="A1172" s="69" t="str">
        <x:v>ITEM01168</x:v>
      </x:c>
      <x:c r="B1172" s="69" t="str">
        <x:v>SRC074</x:v>
      </x:c>
      <x:c r="C1172" s="69" t="str">
        <x:v>2025-2026</x:v>
      </x:c>
      <x:c r="D1172" s="69" t="str">
        <x:v>detail</x:v>
      </x:c>
      <x:c r="E1172" s="69" t="str">
        <x:v>9</x:v>
      </x:c>
      <x:c r="F1172" s="71" t="str">
        <x:v>軌道燈-軌道</x:v>
      </x:c>
      <x:c r="G1172" s="71" t="str">
        <x:v>文件未載明</x:v>
      </x:c>
      <x:c r="H1172" s="71" t="str">
        <x:v>米</x:v>
      </x:c>
      <x:c r="I1172" s="72" t="n">
        <x:v>21</x:v>
      </x:c>
      <x:c r="J1172" s="69" t="str">
        <x:v>21</x:v>
      </x:c>
      <x:c r="K1172" s="70" t="n">
        <x:v>800</x:v>
      </x:c>
      <x:c r="L1172" s="69" t="str">
        <x:v>800</x:v>
      </x:c>
      <x:c r="M1172" s="70" t="n">
        <x:v>16800</x:v>
      </x:c>
      <x:c r="N1172" s="69" t="str">
        <x:v>16,800</x:v>
      </x:c>
      <x:c r="O1172" s="71" t="str">
        <x:v>文件未載明</x:v>
      </x:c>
      <x:c r="P1172" s="71" t="str">
        <x:v>HTML table 1 row 10</x:v>
      </x:c>
      <x:c r="Q1172" s="71" t="str">
        <x:v>9 | 軌道燈-軌道 | 21 | 米 | 800 | 16,800 | |</x:v>
      </x:c>
      <x:c r="R1172" s="71" t="str">
        <x:v>各廠商合約&amp; 報價\MD檔案\20260422 工務所裝潢合約.報價.md</x:v>
      </x:c>
    </x:row>
    <x:row r="1173">
      <x:c r="A1173" s="69" t="str">
        <x:v>ITEM01169</x:v>
      </x:c>
      <x:c r="B1173" s="69" t="str">
        <x:v>SRC074</x:v>
      </x:c>
      <x:c r="C1173" s="69" t="str">
        <x:v>2025-2026</x:v>
      </x:c>
      <x:c r="D1173" s="69" t="str">
        <x:v>detail</x:v>
      </x:c>
      <x:c r="E1173" s="69" t="str">
        <x:v>10</x:v>
      </x:c>
      <x:c r="F1173" s="71" t="str">
        <x:v>軌道燈-轉接頭(銜接頭)</x:v>
      </x:c>
      <x:c r="G1173" s="71" t="str">
        <x:v>文件未載明</x:v>
      </x:c>
      <x:c r="H1173" s="71" t="str">
        <x:v>式</x:v>
      </x:c>
      <x:c r="I1173" s="72" t="n">
        <x:v>2</x:v>
      </x:c>
      <x:c r="J1173" s="69" t="str">
        <x:v>2</x:v>
      </x:c>
      <x:c r="K1173" s="70" t="n">
        <x:v>300</x:v>
      </x:c>
      <x:c r="L1173" s="69" t="str">
        <x:v>300</x:v>
      </x:c>
      <x:c r="M1173" s="70" t="n">
        <x:v>600</x:v>
      </x:c>
      <x:c r="N1173" s="69" t="str">
        <x:v>600</x:v>
      </x:c>
      <x:c r="O1173" s="71" t="str">
        <x:v>文件未載明</x:v>
      </x:c>
      <x:c r="P1173" s="71" t="str">
        <x:v>HTML table 1 row 11</x:v>
      </x:c>
      <x:c r="Q1173" s="71" t="str">
        <x:v>10 | 軌道燈-轉接頭(銜接頭) | 2 | 式 | 300 | 600 | |</x:v>
      </x:c>
      <x:c r="R1173" s="71" t="str">
        <x:v>各廠商合約&amp; 報價\MD檔案\20260422 工務所裝潢合約.報價.md</x:v>
      </x:c>
    </x:row>
    <x:row r="1174">
      <x:c r="A1174" s="69" t="str">
        <x:v>ITEM01170</x:v>
      </x:c>
      <x:c r="B1174" s="69" t="str">
        <x:v>SRC074</x:v>
      </x:c>
      <x:c r="C1174" s="69" t="str">
        <x:v>2025-2026</x:v>
      </x:c>
      <x:c r="D1174" s="69" t="str">
        <x:v>detail</x:v>
      </x:c>
      <x:c r="E1174" s="69" t="str">
        <x:v>11</x:v>
      </x:c>
      <x:c r="F1174" s="71" t="str">
        <x:v>LED鋁燈條</x:v>
      </x:c>
      <x:c r="G1174" s="71" t="str">
        <x:v>文件未載明</x:v>
      </x:c>
      <x:c r="H1174" s="71" t="str">
        <x:v>米</x:v>
      </x:c>
      <x:c r="I1174" s="72" t="n">
        <x:v>3</x:v>
      </x:c>
      <x:c r="J1174" s="69" t="str">
        <x:v>3</x:v>
      </x:c>
      <x:c r="K1174" s="70" t="n">
        <x:v>1300</x:v>
      </x:c>
      <x:c r="L1174" s="69" t="str">
        <x:v>1,300</x:v>
      </x:c>
      <x:c r="M1174" s="70" t="n">
        <x:v>3900</x:v>
      </x:c>
      <x:c r="N1174" s="69" t="str">
        <x:v>3,900</x:v>
      </x:c>
      <x:c r="O1174" s="71" t="str">
        <x:v>文件未載明</x:v>
      </x:c>
      <x:c r="P1174" s="71" t="str">
        <x:v>HTML table 1 row 12</x:v>
      </x:c>
      <x:c r="Q1174" s="71" t="str">
        <x:v>11 | LED鋁燈條 | 3 | 米 | 1,300 | 3,900 | |</x:v>
      </x:c>
      <x:c r="R1174" s="71" t="str">
        <x:v>各廠商合約&amp; 報價\MD檔案\20260422 工務所裝潢合約.報價.md</x:v>
      </x:c>
    </x:row>
    <x:row r="1175">
      <x:c r="A1175" s="69" t="str">
        <x:v>ITEM01171</x:v>
      </x:c>
      <x:c r="B1175" s="69" t="str">
        <x:v>SRC074</x:v>
      </x:c>
      <x:c r="C1175" s="69" t="str">
        <x:v>2025-2026</x:v>
      </x:c>
      <x:c r="D1175" s="69" t="str">
        <x:v>detail</x:v>
      </x:c>
      <x:c r="E1175" s="69" t="str">
        <x:v>12</x:v>
      </x:c>
      <x:c r="F1175" s="71" t="str">
        <x:v>鋁燈條變壓器</x:v>
      </x:c>
      <x:c r="G1175" s="71" t="str">
        <x:v>文件未載明</x:v>
      </x:c>
      <x:c r="H1175" s="71" t="str">
        <x:v>個</x:v>
      </x:c>
      <x:c r="I1175" s="72" t="n">
        <x:v>1</x:v>
      </x:c>
      <x:c r="J1175" s="69" t="str">
        <x:v>1</x:v>
      </x:c>
      <x:c r="K1175" s="70" t="n">
        <x:v>1500</x:v>
      </x:c>
      <x:c r="L1175" s="69" t="str">
        <x:v>1,500</x:v>
      </x:c>
      <x:c r="M1175" s="70" t="n">
        <x:v>1500</x:v>
      </x:c>
      <x:c r="N1175" s="69" t="str">
        <x:v>1,500</x:v>
      </x:c>
      <x:c r="O1175" s="71" t="str">
        <x:v>文件未載明</x:v>
      </x:c>
      <x:c r="P1175" s="71" t="str">
        <x:v>HTML table 1 row 13</x:v>
      </x:c>
      <x:c r="Q1175" s="71" t="str">
        <x:v>12 | 鋁燈條變壓器 | 1 | 個 | 1,500 | 1,500 | |</x:v>
      </x:c>
      <x:c r="R1175" s="71" t="str">
        <x:v>各廠商合約&amp; 報價\MD檔案\20260422 工務所裝潢合約.報價.md</x:v>
      </x:c>
    </x:row>
    <x:row r="1176">
      <x:c r="A1176" s="69" t="str">
        <x:v>ITEM01172</x:v>
      </x:c>
      <x:c r="B1176" s="69" t="str">
        <x:v>SRC074</x:v>
      </x:c>
      <x:c r="C1176" s="69" t="str">
        <x:v>2025-2026</x:v>
      </x:c>
      <x:c r="D1176" s="69" t="str">
        <x:v>detail</x:v>
      </x:c>
      <x:c r="E1176" s="69" t="str">
        <x:v>13</x:v>
      </x:c>
      <x:c r="F1176" s="71" t="str">
        <x:v>燈具跳IC</x:v>
      </x:c>
      <x:c r="G1176" s="71" t="str">
        <x:v>文件未載明</x:v>
      </x:c>
      <x:c r="H1176" s="71" t="str">
        <x:v>處</x:v>
      </x:c>
      <x:c r="I1176" s="72" t="n">
        <x:v>2</x:v>
      </x:c>
      <x:c r="J1176" s="69" t="str">
        <x:v>2</x:v>
      </x:c>
      <x:c r="K1176" s="70" t="n">
        <x:v>800</x:v>
      </x:c>
      <x:c r="L1176" s="69" t="str">
        <x:v>800</x:v>
      </x:c>
      <x:c r="M1176" s="70" t="n">
        <x:v>1600</x:v>
      </x:c>
      <x:c r="N1176" s="69" t="str">
        <x:v>1,600</x:v>
      </x:c>
      <x:c r="O1176" s="71" t="str">
        <x:v>文件未載明</x:v>
      </x:c>
      <x:c r="P1176" s="71" t="str">
        <x:v>HTML table 1 row 14</x:v>
      </x:c>
      <x:c r="Q1176" s="71" t="str">
        <x:v>13 | 燈具跳IC | 2 | 處 | 800 | 1,600 | |</x:v>
      </x:c>
      <x:c r="R1176" s="71" t="str">
        <x:v>各廠商合約&amp; 報價\MD檔案\20260422 工務所裝潢合約.報價.md</x:v>
      </x:c>
    </x:row>
    <x:row r="1177">
      <x:c r="A1177" s="69" t="str">
        <x:v>ITEM01173</x:v>
      </x:c>
      <x:c r="B1177" s="69" t="str">
        <x:v>SRC074</x:v>
      </x:c>
      <x:c r="C1177" s="69" t="str">
        <x:v>2025-2026</x:v>
      </x:c>
      <x:c r="D1177" s="69" t="str">
        <x:v>detail</x:v>
      </x:c>
      <x:c r="E1177" s="69" t="str">
        <x:v>14</x:v>
      </x:c>
      <x:c r="F1177" s="71" t="str">
        <x:v>代安裝吊燈</x:v>
      </x:c>
      <x:c r="G1177" s="71" t="str">
        <x:v>文件未載明</x:v>
      </x:c>
      <x:c r="H1177" s="71" t="str">
        <x:v>只</x:v>
      </x:c>
      <x:c r="I1177" s="72" t="n">
        <x:v>1</x:v>
      </x:c>
      <x:c r="J1177" s="69" t="str">
        <x:v>1</x:v>
      </x:c>
      <x:c r="K1177" s="70" t="n">
        <x:v>1500</x:v>
      </x:c>
      <x:c r="L1177" s="69" t="str">
        <x:v>1,500</x:v>
      </x:c>
      <x:c r="M1177" s="70"/>
      <x:c r="N1177" s="69" t="str">
        <x:v>-</x:v>
      </x:c>
      <x:c r="O1177" s="71" t="str">
        <x:v>文件未載明</x:v>
      </x:c>
      <x:c r="P1177" s="71" t="str">
        <x:v>HTML table 1 row 15</x:v>
      </x:c>
      <x:c r="Q1177" s="71" t="str">
        <x:v>14 | 代安裝吊燈 | 1 | 只 | 1,500 | - | |</x:v>
      </x:c>
      <x:c r="R1177" s="71" t="str">
        <x:v>各廠商合約&amp; 報價\MD檔案\20260422 工務所裝潢合約.報價.md</x:v>
      </x:c>
    </x:row>
    <x:row r="1178">
      <x:c r="A1178" s="69" t="str">
        <x:v>ITEM01174</x:v>
      </x:c>
      <x:c r="B1178" s="69" t="str">
        <x:v>SRC074</x:v>
      </x:c>
      <x:c r="C1178" s="69" t="str">
        <x:v>2025-2026</x:v>
      </x:c>
      <x:c r="D1178" s="69" t="str">
        <x:v>detail</x:v>
      </x:c>
      <x:c r="E1178" s="69" t="str">
        <x:v>15</x:v>
      </x:c>
      <x:c r="F1178" s="71" t="str">
        <x:v>其他</x:v>
      </x:c>
      <x:c r="G1178" s="71" t="str">
        <x:v>文件未載明</x:v>
      </x:c>
      <x:c r="H1178" s="71" t="str">
        <x:v>式</x:v>
      </x:c>
      <x:c r="I1178" s="72" t="n">
        <x:v>1</x:v>
      </x:c>
      <x:c r="J1178" s="69" t="str">
        <x:v>1</x:v>
      </x:c>
      <x:c r="K1178" s="70" t="n">
        <x:v>25000</x:v>
      </x:c>
      <x:c r="L1178" s="69" t="str">
        <x:v>25,000</x:v>
      </x:c>
      <x:c r="M1178" s="70" t="n">
        <x:v>25000</x:v>
      </x:c>
      <x:c r="N1178" s="69" t="str">
        <x:v>25,000</x:v>
      </x:c>
      <x:c r="O1178" s="71" t="str">
        <x:v>偵測器延長,壓條,配管配線耗材等</x:v>
      </x:c>
      <x:c r="P1178" s="71" t="str">
        <x:v>HTML table 1 row 16</x:v>
      </x:c>
      <x:c r="Q1178" s="71" t="str">
        <x:v>15 | 其他 | 1 | 式 | 25,000 | 25,000 | | 偵測器延長,壓條,配管配線耗材等</x:v>
      </x:c>
      <x:c r="R1178" s="71" t="str">
        <x:v>各廠商合約&amp; 報價\MD檔案\20260422 工務所裝潢合約.報價.md</x:v>
      </x:c>
    </x:row>
    <x:row r="1179">
      <x:c r="A1179" s="69" t="str">
        <x:v>ITEM01175</x:v>
      </x:c>
      <x:c r="B1179" s="69" t="str">
        <x:v>SRC074</x:v>
      </x:c>
      <x:c r="C1179" s="69" t="str">
        <x:v>2025-2026</x:v>
      </x:c>
      <x:c r="D1179" s="69" t="str">
        <x:v>detail</x:v>
      </x:c>
      <x:c r="E1179" s="69" t="str">
        <x:v>16</x:v>
      </x:c>
      <x:c r="F1179" s="71" t="str">
        <x:v>-</x:v>
      </x:c>
      <x:c r="G1179" s="71" t="str">
        <x:v>文件未載明</x:v>
      </x:c>
      <x:c r="H1179" s="71" t="str">
        <x:v>文件未載明</x:v>
      </x:c>
      <x:c r="I1179" s="72"/>
      <x:c r="J1179" s="69" t="str">
        <x:v>文件未載明</x:v>
      </x:c>
      <x:c r="K1179" s="70"/>
      <x:c r="L1179" s="69" t="str">
        <x:v>文件未載明</x:v>
      </x:c>
      <x:c r="M1179" s="70"/>
      <x:c r="N1179" s="69" t="str">
        <x:v>-</x:v>
      </x:c>
      <x:c r="O1179" s="71" t="str">
        <x:v>文件未載明</x:v>
      </x:c>
      <x:c r="P1179" s="71" t="str">
        <x:v>HTML table 1 row 17</x:v>
      </x:c>
      <x:c r="Q1179" s="71" t="str">
        <x:v>16 | | | | | - | |</x:v>
      </x:c>
      <x:c r="R1179" s="71" t="str">
        <x:v>各廠商合約&amp; 報價\MD檔案\20260422 工務所裝潢合約.報價.md</x:v>
      </x:c>
    </x:row>
    <x:row r="1180">
      <x:c r="A1180" s="69" t="str">
        <x:v>ITEM01176</x:v>
      </x:c>
      <x:c r="B1180" s="69" t="str">
        <x:v>SRC074</x:v>
      </x:c>
      <x:c r="C1180" s="69" t="str">
        <x:v>2025-2026</x:v>
      </x:c>
      <x:c r="D1180" s="69" t="str">
        <x:v>detail</x:v>
      </x:c>
      <x:c r="E1180" s="69" t="str">
        <x:v>17</x:v>
      </x:c>
      <x:c r="F1180" s="71" t="str">
        <x:v>-</x:v>
      </x:c>
      <x:c r="G1180" s="71" t="str">
        <x:v>文件未載明</x:v>
      </x:c>
      <x:c r="H1180" s="71" t="str">
        <x:v>文件未載明</x:v>
      </x:c>
      <x:c r="I1180" s="72"/>
      <x:c r="J1180" s="69" t="str">
        <x:v>文件未載明</x:v>
      </x:c>
      <x:c r="K1180" s="70"/>
      <x:c r="L1180" s="69" t="str">
        <x:v>文件未載明</x:v>
      </x:c>
      <x:c r="M1180" s="70"/>
      <x:c r="N1180" s="69" t="str">
        <x:v>-</x:v>
      </x:c>
      <x:c r="O1180" s="71" t="str">
        <x:v>文件未載明</x:v>
      </x:c>
      <x:c r="P1180" s="71" t="str">
        <x:v>HTML table 1 row 18</x:v>
      </x:c>
      <x:c r="Q1180" s="71" t="str">
        <x:v>17 | | | | | - | |</x:v>
      </x:c>
      <x:c r="R1180" s="71" t="str">
        <x:v>各廠商合約&amp; 報價\MD檔案\20260422 工務所裝潢合約.報價.md</x:v>
      </x:c>
    </x:row>
    <x:row r="1181">
      <x:c r="A1181" s="69" t="str">
        <x:v>ITEM01177</x:v>
      </x:c>
      <x:c r="B1181" s="69" t="str">
        <x:v>SRC074</x:v>
      </x:c>
      <x:c r="C1181" s="69" t="str">
        <x:v>2025-2026</x:v>
      </x:c>
      <x:c r="D1181" s="69" t="str">
        <x:v>summary</x:v>
      </x:c>
      <x:c r="E1181" s="69" t="str">
        <x:v>18</x:v>
      </x:c>
      <x:c r="F1181" s="71" t="str">
        <x:v>合計</x:v>
      </x:c>
      <x:c r="G1181" s="71" t="str">
        <x:v>文件未載明</x:v>
      </x:c>
      <x:c r="H1181" s="71" t="str">
        <x:v>109,700</x:v>
      </x:c>
      <x:c r="I1181" s="72"/>
      <x:c r="J1181" s="69" t="str">
        <x:v>文件未載明</x:v>
      </x:c>
      <x:c r="K1181" s="70"/>
      <x:c r="L1181" s="69" t="str">
        <x:v>文件未載明</x:v>
      </x:c>
      <x:c r="M1181" s="70"/>
      <x:c r="N1181" s="69" t="str">
        <x:v>文件未載明</x:v>
      </x:c>
      <x:c r="O1181" s="71" t="str">
        <x:v>文件未載明</x:v>
      </x:c>
      <x:c r="P1181" s="71" t="str">
        <x:v>HTML table 1 row 19</x:v>
      </x:c>
      <x:c r="Q1181" s="71" t="str">
        <x:v>18 | 合計 | | 109,700 |</x:v>
      </x:c>
      <x:c r="R1181" s="71" t="str">
        <x:v>各廠商合約&amp; 報價\MD檔案\20260422 工務所裝潢合約.報價.md</x:v>
      </x:c>
    </x:row>
    <x:row r="1182">
      <x:c r="A1182" s="69" t="str">
        <x:v>ITEM01178</x:v>
      </x:c>
      <x:c r="B1182" s="69" t="str">
        <x:v>SRC074</x:v>
      </x:c>
      <x:c r="C1182" s="69" t="str">
        <x:v>2025-2026</x:v>
      </x:c>
      <x:c r="D1182" s="69" t="str">
        <x:v>detail</x:v>
      </x:c>
      <x:c r="E1182" s="69" t="str">
        <x:v>19</x:v>
      </x:c>
      <x:c r="F1182" s="71" t="str">
        <x:v>木作工程</x:v>
      </x:c>
      <x:c r="G1182" s="71" t="str">
        <x:v>文件未載明</x:v>
      </x:c>
      <x:c r="H1182" s="71" t="str">
        <x:v>文件未載明</x:v>
      </x:c>
      <x:c r="I1182" s="72"/>
      <x:c r="J1182" s="69" t="str">
        <x:v>文件未載明</x:v>
      </x:c>
      <x:c r="K1182" s="70"/>
      <x:c r="L1182" s="69" t="str">
        <x:v>文件未載明</x:v>
      </x:c>
      <x:c r="M1182" s="70"/>
      <x:c r="N1182" s="69" t="str">
        <x:v>天花板日本麗仕矽酸鈣板.永新集成角材OR同等級材料</x:v>
      </x:c>
      <x:c r="O1182" s="71" t="str">
        <x:v>文件未載明</x:v>
      </x:c>
      <x:c r="P1182" s="71" t="str">
        <x:v>HTML table 1 row 20</x:v>
      </x:c>
      <x:c r="Q1182" s="71" t="str">
        <x:v>19 | 木作工程 | | | | 天花板日本麗仕矽酸鈣板.永新集成角材OR同等級材料</x:v>
      </x:c>
      <x:c r="R1182" s="71" t="str">
        <x:v>各廠商合約&amp; 報價\MD檔案\20260422 工務所裝潢合約.報價.md</x:v>
      </x:c>
    </x:row>
    <x:row r="1183">
      <x:c r="A1183" s="69" t="str">
        <x:v>ITEM01179</x:v>
      </x:c>
      <x:c r="B1183" s="69" t="str">
        <x:v>SRC074</x:v>
      </x:c>
      <x:c r="C1183" s="69" t="str">
        <x:v>2025-2026</x:v>
      </x:c>
      <x:c r="D1183" s="69" t="str">
        <x:v>detail</x:v>
      </x:c>
      <x:c r="E1183" s="69" t="str">
        <x:v>20</x:v>
      </x:c>
      <x:c r="F1183" s="71" t="str">
        <x:v>平釘天花板</x:v>
      </x:c>
      <x:c r="G1183" s="71" t="str">
        <x:v>文件未載明</x:v>
      </x:c>
      <x:c r="H1183" s="71" t="str">
        <x:v>坪</x:v>
      </x:c>
      <x:c r="I1183" s="72" t="n">
        <x:v>1</x:v>
      </x:c>
      <x:c r="J1183" s="69" t="str">
        <x:v>1</x:v>
      </x:c>
      <x:c r="K1183" s="70" t="n">
        <x:v>4800</x:v>
      </x:c>
      <x:c r="L1183" s="69" t="str">
        <x:v>4,800</x:v>
      </x:c>
      <x:c r="M1183" s="70" t="n">
        <x:v>4800</x:v>
      </x:c>
      <x:c r="N1183" s="69" t="str">
        <x:v>4,800</x:v>
      </x:c>
      <x:c r="O1183" s="71" t="str">
        <x:v>文件未載明</x:v>
      </x:c>
      <x:c r="P1183" s="71" t="str">
        <x:v>HTML table 1 row 21</x:v>
      </x:c>
      <x:c r="Q1183" s="71" t="str">
        <x:v>20 | 平釘天花板 | 1 | 坪 | 4,800 | 4,800 | |</x:v>
      </x:c>
      <x:c r="R1183" s="71" t="str">
        <x:v>各廠商合約&amp; 報價\MD檔案\20260422 工務所裝潢合約.報價.md</x:v>
      </x:c>
    </x:row>
    <x:row r="1184">
      <x:c r="A1184" s="69" t="str">
        <x:v>ITEM01180</x:v>
      </x:c>
      <x:c r="B1184" s="69" t="str">
        <x:v>SRC074</x:v>
      </x:c>
      <x:c r="C1184" s="69" t="str">
        <x:v>2025-2026</x:v>
      </x:c>
      <x:c r="D1184" s="69" t="str">
        <x:v>detail</x:v>
      </x:c>
      <x:c r="E1184" s="69" t="str">
        <x:v>21</x:v>
      </x:c>
      <x:c r="F1184" s="71" t="str">
        <x:v>窗簾盒</x:v>
      </x:c>
      <x:c r="G1184" s="71" t="str">
        <x:v>文件未載明</x:v>
      </x:c>
      <x:c r="H1184" s="71" t="str">
        <x:v>尺</x:v>
      </x:c>
      <x:c r="I1184" s="72" t="n">
        <x:v>36</x:v>
      </x:c>
      <x:c r="J1184" s="69" t="str">
        <x:v>36</x:v>
      </x:c>
      <x:c r="K1184" s="70" t="n">
        <x:v>1000</x:v>
      </x:c>
      <x:c r="L1184" s="69" t="str">
        <x:v>1,000</x:v>
      </x:c>
      <x:c r="M1184" s="70" t="n">
        <x:v>36000</x:v>
      </x:c>
      <x:c r="N1184" s="69" t="str">
        <x:v>36,000</x:v>
      </x:c>
      <x:c r="O1184" s="71" t="str">
        <x:v>文件未載明</x:v>
      </x:c>
      <x:c r="P1184" s="71" t="str">
        <x:v>HTML table 1 row 22</x:v>
      </x:c>
      <x:c r="Q1184" s="71" t="str">
        <x:v>21 | 窗簾盒 | 36 | 尺 | 1,000 | 36,000 | |</x:v>
      </x:c>
      <x:c r="R1184" s="71" t="str">
        <x:v>各廠商合約&amp; 報價\MD檔案\20260422 工務所裝潢合約.報價.md</x:v>
      </x:c>
    </x:row>
    <x:row r="1185">
      <x:c r="A1185" s="69" t="str">
        <x:v>ITEM01181</x:v>
      </x:c>
      <x:c r="B1185" s="69" t="str">
        <x:v>SRC074</x:v>
      </x:c>
      <x:c r="C1185" s="69" t="str">
        <x:v>2025-2026</x:v>
      </x:c>
      <x:c r="D1185" s="69" t="str">
        <x:v>detail</x:v>
      </x:c>
      <x:c r="E1185" s="69" t="str">
        <x:v>22</x:v>
      </x:c>
      <x:c r="F1185" s="71" t="str">
        <x:v>冷氣座開孔</x:v>
      </x:c>
      <x:c r="G1185" s="71" t="str">
        <x:v>文件未載明</x:v>
      </x:c>
      <x:c r="H1185" s="71" t="str">
        <x:v>式</x:v>
      </x:c>
      <x:c r="I1185" s="72" t="n">
        <x:v>3</x:v>
      </x:c>
      <x:c r="J1185" s="69" t="str">
        <x:v>3</x:v>
      </x:c>
      <x:c r="K1185" s="70" t="n">
        <x:v>200</x:v>
      </x:c>
      <x:c r="L1185" s="69" t="str">
        <x:v>200</x:v>
      </x:c>
      <x:c r="M1185" s="70" t="n">
        <x:v>600</x:v>
      </x:c>
      <x:c r="N1185" s="69" t="str">
        <x:v>600</x:v>
      </x:c>
      <x:c r="O1185" s="71" t="str">
        <x:v>文件未載明</x:v>
      </x:c>
      <x:c r="P1185" s="71" t="str">
        <x:v>HTML table 1 row 23</x:v>
      </x:c>
      <x:c r="Q1185" s="71" t="str">
        <x:v>22 | 冷氣座開孔 | 3 | 式 | 200 | 600 | |</x:v>
      </x:c>
      <x:c r="R1185" s="71" t="str">
        <x:v>各廠商合約&amp; 報價\MD檔案\20260422 工務所裝潢合約.報價.md</x:v>
      </x:c>
    </x:row>
    <x:row r="1186">
      <x:c r="A1186" s="69" t="str">
        <x:v>ITEM01182</x:v>
      </x:c>
      <x:c r="B1186" s="69" t="str">
        <x:v>SRC074</x:v>
      </x:c>
      <x:c r="C1186" s="69" t="str">
        <x:v>2025-2026</x:v>
      </x:c>
      <x:c r="D1186" s="69" t="str">
        <x:v>detail</x:v>
      </x:c>
      <x:c r="E1186" s="69" t="str">
        <x:v>23</x:v>
      </x:c>
      <x:c r="F1186" s="71" t="str">
        <x:v>頂天隔間牆(雙面封板)</x:v>
      </x:c>
      <x:c r="G1186" s="71" t="str">
        <x:v>文件未載明</x:v>
      </x:c>
      <x:c r="H1186" s="71" t="str">
        <x:v>尺</x:v>
      </x:c>
      <x:c r="I1186" s="72" t="n">
        <x:v>13</x:v>
      </x:c>
      <x:c r="J1186" s="69" t="str">
        <x:v>13</x:v>
      </x:c>
      <x:c r="K1186" s="70" t="n">
        <x:v>3500</x:v>
      </x:c>
      <x:c r="L1186" s="69" t="str">
        <x:v>3,500</x:v>
      </x:c>
      <x:c r="M1186" s="70" t="n">
        <x:v>45500</x:v>
      </x:c>
      <x:c r="N1186" s="69" t="str">
        <x:v>45,500</x:v>
      </x:c>
      <x:c r="O1186" s="71" t="str">
        <x:v>文件未載明</x:v>
      </x:c>
      <x:c r="P1186" s="71" t="str">
        <x:v>HTML table 1 row 24</x:v>
      </x:c>
      <x:c r="Q1186" s="71" t="str">
        <x:v>23 | 頂天隔間牆(雙面封板) | 13 | 尺 | 3,500 | 45,500 | |</x:v>
      </x:c>
      <x:c r="R1186" s="71" t="str">
        <x:v>各廠商合約&amp; 報價\MD檔案\20260422 工務所裝潢合約.報價.md</x:v>
      </x:c>
    </x:row>
    <x:row r="1187">
      <x:c r="A1187" s="69" t="str">
        <x:v>ITEM01183</x:v>
      </x:c>
      <x:c r="B1187" s="69" t="str">
        <x:v>SRC074</x:v>
      </x:c>
      <x:c r="C1187" s="69" t="str">
        <x:v>2025-2026</x:v>
      </x:c>
      <x:c r="D1187" s="69" t="str">
        <x:v>detail</x:v>
      </x:c>
      <x:c r="E1187" s="69" t="str">
        <x:v>24</x:v>
      </x:c>
      <x:c r="F1187" s="71" t="str">
        <x:v>↑開孔+打板(配合玻璃)</x:v>
      </x:c>
      <x:c r="G1187" s="71" t="str">
        <x:v>文件未載明</x:v>
      </x:c>
      <x:c r="H1187" s="71" t="str">
        <x:v>式</x:v>
      </x:c>
      <x:c r="I1187" s="72" t="n">
        <x:v>1</x:v>
      </x:c>
      <x:c r="J1187" s="69" t="str">
        <x:v>1</x:v>
      </x:c>
      <x:c r="K1187" s="70" t="n">
        <x:v>16000</x:v>
      </x:c>
      <x:c r="L1187" s="69" t="str">
        <x:v>16,000</x:v>
      </x:c>
      <x:c r="M1187" s="70" t="n">
        <x:v>16000</x:v>
      </x:c>
      <x:c r="N1187" s="69" t="str">
        <x:v>16,000</x:v>
      </x:c>
      <x:c r="O1187" s="71" t="str">
        <x:v>內貼皮</x:v>
      </x:c>
      <x:c r="P1187" s="71" t="str">
        <x:v>HTML table 1 row 25</x:v>
      </x:c>
      <x:c r="Q1187" s="71" t="str">
        <x:v>24 | ↑開孔+打板(配合玻璃) | 1 | 式 | 16,000 | 16,000 | | 內貼皮</x:v>
      </x:c>
      <x:c r="R1187" s="71" t="str">
        <x:v>各廠商合約&amp; 報價\MD檔案\20260422 工務所裝潢合約.報價.md</x:v>
      </x:c>
    </x:row>
    <x:row r="1188">
      <x:c r="A1188" s="69" t="str">
        <x:v>ITEM01184</x:v>
      </x:c>
      <x:c r="B1188" s="69" t="str">
        <x:v>SRC074</x:v>
      </x:c>
      <x:c r="C1188" s="69" t="str">
        <x:v>2025-2026</x:v>
      </x:c>
      <x:c r="D1188" s="69" t="str">
        <x:v>detail</x:v>
      </x:c>
      <x:c r="E1188" s="69" t="str">
        <x:v>25</x:v>
      </x:c>
      <x:c r="F1188" s="71" t="str">
        <x:v>↑內R</x:v>
      </x:c>
      <x:c r="G1188" s="71" t="str">
        <x:v>文件未載明</x:v>
      </x:c>
      <x:c r="H1188" s="71" t="str">
        <x:v>式</x:v>
      </x:c>
      <x:c r="I1188" s="72" t="n">
        <x:v>1</x:v>
      </x:c>
      <x:c r="J1188" s="69" t="str">
        <x:v>1</x:v>
      </x:c>
      <x:c r="K1188" s="70" t="n">
        <x:v>12000</x:v>
      </x:c>
      <x:c r="L1188" s="69" t="str">
        <x:v>12,000</x:v>
      </x:c>
      <x:c r="M1188" s="70" t="n">
        <x:v>12000</x:v>
      </x:c>
      <x:c r="N1188" s="69" t="str">
        <x:v>12,000</x:v>
      </x:c>
      <x:c r="O1188" s="71" t="str">
        <x:v>文件未載明</x:v>
      </x:c>
      <x:c r="P1188" s="71" t="str">
        <x:v>HTML table 1 row 26</x:v>
      </x:c>
      <x:c r="Q1188" s="71" t="str">
        <x:v>25 | ↑內R | 1 | 式 | 12,000 | 12,000 | |</x:v>
      </x:c>
      <x:c r="R1188" s="71" t="str">
        <x:v>各廠商合約&amp; 報價\MD檔案\20260422 工務所裝潢合約.報價.md</x:v>
      </x:c>
    </x:row>
    <x:row r="1189">
      <x:c r="A1189" s="69" t="str">
        <x:v>ITEM01185</x:v>
      </x:c>
      <x:c r="B1189" s="69" t="str">
        <x:v>SRC074</x:v>
      </x:c>
      <x:c r="C1189" s="69" t="str">
        <x:v>2025-2026</x:v>
      </x:c>
      <x:c r="D1189" s="69" t="str">
        <x:v>detail</x:v>
      </x:c>
      <x:c r="E1189" s="69" t="str">
        <x:v>26</x:v>
      </x:c>
      <x:c r="F1189" s="71" t="str">
        <x:v>半高隔間牆(雙面封板)</x:v>
      </x:c>
      <x:c r="G1189" s="71" t="str">
        <x:v>文件未載明</x:v>
      </x:c>
      <x:c r="H1189" s="71" t="str">
        <x:v>尺</x:v>
      </x:c>
      <x:c r="I1189" s="72" t="n">
        <x:v>4</x:v>
      </x:c>
      <x:c r="J1189" s="69" t="str">
        <x:v>4</x:v>
      </x:c>
      <x:c r="K1189" s="70" t="n">
        <x:v>2500</x:v>
      </x:c>
      <x:c r="L1189" s="69" t="str">
        <x:v>2,500</x:v>
      </x:c>
      <x:c r="M1189" s="70" t="n">
        <x:v>10000</x:v>
      </x:c>
      <x:c r="N1189" s="69" t="str">
        <x:v>10,000</x:v>
      </x:c>
      <x:c r="O1189" s="71" t="str">
        <x:v>文件未載明</x:v>
      </x:c>
      <x:c r="P1189" s="71" t="str">
        <x:v>HTML table 1 row 27</x:v>
      </x:c>
      <x:c r="Q1189" s="71" t="str">
        <x:v>26 | 半高隔間牆(雙面封板) | 4 | 尺 | 2,500 | 10,000 | |</x:v>
      </x:c>
      <x:c r="R1189" s="71" t="str">
        <x:v>各廠商合約&amp; 報價\MD檔案\20260422 工務所裝潢合約.報價.md</x:v>
      </x:c>
    </x:row>
    <x:row r="1190">
      <x:c r="A1190" s="69" t="str">
        <x:v>ITEM01186</x:v>
      </x:c>
      <x:c r="B1190" s="69" t="str">
        <x:v>SRC074</x:v>
      </x:c>
      <x:c r="C1190" s="69" t="str">
        <x:v>2025-2026</x:v>
      </x:c>
      <x:c r="D1190" s="69" t="str">
        <x:v>detail</x:v>
      </x:c>
      <x:c r="E1190" s="69" t="str">
        <x:v>27</x:v>
      </x:c>
      <x:c r="F1190" s="71" t="str">
        <x:v>↑外R+內R</x:v>
      </x:c>
      <x:c r="G1190" s="71" t="str">
        <x:v>文件未載明</x:v>
      </x:c>
      <x:c r="H1190" s="71" t="str">
        <x:v>式</x:v>
      </x:c>
      <x:c r="I1190" s="72" t="n">
        <x:v>1</x:v>
      </x:c>
      <x:c r="J1190" s="69" t="str">
        <x:v>1</x:v>
      </x:c>
      <x:c r="K1190" s="70" t="n">
        <x:v>8000</x:v>
      </x:c>
      <x:c r="L1190" s="69" t="str">
        <x:v>8,000</x:v>
      </x:c>
      <x:c r="M1190" s="70" t="n">
        <x:v>8000</x:v>
      </x:c>
      <x:c r="N1190" s="69" t="str">
        <x:v>8,000</x:v>
      </x:c>
      <x:c r="O1190" s="71" t="str">
        <x:v>文件未載明</x:v>
      </x:c>
      <x:c r="P1190" s="71" t="str">
        <x:v>HTML table 1 row 28</x:v>
      </x:c>
      <x:c r="Q1190" s="71" t="str">
        <x:v>27 | ↑外R+內R | 1 | 式 | 8,000 | 8,000 | |</x:v>
      </x:c>
      <x:c r="R1190" s="71" t="str">
        <x:v>各廠商合約&amp; 報價\MD檔案\20260422 工務所裝潢合約.報價.md</x:v>
      </x:c>
    </x:row>
    <x:row r="1191">
      <x:c r="A1191" s="69" t="str">
        <x:v>ITEM01187</x:v>
      </x:c>
      <x:c r="B1191" s="69" t="str">
        <x:v>SRC074</x:v>
      </x:c>
      <x:c r="C1191" s="69" t="str">
        <x:v>2025-2026</x:v>
      </x:c>
      <x:c r="D1191" s="69" t="str">
        <x:v>detail</x:v>
      </x:c>
      <x:c r="E1191" s="69" t="str">
        <x:v>28</x:v>
      </x:c>
      <x:c r="F1191" s="71" t="str">
        <x:v>-</x:v>
      </x:c>
      <x:c r="G1191" s="71" t="str">
        <x:v>文件未載明</x:v>
      </x:c>
      <x:c r="H1191" s="71" t="str">
        <x:v>文件未載明</x:v>
      </x:c>
      <x:c r="I1191" s="72"/>
      <x:c r="J1191" s="69" t="str">
        <x:v>文件未載明</x:v>
      </x:c>
      <x:c r="K1191" s="70"/>
      <x:c r="L1191" s="69" t="str">
        <x:v>文件未載明</x:v>
      </x:c>
      <x:c r="M1191" s="70"/>
      <x:c r="N1191" s="69" t="str">
        <x:v>-</x:v>
      </x:c>
      <x:c r="O1191" s="71" t="str">
        <x:v>文件未載明</x:v>
      </x:c>
      <x:c r="P1191" s="71" t="str">
        <x:v>HTML table 1 row 29</x:v>
      </x:c>
      <x:c r="Q1191" s="71" t="str">
        <x:v>28 | | | | | - | |</x:v>
      </x:c>
      <x:c r="R1191" s="71" t="str">
        <x:v>各廠商合約&amp; 報價\MD檔案\20260422 工務所裝潢合約.報價.md</x:v>
      </x:c>
    </x:row>
    <x:row r="1192">
      <x:c r="A1192" s="69" t="str">
        <x:v>ITEM01188</x:v>
      </x:c>
      <x:c r="B1192" s="69" t="str">
        <x:v>SRC074</x:v>
      </x:c>
      <x:c r="C1192" s="69" t="str">
        <x:v>2025-2026</x:v>
      </x:c>
      <x:c r="D1192" s="69" t="str">
        <x:v>detail</x:v>
      </x:c>
      <x:c r="E1192" s="69" t="str">
        <x:v>29</x:v>
      </x:c>
      <x:c r="F1192" s="71" t="str">
        <x:v>-</x:v>
      </x:c>
      <x:c r="G1192" s="71" t="str">
        <x:v>文件未載明</x:v>
      </x:c>
      <x:c r="H1192" s="71" t="str">
        <x:v>文件未載明</x:v>
      </x:c>
      <x:c r="I1192" s="72"/>
      <x:c r="J1192" s="69" t="str">
        <x:v>文件未載明</x:v>
      </x:c>
      <x:c r="K1192" s="70"/>
      <x:c r="L1192" s="69" t="str">
        <x:v>文件未載明</x:v>
      </x:c>
      <x:c r="M1192" s="70"/>
      <x:c r="N1192" s="69" t="str">
        <x:v>-</x:v>
      </x:c>
      <x:c r="O1192" s="71" t="str">
        <x:v>文件未載明</x:v>
      </x:c>
      <x:c r="P1192" s="71" t="str">
        <x:v>HTML table 1 row 30</x:v>
      </x:c>
      <x:c r="Q1192" s="71" t="str">
        <x:v>29 | | | | | - | |</x:v>
      </x:c>
      <x:c r="R1192" s="71" t="str">
        <x:v>各廠商合約&amp; 報價\MD檔案\20260422 工務所裝潢合約.報價.md</x:v>
      </x:c>
    </x:row>
    <x:row r="1193">
      <x:c r="A1193" s="69" t="str">
        <x:v>ITEM01189</x:v>
      </x:c>
      <x:c r="B1193" s="69" t="str">
        <x:v>SRC074</x:v>
      </x:c>
      <x:c r="C1193" s="69" t="str">
        <x:v>2025-2026</x:v>
      </x:c>
      <x:c r="D1193" s="69" t="str">
        <x:v>summary</x:v>
      </x:c>
      <x:c r="E1193" s="69" t="str">
        <x:v>30</x:v>
      </x:c>
      <x:c r="F1193" s="71" t="str">
        <x:v>合計</x:v>
      </x:c>
      <x:c r="G1193" s="71" t="str">
        <x:v>文件未載明</x:v>
      </x:c>
      <x:c r="H1193" s="71" t="str">
        <x:v>132,900</x:v>
      </x:c>
      <x:c r="I1193" s="72"/>
      <x:c r="J1193" s="69" t="str">
        <x:v>文件未載明</x:v>
      </x:c>
      <x:c r="K1193" s="70"/>
      <x:c r="L1193" s="69" t="str">
        <x:v>文件未載明</x:v>
      </x:c>
      <x:c r="M1193" s="70"/>
      <x:c r="N1193" s="69" t="str">
        <x:v>文件未載明</x:v>
      </x:c>
      <x:c r="O1193" s="71" t="str">
        <x:v>文件未載明</x:v>
      </x:c>
      <x:c r="P1193" s="71" t="str">
        <x:v>HTML table 1 row 31</x:v>
      </x:c>
      <x:c r="Q1193" s="71" t="str">
        <x:v>30 | 合計 | | 132,900 |</x:v>
      </x:c>
      <x:c r="R1193" s="71" t="str">
        <x:v>各廠商合約&amp; 報價\MD檔案\20260422 工務所裝潢合約.報價.md</x:v>
      </x:c>
    </x:row>
    <x:row r="1194">
      <x:c r="A1194" s="69" t="str">
        <x:v>ITEM01190</x:v>
      </x:c>
      <x:c r="B1194" s="69" t="str">
        <x:v>SRC074</x:v>
      </x:c>
      <x:c r="C1194" s="69" t="str">
        <x:v>2025-2026</x:v>
      </x:c>
      <x:c r="D1194" s="69" t="str">
        <x:v>detail</x:v>
      </x:c>
      <x:c r="E1194" s="69" t="str">
        <x:v>31</x:v>
      </x:c>
      <x:c r="F1194" s="71" t="str">
        <x:v>油漆工程</x:v>
      </x:c>
      <x:c r="G1194" s="71" t="str">
        <x:v>文件未載明</x:v>
      </x:c>
      <x:c r="H1194" s="71" t="str">
        <x:v>文件未載明</x:v>
      </x:c>
      <x:c r="I1194" s="72"/>
      <x:c r="J1194" s="69" t="str">
        <x:v>文件未載明</x:v>
      </x:c>
      <x:c r="K1194" s="70"/>
      <x:c r="L1194" s="69" t="str">
        <x:v>文件未載明</x:v>
      </x:c>
      <x:c r="M1194" s="70"/>
      <x:c r="N1194" s="69" t="str">
        <x:v>文件未載明</x:v>
      </x:c>
      <x:c r="O1194" s="71" t="str">
        <x:v>同建商油漆色號.水泥漆</x:v>
      </x:c>
      <x:c r="P1194" s="71" t="str">
        <x:v>HTML table 1 row 32</x:v>
      </x:c>
      <x:c r="Q1194" s="71" t="str">
        <x:v>31 | 油漆工程 | | | | | | 同建商油漆色號.水泥漆</x:v>
      </x:c>
      <x:c r="R1194" s="71" t="str">
        <x:v>各廠商合約&amp; 報價\MD檔案\20260422 工務所裝潢合約.報價.md</x:v>
      </x:c>
    </x:row>
    <x:row r="1195">
      <x:c r="A1195" s="69" t="str">
        <x:v>ITEM01191</x:v>
      </x:c>
      <x:c r="B1195" s="69" t="str">
        <x:v>SRC074</x:v>
      </x:c>
      <x:c r="C1195" s="69" t="str">
        <x:v>2025-2026</x:v>
      </x:c>
      <x:c r="D1195" s="69" t="str">
        <x:v>detail</x:v>
      </x:c>
      <x:c r="E1195" s="69" t="str">
        <x:v>32</x:v>
      </x:c>
      <x:c r="F1195" s="71" t="str">
        <x:v>平釘天花板</x:v>
      </x:c>
      <x:c r="G1195" s="71" t="str">
        <x:v>文件未載明</x:v>
      </x:c>
      <x:c r="H1195" s="71" t="str">
        <x:v>坪</x:v>
      </x:c>
      <x:c r="I1195" s="72" t="n">
        <x:v>1</x:v>
      </x:c>
      <x:c r="J1195" s="69" t="str">
        <x:v>1</x:v>
      </x:c>
      <x:c r="K1195" s="70" t="n">
        <x:v>2100</x:v>
      </x:c>
      <x:c r="L1195" s="69" t="str">
        <x:v>2,100</x:v>
      </x:c>
      <x:c r="M1195" s="70" t="n">
        <x:v>2100</x:v>
      </x:c>
      <x:c r="N1195" s="69" t="str">
        <x:v>2,100</x:v>
      </x:c>
      <x:c r="O1195" s="71" t="str">
        <x:v>文件未載明</x:v>
      </x:c>
      <x:c r="P1195" s="71" t="str">
        <x:v>HTML table 1 row 33</x:v>
      </x:c>
      <x:c r="Q1195" s="71" t="str">
        <x:v>32 | 平釘天花板 | 1 | 坪 | 2,100 | 2,100 | |</x:v>
      </x:c>
      <x:c r="R1195" s="71" t="str">
        <x:v>各廠商合約&amp; 報價\MD檔案\20260422 工務所裝潢合約.報價.md</x:v>
      </x:c>
    </x:row>
    <x:row r="1196">
      <x:c r="A1196" s="69" t="str">
        <x:v>ITEM01192</x:v>
      </x:c>
      <x:c r="B1196" s="69" t="str">
        <x:v>SRC074</x:v>
      </x:c>
      <x:c r="C1196" s="69" t="str">
        <x:v>2025-2026</x:v>
      </x:c>
      <x:c r="D1196" s="69" t="str">
        <x:v>detail</x:v>
      </x:c>
      <x:c r="E1196" s="69" t="str">
        <x:v>33</x:v>
      </x:c>
      <x:c r="F1196" s="71" t="str">
        <x:v>窗簾盒/冷氣座/包樑/包管</x:v>
      </x:c>
      <x:c r="G1196" s="71" t="str">
        <x:v>文件未載明</x:v>
      </x:c>
      <x:c r="H1196" s="71" t="str">
        <x:v>尺</x:v>
      </x:c>
      <x:c r="I1196" s="72" t="n">
        <x:v>36</x:v>
      </x:c>
      <x:c r="J1196" s="69" t="str">
        <x:v>36</x:v>
      </x:c>
      <x:c r="K1196" s="70" t="n">
        <x:v>700</x:v>
      </x:c>
      <x:c r="L1196" s="69" t="str">
        <x:v>700</x:v>
      </x:c>
      <x:c r="M1196" s="70" t="n">
        <x:v>25200</x:v>
      </x:c>
      <x:c r="N1196" s="69" t="str">
        <x:v>25,200</x:v>
      </x:c>
      <x:c r="O1196" s="71" t="str">
        <x:v>文件未載明</x:v>
      </x:c>
      <x:c r="P1196" s="71" t="str">
        <x:v>HTML table 1 row 34</x:v>
      </x:c>
      <x:c r="Q1196" s="71" t="str">
        <x:v>33 | 窗簾盒/冷氣座/包樑/包管 | 36 | 尺 | 700 | 25,200 | |</x:v>
      </x:c>
      <x:c r="R1196" s="71" t="str">
        <x:v>各廠商合約&amp; 報價\MD檔案\20260422 工務所裝潢合約.報價.md</x:v>
      </x:c>
    </x:row>
    <x:row r="1197">
      <x:c r="A1197" s="69" t="str">
        <x:v>ITEM01193</x:v>
      </x:c>
      <x:c r="B1197" s="69" t="str">
        <x:v>SRC074</x:v>
      </x:c>
      <x:c r="C1197" s="69" t="str">
        <x:v>2025-2026</x:v>
      </x:c>
      <x:c r="D1197" s="69" t="str">
        <x:v>detail</x:v>
      </x:c>
      <x:c r="E1197" s="69" t="str">
        <x:v>34</x:v>
      </x:c>
      <x:c r="F1197" s="71" t="str">
        <x:v>弧形包管</x:v>
      </x:c>
      <x:c r="G1197" s="71" t="str">
        <x:v>文件未載明</x:v>
      </x:c>
      <x:c r="H1197" s="71" t="str">
        <x:v>尺</x:v>
      </x:c>
      <x:c r="I1197" s="72" t="n">
        <x:v>17</x:v>
      </x:c>
      <x:c r="J1197" s="69" t="str">
        <x:v>17</x:v>
      </x:c>
      <x:c r="K1197" s="70" t="n">
        <x:v>1000</x:v>
      </x:c>
      <x:c r="L1197" s="69" t="str">
        <x:v>1,000</x:v>
      </x:c>
      <x:c r="M1197" s="70" t="n">
        <x:v>17000</x:v>
      </x:c>
      <x:c r="N1197" s="69" t="str">
        <x:v>17,000</x:v>
      </x:c>
      <x:c r="O1197" s="71" t="str">
        <x:v>文件未載明</x:v>
      </x:c>
      <x:c r="P1197" s="71" t="str">
        <x:v>HTML table 1 row 35</x:v>
      </x:c>
      <x:c r="Q1197" s="71" t="str">
        <x:v>34 | 弧形包管 | 17 | 尺 | 1,000 | 17,000 | |</x:v>
      </x:c>
      <x:c r="R1197" s="71" t="str">
        <x:v>各廠商合約&amp; 報價\MD檔案\20260422 工務所裝潢合約.報價.md</x:v>
      </x:c>
    </x:row>
    <x:row r="1198">
      <x:c r="A1198" s="69" t="str">
        <x:v>ITEM01194</x:v>
      </x:c>
      <x:c r="B1198" s="69" t="str">
        <x:v>SRC074</x:v>
      </x:c>
      <x:c r="C1198" s="69" t="str">
        <x:v>2025-2026</x:v>
      </x:c>
      <x:c r="D1198" s="69" t="str">
        <x:v>detail</x:v>
      </x:c>
      <x:c r="E1198" s="69" t="str">
        <x:v>35</x:v>
      </x:c>
      <x:c r="F1198" s="71" t="str">
        <x:v>頂天隔間牆.雙面</x:v>
      </x:c>
      <x:c r="G1198" s="71" t="str">
        <x:v>文件未載明</x:v>
      </x:c>
      <x:c r="H1198" s="71" t="str">
        <x:v>坪</x:v>
      </x:c>
      <x:c r="I1198" s="72" t="n">
        <x:v>7</x:v>
      </x:c>
      <x:c r="J1198" s="69" t="str">
        <x:v>7</x:v>
      </x:c>
      <x:c r="K1198" s="70" t="n">
        <x:v>2400</x:v>
      </x:c>
      <x:c r="L1198" s="69" t="str">
        <x:v>2,400</x:v>
      </x:c>
      <x:c r="M1198" s="70" t="n">
        <x:v>16800</x:v>
      </x:c>
      <x:c r="N1198" s="69" t="str">
        <x:v>16,800</x:v>
      </x:c>
      <x:c r="O1198" s="71" t="str">
        <x:v>乳膠漆.含批土.打磨</x:v>
      </x:c>
      <x:c r="P1198" s="71" t="str">
        <x:v>HTML table 1 row 36</x:v>
      </x:c>
      <x:c r="Q1198" s="71" t="str">
        <x:v>35 | 頂天隔間牆.雙面 | 7 | 坪 | 2,400 | 16,800 | | 乳膠漆.含批土.打磨</x:v>
      </x:c>
      <x:c r="R1198" s="71" t="str">
        <x:v>各廠商合約&amp; 報價\MD檔案\20260422 工務所裝潢合約.報價.md</x:v>
      </x:c>
    </x:row>
    <x:row r="1199">
      <x:c r="A1199" s="69" t="str">
        <x:v>ITEM01195</x:v>
      </x:c>
      <x:c r="B1199" s="69" t="str">
        <x:v>SRC074</x:v>
      </x:c>
      <x:c r="C1199" s="69" t="str">
        <x:v>2025-2026</x:v>
      </x:c>
      <x:c r="D1199" s="69" t="str">
        <x:v>detail</x:v>
      </x:c>
      <x:c r="E1199" s="69" t="str">
        <x:v>36</x:v>
      </x:c>
      <x:c r="F1199" s="71" t="str">
        <x:v>半高隔間牆.雙面</x:v>
      </x:c>
      <x:c r="G1199" s="71" t="str">
        <x:v>文件未載明</x:v>
      </x:c>
      <x:c r="H1199" s="71" t="str">
        <x:v>尺</x:v>
      </x:c>
      <x:c r="I1199" s="72" t="n">
        <x:v>9</x:v>
      </x:c>
      <x:c r="J1199" s="69" t="str">
        <x:v>9</x:v>
      </x:c>
      <x:c r="K1199" s="70" t="n">
        <x:v>1000</x:v>
      </x:c>
      <x:c r="L1199" s="69" t="str">
        <x:v>1,000</x:v>
      </x:c>
      <x:c r="M1199" s="70" t="n">
        <x:v>9000</x:v>
      </x:c>
      <x:c r="N1199" s="69" t="str">
        <x:v>9,000</x:v>
      </x:c>
      <x:c r="O1199" s="71" t="str">
        <x:v>乳膠漆.含批土.打磨</x:v>
      </x:c>
      <x:c r="P1199" s="71" t="str">
        <x:v>HTML table 1 row 37</x:v>
      </x:c>
      <x:c r="Q1199" s="71" t="str">
        <x:v>36 | 半高隔間牆.雙面 | 9 | 尺 | 1,000 | 9,000 | | 乳膠漆.含批土.打磨</x:v>
      </x:c>
      <x:c r="R1199" s="71" t="str">
        <x:v>各廠商合約&amp; 報價\MD檔案\20260422 工務所裝潢合約.報價.md</x:v>
      </x:c>
    </x:row>
    <x:row r="1200">
      <x:c r="A1200" s="69" t="str">
        <x:v>ITEM01196</x:v>
      </x:c>
      <x:c r="B1200" s="69" t="str">
        <x:v>SRC074</x:v>
      </x:c>
      <x:c r="C1200" s="69" t="str">
        <x:v>2025-2026</x:v>
      </x:c>
      <x:c r="D1200" s="69" t="str">
        <x:v>detail</x:v>
      </x:c>
      <x:c r="E1200" s="69" t="str">
        <x:v>37</x:v>
      </x:c>
      <x:c r="F1200" s="71" t="str">
        <x:v>油漆修補</x:v>
      </x:c>
      <x:c r="G1200" s="71" t="str">
        <x:v>文件未載明</x:v>
      </x:c>
      <x:c r="H1200" s="71" t="str">
        <x:v>式</x:v>
      </x:c>
      <x:c r="I1200" s="72" t="n">
        <x:v>1</x:v>
      </x:c>
      <x:c r="J1200" s="69" t="str">
        <x:v>1</x:v>
      </x:c>
      <x:c r="K1200" s="70" t="n">
        <x:v>25000</x:v>
      </x:c>
      <x:c r="L1200" s="69" t="str">
        <x:v>25,000</x:v>
      </x:c>
      <x:c r="M1200" s="70" t="n">
        <x:v>25000</x:v>
      </x:c>
      <x:c r="N1200" s="69" t="str">
        <x:v>25,000</x:v>
      </x:c>
      <x:c r="O1200" s="71" t="str">
        <x:v>牆面膚污/打牆修補.</x:v>
      </x:c>
      <x:c r="P1200" s="71" t="str">
        <x:v>HTML table 1 row 38</x:v>
      </x:c>
      <x:c r="Q1200" s="71" t="str">
        <x:v>37 | 油漆修補 | 1 | 式 | 25,000 | 25,000 | | 牆面膚污/打牆修補.</x:v>
      </x:c>
      <x:c r="R1200" s="71" t="str">
        <x:v>各廠商合約&amp; 報價\MD檔案\20260422 工務所裝潢合約.報價.md</x:v>
      </x:c>
    </x:row>
    <x:row r="1201">
      <x:c r="A1201" s="69" t="str">
        <x:v>ITEM01197</x:v>
      </x:c>
      <x:c r="B1201" s="69" t="str">
        <x:v>SRC074</x:v>
      </x:c>
      <x:c r="C1201" s="69" t="str">
        <x:v>2025-2026</x:v>
      </x:c>
      <x:c r="D1201" s="69" t="str">
        <x:v>detail</x:v>
      </x:c>
      <x:c r="E1201" s="69" t="str">
        <x:v>38</x:v>
      </x:c>
      <x:c r="F1201" s="71" t="str">
        <x:v>-</x:v>
      </x:c>
      <x:c r="G1201" s="71" t="str">
        <x:v>文件未載明</x:v>
      </x:c>
      <x:c r="H1201" s="71" t="str">
        <x:v>文件未載明</x:v>
      </x:c>
      <x:c r="I1201" s="72"/>
      <x:c r="J1201" s="69" t="str">
        <x:v>文件未載明</x:v>
      </x:c>
      <x:c r="K1201" s="70"/>
      <x:c r="L1201" s="69" t="str">
        <x:v>文件未載明</x:v>
      </x:c>
      <x:c r="M1201" s="70"/>
      <x:c r="N1201" s="69" t="str">
        <x:v>-</x:v>
      </x:c>
      <x:c r="O1201" s="71" t="str">
        <x:v>不備扣款/跳槽</x:v>
      </x:c>
      <x:c r="P1201" s="71" t="str">
        <x:v>HTML table 1 row 39</x:v>
      </x:c>
      <x:c r="Q1201" s="71" t="str">
        <x:v>38 | | | | | - | | 不備扣款/跳槽</x:v>
      </x:c>
      <x:c r="R1201" s="71" t="str">
        <x:v>各廠商合約&amp; 報價\MD檔案\20260422 工務所裝潢合約.報價.md</x:v>
      </x:c>
    </x:row>
    <x:row r="1202">
      <x:c r="A1202" s="69" t="str">
        <x:v>ITEM01198</x:v>
      </x:c>
      <x:c r="B1202" s="69" t="str">
        <x:v>SRC074</x:v>
      </x:c>
      <x:c r="C1202" s="69" t="str">
        <x:v>2025-2026</x:v>
      </x:c>
      <x:c r="D1202" s="69" t="str">
        <x:v>detail</x:v>
      </x:c>
      <x:c r="E1202" s="69" t="str">
        <x:v>39</x:v>
      </x:c>
      <x:c r="F1202" s="71" t="str">
        <x:v>-</x:v>
      </x:c>
      <x:c r="G1202" s="71" t="str">
        <x:v>文件未載明</x:v>
      </x:c>
      <x:c r="H1202" s="71" t="str">
        <x:v>文件未載明</x:v>
      </x:c>
      <x:c r="I1202" s="72"/>
      <x:c r="J1202" s="69" t="str">
        <x:v>文件未載明</x:v>
      </x:c>
      <x:c r="K1202" s="70"/>
      <x:c r="L1202" s="69" t="str">
        <x:v>文件未載明</x:v>
      </x:c>
      <x:c r="M1202" s="70"/>
      <x:c r="N1202" s="69" t="str">
        <x:v>-</x:v>
      </x:c>
      <x:c r="O1202" s="71" t="str">
        <x:v>限股上建進</x:v>
      </x:c>
      <x:c r="P1202" s="71" t="str">
        <x:v>HTML table 1 row 40</x:v>
      </x:c>
      <x:c r="Q1202" s="71" t="str">
        <x:v>39 | | | | | - | | 限股上建進</x:v>
      </x:c>
      <x:c r="R1202" s="71" t="str">
        <x:v>各廠商合約&amp; 報價\MD檔案\20260422 工務所裝潢合約.報價.md</x:v>
      </x:c>
    </x:row>
    <x:row r="1203">
      <x:c r="A1203" s="69" t="str">
        <x:v>ITEM01199</x:v>
      </x:c>
      <x:c r="B1203" s="69" t="str">
        <x:v>SRC074</x:v>
      </x:c>
      <x:c r="C1203" s="69" t="str">
        <x:v>2025-2026</x:v>
      </x:c>
      <x:c r="D1203" s="69" t="str">
        <x:v>summary</x:v>
      </x:c>
      <x:c r="E1203" s="69" t="str">
        <x:v>40</x:v>
      </x:c>
      <x:c r="F1203" s="71" t="str">
        <x:v>合計</x:v>
      </x:c>
      <x:c r="G1203" s="71" t="str">
        <x:v>文件未載明</x:v>
      </x:c>
      <x:c r="H1203" s="71" t="str">
        <x:v>95,100</x:v>
      </x:c>
      <x:c r="I1203" s="72"/>
      <x:c r="J1203" s="69" t="str">
        <x:v>文件未載明</x:v>
      </x:c>
      <x:c r="K1203" s="70"/>
      <x:c r="L1203" s="69" t="str">
        <x:v>合公建</x:v>
      </x:c>
      <x:c r="M1203" s="70"/>
      <x:c r="N1203" s="69" t="str">
        <x:v>文件未載明</x:v>
      </x:c>
      <x:c r="O1203" s="71" t="str">
        <x:v>文件未載明</x:v>
      </x:c>
      <x:c r="P1203" s="71" t="str">
        <x:v>HTML table 1 row 41</x:v>
      </x:c>
      <x:c r="Q1203" s="71" t="str">
        <x:v>40 | 合計 | | 95,100 | 合公建</x:v>
      </x:c>
      <x:c r="R1203" s="71" t="str">
        <x:v>各廠商合約&amp; 報價\MD檔案\20260422 工務所裝潢合約.報價.md</x:v>
      </x:c>
    </x:row>
    <x:row r="1204">
      <x:c r="A1204" s="69" t="str">
        <x:v>ITEM01200</x:v>
      </x:c>
      <x:c r="B1204" s="69" t="str">
        <x:v>SRC074</x:v>
      </x:c>
      <x:c r="C1204" s="69" t="str">
        <x:v>2025-2026</x:v>
      </x:c>
      <x:c r="D1204" s="69" t="str">
        <x:v>detail</x:v>
      </x:c>
      <x:c r="E1204" s="69" t="str">
        <x:v>41</x:v>
      </x:c>
      <x:c r="F1204" s="71" t="str">
        <x:v>系統工程</x:v>
      </x:c>
      <x:c r="G1204" s="71" t="str">
        <x:v>文件未載明</x:v>
      </x:c>
      <x:c r="H1204" s="71" t="str">
        <x:v>文件未載明</x:v>
      </x:c>
      <x:c r="I1204" s="72"/>
      <x:c r="J1204" s="69" t="str">
        <x:v>文件未載明</x:v>
      </x:c>
      <x:c r="K1204" s="70"/>
      <x:c r="L1204" s="69" t="str">
        <x:v>文件未載明</x:v>
      </x:c>
      <x:c r="M1204" s="70"/>
      <x:c r="N1204" s="69" t="str">
        <x:v>五金鉸鍊為奧地利Blüm,滑軌為Kingslide.合金一般把手</x:v>
      </x:c>
      <x:c r="O1204" s="71" t="str">
        <x:v>文件未載明</x:v>
      </x:c>
      <x:c r="P1204" s="71" t="str">
        <x:v>HTML table 1 row 42</x:v>
      </x:c>
      <x:c r="Q1204" s="71" t="str">
        <x:v>41 | 系統工程 | | | | 五金鉸鍊為奧地利Blüm,滑軌為Kingslide.合金一般把手</x:v>
      </x:c>
      <x:c r="R1204" s="71" t="str">
        <x:v>各廠商合約&amp; 報價\MD檔案\20260422 工務所裝潢合約.報價.md</x:v>
      </x:c>
    </x:row>
    <x:row r="1205">
      <x:c r="A1205" s="69" t="str">
        <x:v>ITEM01201</x:v>
      </x:c>
      <x:c r="B1205" s="69" t="str">
        <x:v>SRC074</x:v>
      </x:c>
      <x:c r="C1205" s="69" t="str">
        <x:v>2025-2026</x:v>
      </x:c>
      <x:c r="D1205" s="69" t="str">
        <x:v>detail</x:v>
      </x:c>
      <x:c r="E1205" s="69" t="str">
        <x:v>42</x:v>
      </x:c>
      <x:c r="F1205" s="71" t="str">
        <x:v>開放辦公區上下收納櫃+高櫃</x:v>
      </x:c>
      <x:c r="G1205" s="71" t="str">
        <x:v>文件未載明</x:v>
      </x:c>
      <x:c r="H1205" s="71" t="str">
        <x:v>式</x:v>
      </x:c>
      <x:c r="I1205" s="72" t="n">
        <x:v>1</x:v>
      </x:c>
      <x:c r="J1205" s="69" t="str">
        <x:v>1</x:v>
      </x:c>
      <x:c r="K1205" s="70" t="n">
        <x:v>108000</x:v>
      </x:c>
      <x:c r="L1205" s="69" t="str">
        <x:v>108,000</x:v>
      </x:c>
      <x:c r="M1205" s="70" t="n">
        <x:v>108000</x:v>
      </x:c>
      <x:c r="N1205" s="69" t="str">
        <x:v>108,000</x:v>
      </x:c>
      <x:c r="O1205" s="71" t="str">
        <x:v>中間美背+上櫃LED洗溝</x:v>
      </x:c>
      <x:c r="P1205" s="71" t="str">
        <x:v>HTML table 1 row 43</x:v>
      </x:c>
      <x:c r="Q1205" s="71" t="str">
        <x:v>42 | 開放辦公區上下收納櫃+高櫃 | 1 | 式 | 108,000 | 108,000 | | 中間美背+上櫃LED洗溝</x:v>
      </x:c>
      <x:c r="R1205" s="71" t="str">
        <x:v>各廠商合約&amp; 報價\MD檔案\20260422 工務所裝潢合約.報價.md</x:v>
      </x:c>
    </x:row>
    <x:row r="1206">
      <x:c r="A1206" s="69" t="str">
        <x:v>ITEM01202</x:v>
      </x:c>
      <x:c r="B1206" s="69" t="str">
        <x:v>SRC074</x:v>
      </x:c>
      <x:c r="C1206" s="69" t="str">
        <x:v>2025-2026</x:v>
      </x:c>
      <x:c r="D1206" s="69" t="str">
        <x:v>detail</x:v>
      </x:c>
      <x:c r="E1206" s="69" t="str">
        <x:v>43</x:v>
      </x:c>
      <x:c r="F1206" s="71" t="str">
        <x:v>開放辦公區展示櫃+25層板</x:v>
      </x:c>
      <x:c r="G1206" s="71" t="str">
        <x:v>文件未載明</x:v>
      </x:c>
      <x:c r="H1206" s="71" t="str">
        <x:v>式</x:v>
      </x:c>
      <x:c r="I1206" s="72" t="n">
        <x:v>1</x:v>
      </x:c>
      <x:c r="J1206" s="69" t="str">
        <x:v>1</x:v>
      </x:c>
      <x:c r="K1206" s="70" t="n">
        <x:v>21600</x:v>
      </x:c>
      <x:c r="L1206" s="69" t="str">
        <x:v>21,600</x:v>
      </x:c>
      <x:c r="M1206" s="70" t="n">
        <x:v>21600</x:v>
      </x:c>
      <x:c r="N1206" s="69" t="str">
        <x:v>21,600</x:v>
      </x:c>
      <x:c r="O1206" s="71" t="str">
        <x:v>文件未載明</x:v>
      </x:c>
      <x:c r="P1206" s="71" t="str">
        <x:v>HTML table 1 row 44</x:v>
      </x:c>
      <x:c r="Q1206" s="71" t="str">
        <x:v>43 | 開放辦公區展示櫃+25層板 | 1 | 式 | 21,600 | 21,600 | |</x:v>
      </x:c>
      <x:c r="R1206" s="71" t="str">
        <x:v>各廠商合約&amp; 報價\MD檔案\20260422 工務所裝潢合約.報價.md</x:v>
      </x:c>
    </x:row>
    <x:row r="1207">
      <x:c r="A1207" s="69" t="str">
        <x:v>ITEM01203</x:v>
      </x:c>
      <x:c r="B1207" s="69" t="str">
        <x:v>SRC074</x:v>
      </x:c>
      <x:c r="C1207" s="69" t="str">
        <x:v>2025-2026</x:v>
      </x:c>
      <x:c r="D1207" s="69" t="str">
        <x:v>detail</x:v>
      </x:c>
      <x:c r="E1207" s="69" t="str">
        <x:v>44</x:v>
      </x:c>
      <x:c r="F1207" s="71" t="str">
        <x:v>印表機旁收納半腰櫃</x:v>
      </x:c>
      <x:c r="G1207" s="71" t="str">
        <x:v>文件未載明</x:v>
      </x:c>
      <x:c r="H1207" s="71" t="str">
        <x:v>式</x:v>
      </x:c>
      <x:c r="I1207" s="72" t="n">
        <x:v>1</x:v>
      </x:c>
      <x:c r="J1207" s="69" t="str">
        <x:v>1</x:v>
      </x:c>
      <x:c r="K1207" s="70" t="n">
        <x:v>16500</x:v>
      </x:c>
      <x:c r="L1207" s="69" t="str">
        <x:v>16,500</x:v>
      </x:c>
      <x:c r="M1207" s="70" t="n">
        <x:v>16500</x:v>
      </x:c>
      <x:c r="N1207" s="69" t="str">
        <x:v>16,500</x:v>
      </x:c>
      <x:c r="O1207" s="71" t="str">
        <x:v>文件未載明</x:v>
      </x:c>
      <x:c r="P1207" s="71" t="str">
        <x:v>HTML table 1 row 45</x:v>
      </x:c>
      <x:c r="Q1207" s="71" t="str">
        <x:v>44 | 印表機旁收納半腰櫃 | 1 | 式 | 16,500 | 16,500 | |</x:v>
      </x:c>
      <x:c r="R1207" s="71" t="str">
        <x:v>各廠商合約&amp; 報價\MD檔案\20260422 工務所裝潢合約.報價.md</x:v>
      </x:c>
    </x:row>
    <x:row r="1208">
      <x:c r="A1208" s="69" t="str">
        <x:v>ITEM01204</x:v>
      </x:c>
      <x:c r="B1208" s="69" t="str">
        <x:v>SRC074</x:v>
      </x:c>
      <x:c r="C1208" s="69" t="str">
        <x:v>2025-2026</x:v>
      </x:c>
      <x:c r="D1208" s="69" t="str">
        <x:v>detail</x:v>
      </x:c>
      <x:c r="E1208" s="69" t="str">
        <x:v>45</x:v>
      </x:c>
      <x:c r="F1208" s="71" t="str">
        <x:v>廚房吧檯旁收納櫃</x:v>
      </x:c>
      <x:c r="G1208" s="71" t="str">
        <x:v>文件未載明</x:v>
      </x:c>
      <x:c r="H1208" s="71" t="str">
        <x:v>式</x:v>
      </x:c>
      <x:c r="I1208" s="72" t="n">
        <x:v>1</x:v>
      </x:c>
      <x:c r="J1208" s="69" t="str">
        <x:v>1</x:v>
      </x:c>
      <x:c r="K1208" s="70" t="n">
        <x:v>38000</x:v>
      </x:c>
      <x:c r="L1208" s="69" t="str">
        <x:v>38,000</x:v>
      </x:c>
      <x:c r="M1208" s="70" t="n">
        <x:v>38000</x:v>
      </x:c>
      <x:c r="N1208" s="69" t="str">
        <x:v>38,000</x:v>
      </x:c>
      <x:c r="O1208" s="71" t="str">
        <x:v>文件未載明</x:v>
      </x:c>
      <x:c r="P1208" s="71" t="str">
        <x:v>HTML table 1 row 46</x:v>
      </x:c>
      <x:c r="Q1208" s="71" t="str">
        <x:v>45 | 廚房吧檯旁收納櫃 | 1 | 式 | 38,000 | 38,000 | |</x:v>
      </x:c>
      <x:c r="R1208" s="71" t="str">
        <x:v>各廠商合約&amp; 報價\MD檔案\20260422 工務所裝潢合約.報價.md</x:v>
      </x:c>
    </x:row>
    <x:row r="1209">
      <x:c r="A1209" s="69" t="str">
        <x:v>ITEM01205</x:v>
      </x:c>
      <x:c r="B1209" s="69" t="str">
        <x:v>SRC074</x:v>
      </x:c>
      <x:c r="C1209" s="69" t="str">
        <x:v>2025-2026</x:v>
      </x:c>
      <x:c r="D1209" s="69" t="str">
        <x:v>header</x:v>
      </x:c>
      <x:c r="E1209" s="69" t="str">
        <x:v>項次</x:v>
      </x:c>
      <x:c r="F1209" s="71" t="str">
        <x:v>工程項目</x:v>
      </x:c>
      <x:c r="G1209" s="71" t="str">
        <x:v>文件未載明</x:v>
      </x:c>
      <x:c r="H1209" s="71" t="str">
        <x:v>單位</x:v>
      </x:c>
      <x:c r="I1209" s="72"/>
      <x:c r="J1209" s="69" t="str">
        <x:v>數量</x:v>
      </x:c>
      <x:c r="K1209" s="70"/>
      <x:c r="L1209" s="69" t="str">
        <x:v>單價</x:v>
      </x:c>
      <x:c r="M1209" s="70"/>
      <x:c r="N1209" s="69" t="str">
        <x:v>小計</x:v>
      </x:c>
      <x:c r="O1209" s="71" t="str">
        <x:v>備註</x:v>
      </x:c>
      <x:c r="P1209" s="71" t="str">
        <x:v>HTML table 2 row 1</x:v>
      </x:c>
      <x:c r="Q1209" s="71" t="str">
        <x:v>項次 | 工程項目 | 數量 | 單位 | 單價 | 小計 | 總價 | 備註</x:v>
      </x:c>
      <x:c r="R1209" s="71" t="str">
        <x:v>各廠商合約&amp; 報價\MD檔案\20260422 工務所裝潢合約.報價.md</x:v>
      </x:c>
    </x:row>
    <x:row r="1210">
      <x:c r="A1210" s="69" t="str">
        <x:v>ITEM01206</x:v>
      </x:c>
      <x:c r="B1210" s="69" t="str">
        <x:v>SRC074</x:v>
      </x:c>
      <x:c r="C1210" s="69" t="str">
        <x:v>2025-2026</x:v>
      </x:c>
      <x:c r="D1210" s="69" t="str">
        <x:v>detail</x:v>
      </x:c>
      <x:c r="E1210" s="69" t="str">
        <x:v>46</x:v>
      </x:c>
      <x:c r="F1210" s="71" t="str">
        <x:v>老闆辦公室收納櫃</x:v>
      </x:c>
      <x:c r="G1210" s="71" t="str">
        <x:v>文件未載明</x:v>
      </x:c>
      <x:c r="H1210" s="71" t="str">
        <x:v>式</x:v>
      </x:c>
      <x:c r="I1210" s="72" t="n">
        <x:v>1</x:v>
      </x:c>
      <x:c r="J1210" s="69" t="str">
        <x:v>1</x:v>
      </x:c>
      <x:c r="K1210" s="70" t="n">
        <x:v>70500</x:v>
      </x:c>
      <x:c r="L1210" s="69" t="str">
        <x:v>70,500</x:v>
      </x:c>
      <x:c r="M1210" s="70" t="n">
        <x:v>70500</x:v>
      </x:c>
      <x:c r="N1210" s="69" t="str">
        <x:v>70,500</x:v>
      </x:c>
      <x:c r="O1210" s="71" t="str">
        <x:v>文件未載明</x:v>
      </x:c>
      <x:c r="P1210" s="71" t="str">
        <x:v>HTML table 2 row 2</x:v>
      </x:c>
      <x:c r="Q1210" s="71" t="str">
        <x:v>46 | 老闆辦公室收納櫃 | 1 | 式 | 70,500 | 70,500 | |</x:v>
      </x:c>
      <x:c r="R1210" s="71" t="str">
        <x:v>各廠商合約&amp; 報價\MD檔案\20260422 工務所裝潢合約.報價.md</x:v>
      </x:c>
    </x:row>
    <x:row r="1211">
      <x:c r="A1211" s="69" t="str">
        <x:v>ITEM01207</x:v>
      </x:c>
      <x:c r="B1211" s="69" t="str">
        <x:v>SRC074</x:v>
      </x:c>
      <x:c r="C1211" s="69" t="str">
        <x:v>2025-2026</x:v>
      </x:c>
      <x:c r="D1211" s="69" t="str">
        <x:v>detail</x:v>
      </x:c>
      <x:c r="E1211" s="69" t="str">
        <x:v>47</x:v>
      </x:c>
      <x:c r="F1211" s="71" t="str">
        <x:v>會議室收納櫃</x:v>
      </x:c>
      <x:c r="G1211" s="71" t="str">
        <x:v>文件未載明</x:v>
      </x:c>
      <x:c r="H1211" s="71" t="str">
        <x:v>式</x:v>
      </x:c>
      <x:c r="I1211" s="72" t="n">
        <x:v>1</x:v>
      </x:c>
      <x:c r="J1211" s="69" t="str">
        <x:v>1</x:v>
      </x:c>
      <x:c r="K1211" s="70" t="n">
        <x:v>32400</x:v>
      </x:c>
      <x:c r="L1211" s="69" t="str">
        <x:v>32,400</x:v>
      </x:c>
      <x:c r="M1211" s="70" t="n">
        <x:v>32400</x:v>
      </x:c>
      <x:c r="N1211" s="69" t="str">
        <x:v>32,400</x:v>
      </x:c>
      <x:c r="O1211" s="71" t="str">
        <x:v>文件未載明</x:v>
      </x:c>
      <x:c r="P1211" s="71" t="str">
        <x:v>HTML table 2 row 3</x:v>
      </x:c>
      <x:c r="Q1211" s="71" t="str">
        <x:v>47 | 會議室收納櫃 | 1 | 式 | 32,400 | 32,400 | |</x:v>
      </x:c>
      <x:c r="R1211" s="71" t="str">
        <x:v>各廠商合約&amp; 報價\MD檔案\20260422 工務所裝潢合約.報價.md</x:v>
      </x:c>
    </x:row>
    <x:row r="1212">
      <x:c r="A1212" s="69" t="str">
        <x:v>ITEM01208</x:v>
      </x:c>
      <x:c r="B1212" s="69" t="str">
        <x:v>SRC074</x:v>
      </x:c>
      <x:c r="C1212" s="69" t="str">
        <x:v>2025-2026</x:v>
      </x:c>
      <x:c r="D1212" s="69" t="str">
        <x:v>detail</x:v>
      </x:c>
      <x:c r="E1212" s="69" t="str">
        <x:v>48</x:v>
      </x:c>
      <x:c r="F1212" s="71" t="str">
        <x:v>-</x:v>
      </x:c>
      <x:c r="G1212" s="71" t="str">
        <x:v>文件未載明</x:v>
      </x:c>
      <x:c r="H1212" s="71" t="str">
        <x:v>文件未載明</x:v>
      </x:c>
      <x:c r="I1212" s="72"/>
      <x:c r="J1212" s="69" t="str">
        <x:v>文件未載明</x:v>
      </x:c>
      <x:c r="K1212" s="70"/>
      <x:c r="L1212" s="69" t="str">
        <x:v>文件未載明</x:v>
      </x:c>
      <x:c r="M1212" s="70"/>
      <x:c r="N1212" s="69" t="str">
        <x:v>-</x:v>
      </x:c>
      <x:c r="O1212" s="71" t="str">
        <x:v>文件未載明</x:v>
      </x:c>
      <x:c r="P1212" s="71" t="str">
        <x:v>HTML table 2 row 4</x:v>
      </x:c>
      <x:c r="Q1212" s="71" t="str">
        <x:v>48 | | | | | - | |</x:v>
      </x:c>
      <x:c r="R1212" s="71" t="str">
        <x:v>各廠商合約&amp; 報價\MD檔案\20260422 工務所裝潢合約.報價.md</x:v>
      </x:c>
    </x:row>
    <x:row r="1213">
      <x:c r="A1213" s="69" t="str">
        <x:v>ITEM01209</x:v>
      </x:c>
      <x:c r="B1213" s="69" t="str">
        <x:v>SRC074</x:v>
      </x:c>
      <x:c r="C1213" s="69" t="str">
        <x:v>2025-2026</x:v>
      </x:c>
      <x:c r="D1213" s="69" t="str">
        <x:v>detail</x:v>
      </x:c>
      <x:c r="E1213" s="69" t="str">
        <x:v>49</x:v>
      </x:c>
      <x:c r="F1213" s="71" t="str">
        <x:v>-</x:v>
      </x:c>
      <x:c r="G1213" s="71" t="str">
        <x:v>文件未載明</x:v>
      </x:c>
      <x:c r="H1213" s="71" t="str">
        <x:v>文件未載明</x:v>
      </x:c>
      <x:c r="I1213" s="72"/>
      <x:c r="J1213" s="69" t="str">
        <x:v>文件未載明</x:v>
      </x:c>
      <x:c r="K1213" s="70"/>
      <x:c r="L1213" s="69" t="str">
        <x:v>文件未載明</x:v>
      </x:c>
      <x:c r="M1213" s="70"/>
      <x:c r="N1213" s="69" t="str">
        <x:v>-</x:v>
      </x:c>
      <x:c r="O1213" s="71" t="str">
        <x:v>文件未載明</x:v>
      </x:c>
      <x:c r="P1213" s="71" t="str">
        <x:v>HTML table 2 row 5</x:v>
      </x:c>
      <x:c r="Q1213" s="71" t="str">
        <x:v>49 | | | | | - | |</x:v>
      </x:c>
      <x:c r="R1213" s="71" t="str">
        <x:v>各廠商合約&amp; 報價\MD檔案\20260422 工務所裝潢合約.報價.md</x:v>
      </x:c>
    </x:row>
    <x:row r="1214">
      <x:c r="A1214" s="69" t="str">
        <x:v>ITEM01210</x:v>
      </x:c>
      <x:c r="B1214" s="69" t="str">
        <x:v>SRC074</x:v>
      </x:c>
      <x:c r="C1214" s="69" t="str">
        <x:v>2025-2026</x:v>
      </x:c>
      <x:c r="D1214" s="69" t="str">
        <x:v>summary</x:v>
      </x:c>
      <x:c r="E1214" s="69" t="str">
        <x:v>50</x:v>
      </x:c>
      <x:c r="F1214" s="71" t="str">
        <x:v>合計</x:v>
      </x:c>
      <x:c r="G1214" s="71" t="str">
        <x:v>文件未載明</x:v>
      </x:c>
      <x:c r="H1214" s="71" t="str">
        <x:v>287,000</x:v>
      </x:c>
      <x:c r="I1214" s="72"/>
      <x:c r="J1214" s="69" t="str">
        <x:v>文件未載明</x:v>
      </x:c>
      <x:c r="K1214" s="70"/>
      <x:c r="L1214" s="69" t="str">
        <x:v>文件未載明</x:v>
      </x:c>
      <x:c r="M1214" s="70"/>
      <x:c r="N1214" s="69" t="str">
        <x:v>文件未載明</x:v>
      </x:c>
      <x:c r="O1214" s="71" t="str">
        <x:v>文件未載明</x:v>
      </x:c>
      <x:c r="P1214" s="71" t="str">
        <x:v>HTML table 2 row 6</x:v>
      </x:c>
      <x:c r="Q1214" s="71" t="str">
        <x:v>50 | 合計 | | 287,000 |</x:v>
      </x:c>
      <x:c r="R1214" s="71" t="str">
        <x:v>各廠商合約&amp; 報價\MD檔案\20260422 工務所裝潢合約.報價.md</x:v>
      </x:c>
    </x:row>
    <x:row r="1215">
      <x:c r="A1215" s="69" t="str">
        <x:v>ITEM01211</x:v>
      </x:c>
      <x:c r="B1215" s="69" t="str">
        <x:v>SRC074</x:v>
      </x:c>
      <x:c r="C1215" s="69" t="str">
        <x:v>2025-2026</x:v>
      </x:c>
      <x:c r="D1215" s="69" t="str">
        <x:v>detail</x:v>
      </x:c>
      <x:c r="E1215" s="69" t="str">
        <x:v>51</x:v>
      </x:c>
      <x:c r="F1215" s="71" t="str">
        <x:v>保護/清潔工程</x:v>
      </x:c>
      <x:c r="G1215" s="71" t="str">
        <x:v>文件未載明</x:v>
      </x:c>
      <x:c r="H1215" s="71" t="str">
        <x:v>文件未載明</x:v>
      </x:c>
      <x:c r="I1215" s="72"/>
      <x:c r="J1215" s="69" t="str">
        <x:v>文件未載明</x:v>
      </x:c>
      <x:c r="K1215" s="70"/>
      <x:c r="L1215" s="69" t="str">
        <x:v>文件未載明</x:v>
      </x:c>
      <x:c r="M1215" s="70"/>
      <x:c r="N1215" s="69" t="str">
        <x:v>文件未載明</x:v>
      </x:c>
      <x:c r="O1215" s="71" t="str">
        <x:v>文件未載明</x:v>
      </x:c>
      <x:c r="P1215" s="71" t="str">
        <x:v>HTML table 2 row 7</x:v>
      </x:c>
      <x:c r="Q1215" s="71" t="str">
        <x:v>51 | 保護/清潔工程 | | | | | |</x:v>
      </x:c>
      <x:c r="R1215" s="71" t="str">
        <x:v>各廠商合約&amp; 報價\MD檔案\20260422 工務所裝潢合約.報價.md</x:v>
      </x:c>
    </x:row>
    <x:row r="1216">
      <x:c r="A1216" s="69" t="str">
        <x:v>ITEM01212</x:v>
      </x:c>
      <x:c r="B1216" s="69" t="str">
        <x:v>SRC074</x:v>
      </x:c>
      <x:c r="C1216" s="69" t="str">
        <x:v>2025-2026</x:v>
      </x:c>
      <x:c r="D1216" s="69" t="str">
        <x:v>detail</x:v>
      </x:c>
      <x:c r="E1216" s="69" t="str">
        <x:v>52</x:v>
      </x:c>
      <x:c r="F1216" s="71" t="str">
        <x:v>全室地板雙層保護</x:v>
      </x:c>
      <x:c r="G1216" s="71" t="str">
        <x:v>文件未載明</x:v>
      </x:c>
      <x:c r="H1216" s="71" t="str">
        <x:v>坪</x:v>
      </x:c>
      <x:c r="I1216" s="72"/>
      <x:c r="J1216" s="69" t="str">
        <x:v>文件未載明</x:v>
      </x:c>
      <x:c r="K1216" s="70"/>
      <x:c r="L1216" s="69" t="str">
        <x:v>文件未載明</x:v>
      </x:c>
      <x:c r="M1216" s="70"/>
      <x:c r="N1216" s="69" t="str">
        <x:v>-</x:v>
      </x:c>
      <x:c r="O1216" s="71" t="str">
        <x:v>文件未載明</x:v>
      </x:c>
      <x:c r="P1216" s="71" t="str">
        <x:v>HTML table 2 row 8</x:v>
      </x:c>
      <x:c r="Q1216" s="71" t="str">
        <x:v>52 | 全室地板雙層保護 | | 坪 | | - | |</x:v>
      </x:c>
      <x:c r="R1216" s="71" t="str">
        <x:v>各廠商合約&amp; 報價\MD檔案\20260422 工務所裝潢合約.報價.md</x:v>
      </x:c>
    </x:row>
    <x:row r="1217">
      <x:c r="A1217" s="69" t="str">
        <x:v>ITEM01213</x:v>
      </x:c>
      <x:c r="B1217" s="69" t="str">
        <x:v>SRC074</x:v>
      </x:c>
      <x:c r="C1217" s="69" t="str">
        <x:v>2025-2026</x:v>
      </x:c>
      <x:c r="D1217" s="69" t="str">
        <x:v>detail</x:v>
      </x:c>
      <x:c r="E1217" s="69" t="str">
        <x:v>53</x:v>
      </x:c>
      <x:c r="F1217" s="71" t="str">
        <x:v>大門保護</x:v>
      </x:c>
      <x:c r="G1217" s="71" t="str">
        <x:v>文件未載明</x:v>
      </x:c>
      <x:c r="H1217" s="71" t="str">
        <x:v>樘</x:v>
      </x:c>
      <x:c r="I1217" s="72"/>
      <x:c r="J1217" s="69" t="str">
        <x:v>文件未載明</x:v>
      </x:c>
      <x:c r="K1217" s="70"/>
      <x:c r="L1217" s="69" t="str">
        <x:v>文件未載明</x:v>
      </x:c>
      <x:c r="M1217" s="70"/>
      <x:c r="N1217" s="69" t="str">
        <x:v>-</x:v>
      </x:c>
      <x:c r="O1217" s="71" t="str">
        <x:v>文件未載明</x:v>
      </x:c>
      <x:c r="P1217" s="71" t="str">
        <x:v>HTML table 2 row 9</x:v>
      </x:c>
      <x:c r="Q1217" s="71" t="str">
        <x:v>53 | 大門保護 | | 樘 | | - | |</x:v>
      </x:c>
      <x:c r="R1217" s="71" t="str">
        <x:v>各廠商合約&amp; 報價\MD檔案\20260422 工務所裝潢合約.報價.md</x:v>
      </x:c>
    </x:row>
    <x:row r="1218">
      <x:c r="A1218" s="69" t="str">
        <x:v>ITEM01214</x:v>
      </x:c>
      <x:c r="B1218" s="69" t="str">
        <x:v>SRC074</x:v>
      </x:c>
      <x:c r="C1218" s="69" t="str">
        <x:v>2025-2026</x:v>
      </x:c>
      <x:c r="D1218" s="69" t="str">
        <x:v>detail</x:v>
      </x:c>
      <x:c r="E1218" s="69" t="str">
        <x:v>54</x:v>
      </x:c>
      <x:c r="F1218" s="71" t="str">
        <x:v>門+門框框保護</x:v>
      </x:c>
      <x:c r="G1218" s="71" t="str">
        <x:v>文件未載明</x:v>
      </x:c>
      <x:c r="H1218" s="71" t="str">
        <x:v>樘</x:v>
      </x:c>
      <x:c r="I1218" s="72"/>
      <x:c r="J1218" s="69" t="str">
        <x:v>文件未載明</x:v>
      </x:c>
      <x:c r="K1218" s="70"/>
      <x:c r="L1218" s="69" t="str">
        <x:v>文件未載明</x:v>
      </x:c>
      <x:c r="M1218" s="70"/>
      <x:c r="N1218" s="69" t="str">
        <x:v>-</x:v>
      </x:c>
      <x:c r="O1218" s="71" t="str">
        <x:v>文件未載明</x:v>
      </x:c>
      <x:c r="P1218" s="71" t="str">
        <x:v>HTML table 2 row 10</x:v>
      </x:c>
      <x:c r="Q1218" s="71" t="str">
        <x:v>54 | 門+門框框保護 | | 樘 | | - | |</x:v>
      </x:c>
      <x:c r="R1218" s="71" t="str">
        <x:v>各廠商合約&amp; 報價\MD檔案\20260422 工務所裝潢合約.報價.md</x:v>
      </x:c>
    </x:row>
    <x:row r="1219">
      <x:c r="A1219" s="69" t="str">
        <x:v>ITEM01215</x:v>
      </x:c>
      <x:c r="B1219" s="69" t="str">
        <x:v>SRC074</x:v>
      </x:c>
      <x:c r="C1219" s="69" t="str">
        <x:v>2025-2026</x:v>
      </x:c>
      <x:c r="D1219" s="69" t="str">
        <x:v>detail</x:v>
      </x:c>
      <x:c r="E1219" s="69" t="str">
        <x:v>55</x:v>
      </x:c>
      <x:c r="F1219" s="71" t="str">
        <x:v>廚櫃防護</x:v>
      </x:c>
      <x:c r="G1219" s="71" t="str">
        <x:v>文件未載明</x:v>
      </x:c>
      <x:c r="H1219" s="71" t="str">
        <x:v>式</x:v>
      </x:c>
      <x:c r="I1219" s="72"/>
      <x:c r="J1219" s="69" t="str">
        <x:v>文件未載明</x:v>
      </x:c>
      <x:c r="K1219" s="70"/>
      <x:c r="L1219" s="69" t="str">
        <x:v>文件未載明</x:v>
      </x:c>
      <x:c r="M1219" s="70"/>
      <x:c r="N1219" s="69" t="str">
        <x:v>-</x:v>
      </x:c>
      <x:c r="O1219" s="71" t="str">
        <x:v>文件未載明</x:v>
      </x:c>
      <x:c r="P1219" s="71" t="str">
        <x:v>HTML table 2 row 11</x:v>
      </x:c>
      <x:c r="Q1219" s="71" t="str">
        <x:v>55 | 廚櫃防護 | | 式 | | - | |</x:v>
      </x:c>
      <x:c r="R1219" s="71" t="str">
        <x:v>各廠商合約&amp; 報價\MD檔案\20260422 工務所裝潢合約.報價.md</x:v>
      </x:c>
    </x:row>
    <x:row r="1220">
      <x:c r="A1220" s="69" t="str">
        <x:v>ITEM01216</x:v>
      </x:c>
      <x:c r="B1220" s="69" t="str">
        <x:v>SRC074</x:v>
      </x:c>
      <x:c r="C1220" s="69" t="str">
        <x:v>2025-2026</x:v>
      </x:c>
      <x:c r="D1220" s="69" t="str">
        <x:v>detail</x:v>
      </x:c>
      <x:c r="E1220" s="69" t="str">
        <x:v>56</x:v>
      </x:c>
      <x:c r="F1220" s="71" t="str">
        <x:v>公設保護工程.雙層</x:v>
      </x:c>
      <x:c r="G1220" s="71" t="str">
        <x:v>文件未載明</x:v>
      </x:c>
      <x:c r="H1220" s="71" t="str">
        <x:v>坪</x:v>
      </x:c>
      <x:c r="I1220" s="72"/>
      <x:c r="J1220" s="69" t="str">
        <x:v>文件未載明</x:v>
      </x:c>
      <x:c r="K1220" s="70"/>
      <x:c r="L1220" s="69" t="str">
        <x:v>文件未載明</x:v>
      </x:c>
      <x:c r="M1220" s="70"/>
      <x:c r="N1220" s="69" t="str">
        <x:v>-</x:v>
      </x:c>
      <x:c r="O1220" s="71" t="str">
        <x:v>依社區規定材質報價調整</x:v>
      </x:c>
      <x:c r="P1220" s="71" t="str">
        <x:v>HTML table 2 row 12</x:v>
      </x:c>
      <x:c r="Q1220" s="71" t="str">
        <x:v>56 | 公設保護工程.雙層 | | 坪 | | - | | 依社區規定材質報價調整</x:v>
      </x:c>
      <x:c r="R1220" s="71" t="str">
        <x:v>各廠商合約&amp; 報價\MD檔案\20260422 工務所裝潢合約.報價.md</x:v>
      </x:c>
    </x:row>
    <x:row r="1221">
      <x:c r="A1221" s="69" t="str">
        <x:v>ITEM01217</x:v>
      </x:c>
      <x:c r="B1221" s="69" t="str">
        <x:v>SRC074</x:v>
      </x:c>
      <x:c r="C1221" s="69" t="str">
        <x:v>2025-2026</x:v>
      </x:c>
      <x:c r="D1221" s="69" t="str">
        <x:v>detail</x:v>
      </x:c>
      <x:c r="E1221" s="69" t="str">
        <x:v>57</x:v>
      </x:c>
      <x:c r="F1221" s="71" t="str">
        <x:v>垃圾清運</x:v>
      </x:c>
      <x:c r="G1221" s="71" t="str">
        <x:v>文件未載明</x:v>
      </x:c>
      <x:c r="H1221" s="71" t="str">
        <x:v>式</x:v>
      </x:c>
      <x:c r="I1221" s="72"/>
      <x:c r="J1221" s="69" t="str">
        <x:v>文件未載明</x:v>
      </x:c>
      <x:c r="K1221" s="70"/>
      <x:c r="L1221" s="69" t="str">
        <x:v>文件未載明</x:v>
      </x:c>
      <x:c r="M1221" s="70"/>
      <x:c r="N1221" s="69" t="str">
        <x:v>-</x:v>
      </x:c>
      <x:c r="O1221" s="71" t="str">
        <x:v>裝潢廢料拆除.清運</x:v>
      </x:c>
      <x:c r="P1221" s="71" t="str">
        <x:v>HTML table 2 row 13</x:v>
      </x:c>
      <x:c r="Q1221" s="71" t="str">
        <x:v>57 | 垃圾清運 | | 式 | | - | | 裝潢廢料拆除.清運</x:v>
      </x:c>
      <x:c r="R1221" s="71" t="str">
        <x:v>各廠商合約&amp; 報價\MD檔案\20260422 工務所裝潢合約.報價.md</x:v>
      </x:c>
    </x:row>
    <x:row r="1222">
      <x:c r="A1222" s="69" t="str">
        <x:v>ITEM01218</x:v>
      </x:c>
      <x:c r="B1222" s="69" t="str">
        <x:v>SRC074</x:v>
      </x:c>
      <x:c r="C1222" s="69" t="str">
        <x:v>2025-2026</x:v>
      </x:c>
      <x:c r="D1222" s="69" t="str">
        <x:v>detail</x:v>
      </x:c>
      <x:c r="E1222" s="69" t="str">
        <x:v>58</x:v>
      </x:c>
      <x:c r="F1222" s="71" t="str">
        <x:v>細部清潔</x:v>
      </x:c>
      <x:c r="G1222" s="71" t="str">
        <x:v>文件未載明</x:v>
      </x:c>
      <x:c r="H1222" s="71" t="str">
        <x:v>式</x:v>
      </x:c>
      <x:c r="I1222" s="72" t="n">
        <x:v>1</x:v>
      </x:c>
      <x:c r="J1222" s="69" t="str">
        <x:v>1</x:v>
      </x:c>
      <x:c r="K1222" s="70" t="n">
        <x:v>25000</x:v>
      </x:c>
      <x:c r="L1222" s="69" t="str">
        <x:v>25,000</x:v>
      </x:c>
      <x:c r="M1222" s="70" t="n">
        <x:v>25000</x:v>
      </x:c>
      <x:c r="N1222" s="69" t="str">
        <x:v>25,000</x:v>
      </x:c>
      <x:c r="O1222" s="71" t="str">
        <x:v>文件未載明</x:v>
      </x:c>
      <x:c r="P1222" s="71" t="str">
        <x:v>HTML table 2 row 14</x:v>
      </x:c>
      <x:c r="Q1222" s="71" t="str">
        <x:v>58 | 細部清潔 | 1 | 式 | 25,000 | 25,000 | |</x:v>
      </x:c>
      <x:c r="R1222" s="71" t="str">
        <x:v>各廠商合約&amp; 報價\MD檔案\20260422 工務所裝潢合約.報價.md</x:v>
      </x:c>
    </x:row>
    <x:row r="1223">
      <x:c r="A1223" s="69" t="str">
        <x:v>ITEM01219</x:v>
      </x:c>
      <x:c r="B1223" s="69" t="str">
        <x:v>SRC074</x:v>
      </x:c>
      <x:c r="C1223" s="69" t="str">
        <x:v>2025-2026</x:v>
      </x:c>
      <x:c r="D1223" s="69" t="str">
        <x:v>detail</x:v>
      </x:c>
      <x:c r="E1223" s="69" t="str">
        <x:v>59</x:v>
      </x:c>
      <x:c r="F1223" s="71" t="str">
        <x:v>公設殘膠清潔</x:v>
      </x:c>
      <x:c r="G1223" s="71" t="str">
        <x:v>文件未載明</x:v>
      </x:c>
      <x:c r="H1223" s="71" t="str">
        <x:v>式</x:v>
      </x:c>
      <x:c r="I1223" s="72"/>
      <x:c r="J1223" s="69" t="str">
        <x:v>文件未載明</x:v>
      </x:c>
      <x:c r="K1223" s="70"/>
      <x:c r="L1223" s="69" t="str">
        <x:v>文件未載明</x:v>
      </x:c>
      <x:c r="M1223" s="70"/>
      <x:c r="N1223" s="69" t="str">
        <x:v>-</x:v>
      </x:c>
      <x:c r="O1223" s="71" t="str">
        <x:v>電梯.梯廳.車位等</x:v>
      </x:c>
      <x:c r="P1223" s="71" t="str">
        <x:v>HTML table 2 row 15</x:v>
      </x:c>
      <x:c r="Q1223" s="71" t="str">
        <x:v>59 | 公設殘膠清潔 | | 式 | | - | | 電梯.梯廳.車位等</x:v>
      </x:c>
      <x:c r="R1223" s="71" t="str">
        <x:v>各廠商合約&amp; 報價\MD檔案\20260422 工務所裝潢合約.報價.md</x:v>
      </x:c>
    </x:row>
    <x:row r="1224">
      <x:c r="A1224" s="69" t="str">
        <x:v>ITEM01220</x:v>
      </x:c>
      <x:c r="B1224" s="69" t="str">
        <x:v>SRC074</x:v>
      </x:c>
      <x:c r="C1224" s="69" t="str">
        <x:v>2025-2026</x:v>
      </x:c>
      <x:c r="D1224" s="69" t="str">
        <x:v>detail</x:v>
      </x:c>
      <x:c r="E1224" s="69" t="str">
        <x:v>60</x:v>
      </x:c>
      <x:c r="F1224" s="71" t="str">
        <x:v>-</x:v>
      </x:c>
      <x:c r="G1224" s="71" t="str">
        <x:v>文件未載明</x:v>
      </x:c>
      <x:c r="H1224" s="71" t="str">
        <x:v>文件未載明</x:v>
      </x:c>
      <x:c r="I1224" s="72"/>
      <x:c r="J1224" s="69" t="str">
        <x:v>文件未載明</x:v>
      </x:c>
      <x:c r="K1224" s="70"/>
      <x:c r="L1224" s="69" t="str">
        <x:v>文件未載明</x:v>
      </x:c>
      <x:c r="M1224" s="70"/>
      <x:c r="N1224" s="69" t="str">
        <x:v>-</x:v>
      </x:c>
      <x:c r="O1224" s="71" t="str">
        <x:v>文件未載明</x:v>
      </x:c>
      <x:c r="P1224" s="71" t="str">
        <x:v>HTML table 2 row 16</x:v>
      </x:c>
      <x:c r="Q1224" s="71" t="str">
        <x:v>60 | | | | | - | |</x:v>
      </x:c>
      <x:c r="R1224" s="71" t="str">
        <x:v>各廠商合約&amp; 報價\MD檔案\20260422 工務所裝潢合約.報價.md</x:v>
      </x:c>
    </x:row>
    <x:row r="1225">
      <x:c r="A1225" s="69" t="str">
        <x:v>ITEM01221</x:v>
      </x:c>
      <x:c r="B1225" s="69" t="str">
        <x:v>SRC074</x:v>
      </x:c>
      <x:c r="C1225" s="69" t="str">
        <x:v>2025-2026</x:v>
      </x:c>
      <x:c r="D1225" s="69" t="str">
        <x:v>detail</x:v>
      </x:c>
      <x:c r="E1225" s="69" t="str">
        <x:v>61</x:v>
      </x:c>
      <x:c r="F1225" s="71" t="str">
        <x:v>-</x:v>
      </x:c>
      <x:c r="G1225" s="71" t="str">
        <x:v>文件未載明</x:v>
      </x:c>
      <x:c r="H1225" s="71" t="str">
        <x:v>文件未載明</x:v>
      </x:c>
      <x:c r="I1225" s="72"/>
      <x:c r="J1225" s="69" t="str">
        <x:v>文件未載明</x:v>
      </x:c>
      <x:c r="K1225" s="70"/>
      <x:c r="L1225" s="69" t="str">
        <x:v>文件未載明</x:v>
      </x:c>
      <x:c r="M1225" s="70"/>
      <x:c r="N1225" s="69" t="str">
        <x:v>-</x:v>
      </x:c>
      <x:c r="O1225" s="71" t="str">
        <x:v>文件未載明</x:v>
      </x:c>
      <x:c r="P1225" s="71" t="str">
        <x:v>HTML table 2 row 17</x:v>
      </x:c>
      <x:c r="Q1225" s="71" t="str">
        <x:v>61 | | | | | - | |</x:v>
      </x:c>
      <x:c r="R1225" s="71" t="str">
        <x:v>各廠商合約&amp; 報價\MD檔案\20260422 工務所裝潢合約.報價.md</x:v>
      </x:c>
    </x:row>
    <x:row r="1226">
      <x:c r="A1226" s="69" t="str">
        <x:v>ITEM01222</x:v>
      </x:c>
      <x:c r="B1226" s="69" t="str">
        <x:v>SRC074</x:v>
      </x:c>
      <x:c r="C1226" s="69" t="str">
        <x:v>2025-2026</x:v>
      </x:c>
      <x:c r="D1226" s="69" t="str">
        <x:v>summary</x:v>
      </x:c>
      <x:c r="E1226" s="69" t="str">
        <x:v>62</x:v>
      </x:c>
      <x:c r="F1226" s="71" t="str">
        <x:v>合計</x:v>
      </x:c>
      <x:c r="G1226" s="71" t="str">
        <x:v>文件未載明</x:v>
      </x:c>
      <x:c r="H1226" s="71" t="str">
        <x:v>25,000</x:v>
      </x:c>
      <x:c r="I1226" s="72"/>
      <x:c r="J1226" s="69" t="str">
        <x:v>文件未載明</x:v>
      </x:c>
      <x:c r="K1226" s="70"/>
      <x:c r="L1226" s="69" t="str">
        <x:v>文件未載明</x:v>
      </x:c>
      <x:c r="M1226" s="70"/>
      <x:c r="N1226" s="69" t="str">
        <x:v>文件未載明</x:v>
      </x:c>
      <x:c r="O1226" s="71" t="str">
        <x:v>文件未載明</x:v>
      </x:c>
      <x:c r="P1226" s="71" t="str">
        <x:v>HTML table 2 row 18</x:v>
      </x:c>
      <x:c r="Q1226" s="71" t="str">
        <x:v>62 | 合計 | | 25,000 |</x:v>
      </x:c>
      <x:c r="R1226" s="71" t="str">
        <x:v>各廠商合約&amp; 報價\MD檔案\20260422 工務所裝潢合約.報價.md</x:v>
      </x:c>
    </x:row>
    <x:row r="1227">
      <x:c r="A1227" s="69" t="str">
        <x:v>ITEM01223</x:v>
      </x:c>
      <x:c r="B1227" s="69" t="str">
        <x:v>SRC074</x:v>
      </x:c>
      <x:c r="C1227" s="69" t="str">
        <x:v>2025-2026</x:v>
      </x:c>
      <x:c r="D1227" s="69" t="str">
        <x:v>detail</x:v>
      </x:c>
      <x:c r="E1227" s="69" t="str">
        <x:v>63</x:v>
      </x:c>
      <x:c r="F1227" s="71" t="str">
        <x:v>其他工程</x:v>
      </x:c>
      <x:c r="G1227" s="71" t="str">
        <x:v>文件未載明</x:v>
      </x:c>
      <x:c r="H1227" s="71" t="str">
        <x:v>文件未載明</x:v>
      </x:c>
      <x:c r="I1227" s="72"/>
      <x:c r="J1227" s="69" t="str">
        <x:v>文件未載明</x:v>
      </x:c>
      <x:c r="K1227" s="70"/>
      <x:c r="L1227" s="69" t="str">
        <x:v>文件未載明</x:v>
      </x:c>
      <x:c r="M1227" s="70"/>
      <x:c r="N1227" s="69" t="str">
        <x:v>文件未載明</x:v>
      </x:c>
      <x:c r="O1227" s="71" t="str">
        <x:v>文件未載明</x:v>
      </x:c>
      <x:c r="P1227" s="71" t="str">
        <x:v>HTML table 2 row 19</x:v>
      </x:c>
      <x:c r="Q1227" s="71" t="str">
        <x:v>63 | 其他工程 | | | | | |</x:v>
      </x:c>
      <x:c r="R1227" s="71" t="str">
        <x:v>各廠商合約&amp; 報價\MD檔案\20260422 工務所裝潢合約.報價.md</x:v>
      </x:c>
    </x:row>
    <x:row r="1228">
      <x:c r="A1228" s="69" t="str">
        <x:v>ITEM01224</x:v>
      </x:c>
      <x:c r="B1228" s="69" t="str">
        <x:v>SRC074</x:v>
      </x:c>
      <x:c r="C1228" s="69" t="str">
        <x:v>2025-2026</x:v>
      </x:c>
      <x:c r="D1228" s="69" t="str">
        <x:v>detail</x:v>
      </x:c>
      <x:c r="E1228" s="69" t="str">
        <x:v>64</x:v>
      </x:c>
      <x:c r="F1228" s="71" t="str">
        <x:v>長虹玻璃</x:v>
      </x:c>
      <x:c r="G1228" s="71" t="str">
        <x:v>文件未載明</x:v>
      </x:c>
      <x:c r="H1228" s="71" t="str">
        <x:v>才</x:v>
      </x:c>
      <x:c r="I1228" s="72" t="n">
        <x:v>25</x:v>
      </x:c>
      <x:c r="J1228" s="69" t="str">
        <x:v>25</x:v>
      </x:c>
      <x:c r="K1228" s="70" t="n">
        <x:v>750</x:v>
      </x:c>
      <x:c r="L1228" s="69" t="str">
        <x:v>750</x:v>
      </x:c>
      <x:c r="M1228" s="70" t="n">
        <x:v>18750</x:v>
      </x:c>
      <x:c r="N1228" s="69" t="str">
        <x:v>18,750</x:v>
      </x:c>
      <x:c r="O1228" s="71" t="str">
        <x:v>文件未載明</x:v>
      </x:c>
      <x:c r="P1228" s="71" t="str">
        <x:v>HTML table 2 row 20</x:v>
      </x:c>
      <x:c r="Q1228" s="71" t="str">
        <x:v>64 | 長虹玻璃 | 25 | 才 | 750 | 18,750 | |</x:v>
      </x:c>
      <x:c r="R1228" s="71" t="str">
        <x:v>各廠商合約&amp; 報價\MD檔案\20260422 工務所裝潢合約.報價.md</x:v>
      </x:c>
    </x:row>
    <x:row r="1229">
      <x:c r="A1229" s="69" t="str">
        <x:v>ITEM01225</x:v>
      </x:c>
      <x:c r="B1229" s="69" t="str">
        <x:v>SRC074</x:v>
      </x:c>
      <x:c r="C1229" s="69" t="str">
        <x:v>2025-2026</x:v>
      </x:c>
      <x:c r="D1229" s="69" t="str">
        <x:v>detail</x:v>
      </x:c>
      <x:c r="E1229" s="69" t="str">
        <x:v>65</x:v>
      </x:c>
      <x:c r="F1229" s="71" t="str">
        <x:v>設計費</x:v>
      </x:c>
      <x:c r="G1229" s="71" t="str">
        <x:v>文件未載明</x:v>
      </x:c>
      <x:c r="H1229" s="71" t="str">
        <x:v>坪</x:v>
      </x:c>
      <x:c r="I1229" s="72" t="n">
        <x:v>-10</x:v>
      </x:c>
      <x:c r="J1229" s="69" t="str">
        <x:v>-10</x:v>
      </x:c>
      <x:c r="K1229" s="70" t="n">
        <x:v>1000</x:v>
      </x:c>
      <x:c r="L1229" s="69" t="str">
        <x:v>1,000</x:v>
      </x:c>
      <x:c r="M1229" s="70" t="n">
        <x:v>-10000</x:v>
      </x:c>
      <x:c r="N1229" s="69" t="str">
        <x:v>- 10,000</x:v>
      </x:c>
      <x:c r="O1229" s="71" t="str">
        <x:v>文件未載明</x:v>
      </x:c>
      <x:c r="P1229" s="71" t="str">
        <x:v>HTML table 2 row 21</x:v>
      </x:c>
      <x:c r="Q1229" s="71" t="str">
        <x:v>65 | 設計費 | -10 | 坪 | 1,000 | - 10,000 | |</x:v>
      </x:c>
      <x:c r="R1229" s="71" t="str">
        <x:v>各廠商合約&amp; 報價\MD檔案\20260422 工務所裝潢合約.報價.md</x:v>
      </x:c>
    </x:row>
    <x:row r="1230">
      <x:c r="A1230" s="69" t="str">
        <x:v>ITEM01226</x:v>
      </x:c>
      <x:c r="B1230" s="69" t="str">
        <x:v>SRC074</x:v>
      </x:c>
      <x:c r="C1230" s="69" t="str">
        <x:v>2025-2026</x:v>
      </x:c>
      <x:c r="D1230" s="69" t="str">
        <x:v>detail</x:v>
      </x:c>
      <x:c r="E1230" s="69" t="str">
        <x:v>66</x:v>
      </x:c>
      <x:c r="F1230" s="71" t="str">
        <x:v>-</x:v>
      </x:c>
      <x:c r="G1230" s="71" t="str">
        <x:v>文件未載明</x:v>
      </x:c>
      <x:c r="H1230" s="71" t="str">
        <x:v>文件未載明</x:v>
      </x:c>
      <x:c r="I1230" s="72"/>
      <x:c r="J1230" s="69" t="str">
        <x:v>文件未載明</x:v>
      </x:c>
      <x:c r="K1230" s="70"/>
      <x:c r="L1230" s="69" t="str">
        <x:v>文件未載明</x:v>
      </x:c>
      <x:c r="M1230" s="70"/>
      <x:c r="N1230" s="69" t="str">
        <x:v>-</x:v>
      </x:c>
      <x:c r="O1230" s="71" t="str">
        <x:v>文件未載明</x:v>
      </x:c>
      <x:c r="P1230" s="71" t="str">
        <x:v>HTML table 2 row 22</x:v>
      </x:c>
      <x:c r="Q1230" s="71" t="str">
        <x:v>66 | | | | | - | |</x:v>
      </x:c>
      <x:c r="R1230" s="71" t="str">
        <x:v>各廠商合約&amp; 報價\MD檔案\20260422 工務所裝潢合約.報價.md</x:v>
      </x:c>
    </x:row>
    <x:row r="1231">
      <x:c r="A1231" s="69" t="str">
        <x:v>ITEM01227</x:v>
      </x:c>
      <x:c r="B1231" s="69" t="str">
        <x:v>SRC074</x:v>
      </x:c>
      <x:c r="C1231" s="69" t="str">
        <x:v>2025-2026</x:v>
      </x:c>
      <x:c r="D1231" s="69" t="str">
        <x:v>summary</x:v>
      </x:c>
      <x:c r="E1231" s="69" t="str">
        <x:v>67</x:v>
      </x:c>
      <x:c r="F1231" s="71" t="str">
        <x:v>合計</x:v>
      </x:c>
      <x:c r="G1231" s="71" t="str">
        <x:v>文件未載明</x:v>
      </x:c>
      <x:c r="H1231" s="71" t="str">
        <x:v>8,750</x:v>
      </x:c>
      <x:c r="I1231" s="72"/>
      <x:c r="J1231" s="69" t="str">
        <x:v>文件未載明</x:v>
      </x:c>
      <x:c r="K1231" s="70"/>
      <x:c r="L1231" s="69" t="str">
        <x:v>文件未載明</x:v>
      </x:c>
      <x:c r="M1231" s="70"/>
      <x:c r="N1231" s="69" t="str">
        <x:v>文件未載明</x:v>
      </x:c>
      <x:c r="O1231" s="71" t="str">
        <x:v>文件未載明</x:v>
      </x:c>
      <x:c r="P1231" s="71" t="str">
        <x:v>HTML table 2 row 23</x:v>
      </x:c>
      <x:c r="Q1231" s="71" t="str">
        <x:v>67 | 合計 | | 8,750 |</x:v>
      </x:c>
      <x:c r="R1231" s="71" t="str">
        <x:v>各廠商合約&amp; 報價\MD檔案\20260422 工務所裝潢合約.報價.md</x:v>
      </x:c>
    </x:row>
    <x:row r="1232">
      <x:c r="A1232" s="69" t="str">
        <x:v>ITEM01228</x:v>
      </x:c>
      <x:c r="B1232" s="69" t="str">
        <x:v>SRC074</x:v>
      </x:c>
      <x:c r="C1232" s="69" t="str">
        <x:v>2025-2026</x:v>
      </x:c>
      <x:c r="D1232" s="69" t="str">
        <x:v>summary</x:v>
      </x:c>
      <x:c r="E1232" s="69" t="str">
        <x:v>小計</x:v>
      </x:c>
      <x:c r="F1232" s="71" t="str">
        <x:v>$ 658,450</x:v>
      </x:c>
      <x:c r="G1232" s="71" t="str">
        <x:v>文件未載明</x:v>
      </x:c>
      <x:c r="H1232" s="71" t="str">
        <x:v>文件未載明</x:v>
      </x:c>
      <x:c r="I1232" s="72"/>
      <x:c r="J1232" s="69" t="str">
        <x:v>文件未載明</x:v>
      </x:c>
      <x:c r="K1232" s="70"/>
      <x:c r="L1232" s="69" t="str">
        <x:v>文件未載明</x:v>
      </x:c>
      <x:c r="M1232" s="70"/>
      <x:c r="N1232" s="69" t="str">
        <x:v>文件未載明</x:v>
      </x:c>
      <x:c r="O1232" s="71" t="str">
        <x:v>文件未載明</x:v>
      </x:c>
      <x:c r="P1232" s="71" t="str">
        <x:v>HTML table 2 row 24</x:v>
      </x:c>
      <x:c r="Q1232" s="71" t="str">
        <x:v>小計 | $ 658,450 | |</x:v>
      </x:c>
      <x:c r="R1232" s="71" t="str">
        <x:v>各廠商合約&amp; 報價\MD檔案\20260422 工務所裝潢合約.報價.md</x:v>
      </x:c>
    </x:row>
    <x:row r="1233">
      <x:c r="A1233" s="69" t="str">
        <x:v>ITEM01229</x:v>
      </x:c>
      <x:c r="B1233" s="69" t="str">
        <x:v>SRC074</x:v>
      </x:c>
      <x:c r="C1233" s="69" t="str">
        <x:v>2025-2026</x:v>
      </x:c>
      <x:c r="D1233" s="69" t="str">
        <x:v>summary</x:v>
      </x:c>
      <x:c r="E1233" s="69" t="str">
        <x:v>5%稅金</x:v>
      </x:c>
      <x:c r="F1233" s="71" t="str">
        <x:v>$ 32,923</x:v>
      </x:c>
      <x:c r="G1233" s="71" t="str">
        <x:v>文件未載明</x:v>
      </x:c>
      <x:c r="H1233" s="71" t="str">
        <x:v>文件未載明</x:v>
      </x:c>
      <x:c r="I1233" s="72"/>
      <x:c r="J1233" s="69" t="str">
        <x:v>文件未載明</x:v>
      </x:c>
      <x:c r="K1233" s="70"/>
      <x:c r="L1233" s="69" t="str">
        <x:v>文件未載明</x:v>
      </x:c>
      <x:c r="M1233" s="70"/>
      <x:c r="N1233" s="69" t="str">
        <x:v>文件未載明</x:v>
      </x:c>
      <x:c r="O1233" s="71" t="str">
        <x:v>文件未載明</x:v>
      </x:c>
      <x:c r="P1233" s="71" t="str">
        <x:v>HTML table 2 row 25</x:v>
      </x:c>
      <x:c r="Q1233" s="71" t="str">
        <x:v>5%稅金 | $ 32,923 | |</x:v>
      </x:c>
      <x:c r="R1233" s="71" t="str">
        <x:v>各廠商合約&amp; 報價\MD檔案\20260422 工務所裝潢合約.報價.md</x:v>
      </x:c>
    </x:row>
    <x:row r="1234">
      <x:c r="A1234" s="69" t="str">
        <x:v>ITEM01230</x:v>
      </x:c>
      <x:c r="B1234" s="69" t="str">
        <x:v>SRC074</x:v>
      </x:c>
      <x:c r="C1234" s="69" t="str">
        <x:v>2025-2026</x:v>
      </x:c>
      <x:c r="D1234" s="69" t="str">
        <x:v>summary</x:v>
      </x:c>
      <x:c r="E1234" s="69" t="str">
        <x:v>含稅總價</x:v>
      </x:c>
      <x:c r="F1234" s="71" t="str">
        <x:v>$——691,373</x:v>
      </x:c>
      <x:c r="G1234" s="71" t="str">
        <x:v>文件未載明</x:v>
      </x:c>
      <x:c r="H1234" s="71" t="str">
        <x:v>$ 690,000</x:v>
      </x:c>
      <x:c r="I1234" s="72"/>
      <x:c r="J1234" s="69" t="str">
        <x:v>文件未載明</x:v>
      </x:c>
      <x:c r="K1234" s="70"/>
      <x:c r="L1234" s="69" t="str">
        <x:v>文件未載明</x:v>
      </x:c>
      <x:c r="M1234" s="70"/>
      <x:c r="N1234" s="69" t="str">
        <x:v>文件未載明</x:v>
      </x:c>
      <x:c r="O1234" s="71" t="str">
        <x:v>文件未載明</x:v>
      </x:c>
      <x:c r="P1234" s="71" t="str">
        <x:v>HTML table 2 row 26</x:v>
      </x:c>
      <x:c r="Q1234" s="71" t="str">
        <x:v>含稅總價 | $——691,373 | | $ 690,000</x:v>
      </x:c>
      <x:c r="R1234" s="71" t="str">
        <x:v>各廠商合約&amp; 報價\MD檔案\20260422 工務所裝潢合約.報價.md</x:v>
      </x:c>
    </x:row>
    <x:row r="1235">
      <x:c r="A1235" s="69" t="str">
        <x:v>ITEM01231</x:v>
      </x:c>
      <x:c r="B1235" s="69" t="str">
        <x:v>SRC074</x:v>
      </x:c>
      <x:c r="C1235" s="69" t="str">
        <x:v>2025-2026</x:v>
      </x:c>
      <x:c r="D1235" s="69" t="str">
        <x:v>detail</x:v>
      </x:c>
      <x:c r="E1235" s="69" t="str">
        <x:v>陸拾玖萬元整</x:v>
      </x:c>
      <x:c r="F1235" s="71" t="str">
        <x:v>文件未載明</x:v>
      </x:c>
      <x:c r="G1235" s="71" t="str">
        <x:v>文件未載明</x:v>
      </x:c>
      <x:c r="H1235" s="71" t="str">
        <x:v>文件未載明</x:v>
      </x:c>
      <x:c r="I1235" s="72"/>
      <x:c r="J1235" s="69" t="str">
        <x:v>文件未載明</x:v>
      </x:c>
      <x:c r="K1235" s="70"/>
      <x:c r="L1235" s="69" t="str">
        <x:v>文件未載明</x:v>
      </x:c>
      <x:c r="M1235" s="70"/>
      <x:c r="N1235" s="69" t="str">
        <x:v>文件未載明</x:v>
      </x:c>
      <x:c r="O1235" s="71" t="str">
        <x:v>文件未載明</x:v>
      </x:c>
      <x:c r="P1235" s="71" t="str">
        <x:v>HTML table 2 row 27</x:v>
      </x:c>
      <x:c r="Q1235" s="71" t="str">
        <x:v>陸拾玖萬元整</x:v>
      </x:c>
      <x:c r="R1235" s="71" t="str">
        <x:v>各廠商合約&amp; 報價\MD檔案\20260422 工務所裝潢合約.報價.md</x:v>
      </x:c>
    </x:row>
    <x:row r="1236">
      <x:c r="A1236" s="69" t="str">
        <x:v>ITEM01232</x:v>
      </x:c>
      <x:c r="B1236" s="69" t="str">
        <x:v>SRC074</x:v>
      </x:c>
      <x:c r="C1236" s="69" t="str">
        <x:v>2025-2026</x:v>
      </x:c>
      <x:c r="D1236" s="69" t="str">
        <x:v>detail</x:v>
      </x:c>
      <x:c r="E1236" s="69" t="str">
        <x:v>文件未載明</x:v>
      </x:c>
      <x:c r="F1236" s="71" t="str">
        <x:v>備註</x:v>
      </x:c>
      <x:c r="G1236" s="71" t="str">
        <x:v>文件未載明</x:v>
      </x:c>
      <x:c r="H1236" s="71" t="str">
        <x:v>文件未載明</x:v>
      </x:c>
      <x:c r="I1236" s="72"/>
      <x:c r="J1236" s="69" t="str">
        <x:v>文件未載明</x:v>
      </x:c>
      <x:c r="K1236" s="70"/>
      <x:c r="L1236" s="69" t="str">
        <x:v>文件未載明</x:v>
      </x:c>
      <x:c r="M1236" s="70"/>
      <x:c r="N1236" s="69" t="str">
        <x:v>文件未載明</x:v>
      </x:c>
      <x:c r="O1236" s="71" t="str">
        <x:v>文件未載明</x:v>
      </x:c>
      <x:c r="P1236" s="71" t="str">
        <x:v>HTML table 3 row 1</x:v>
      </x:c>
      <x:c r="Q1236" s="71" t="str">
        <x:v>備註 | 業主簽名 | 備註</x:v>
      </x:c>
      <x:c r="R1236" s="71" t="str">
        <x:v>各廠商合約&amp; 報價\MD檔案\20260422 工務所裝潢合約.報價.md</x:v>
      </x:c>
    </x:row>
    <x:row r="1237">
      <x:c r="A1237" s="69" t="str">
        <x:v>ITEM01233</x:v>
      </x:c>
      <x:c r="B1237" s="69" t="str">
        <x:v>SRC074</x:v>
      </x:c>
      <x:c r="C1237" s="69" t="str">
        <x:v>2025-2026</x:v>
      </x:c>
      <x:c r="D1237" s="69" t="str">
        <x:v>detail</x:v>
      </x:c>
      <x:c r="E1237" s="69" t="str">
        <x:v>文件未載明</x:v>
      </x:c>
      <x:c r="F1237" s="71" t="str">
        <x:v>一.</x:v>
      </x:c>
      <x:c r="G1237" s="71" t="str">
        <x:v>文件未載明</x:v>
      </x:c>
      <x:c r="H1237" s="71" t="str">
        <x:v>文件未載明</x:v>
      </x:c>
      <x:c r="I1237" s="72"/>
      <x:c r="J1237" s="69" t="str">
        <x:v>文件未載明</x:v>
      </x:c>
      <x:c r="K1237" s="70"/>
      <x:c r="L1237" s="69" t="str">
        <x:v>文件未載明</x:v>
      </x:c>
      <x:c r="M1237" s="70"/>
      <x:c r="N1237" s="69" t="str">
        <x:v>文件未載明</x:v>
      </x:c>
      <x:c r="O1237" s="71" t="str">
        <x:v>文件未載明</x:v>
      </x:c>
      <x:c r="P1237" s="71" t="str">
        <x:v>HTML table 3 row 2</x:v>
      </x:c>
      <x:c r="Q1237" s="71" t="str">
        <x:v>一. | 工程之型式顏色數量以估價單註明為準,若有更動須在該項目施作前或傢俱出貨前與設計師討論更改估價單內容,如未事先告知業主須負擔追加之工程費用,傢俱則須負擔貨運車資 | | [IMAGE]</x:v>
      </x:c>
      <x:c r="R1237" s="71" t="str">
        <x:v>各廠商合約&amp; 報價\MD檔案\20260422 工務所裝潢合約.報價.md</x:v>
      </x:c>
    </x:row>
    <x:row r="1238">
      <x:c r="A1238" s="69" t="str">
        <x:v>ITEM01234</x:v>
      </x:c>
      <x:c r="B1238" s="69" t="str">
        <x:v>SRC074</x:v>
      </x:c>
      <x:c r="C1238" s="69" t="str">
        <x:v>2025-2026</x:v>
      </x:c>
      <x:c r="D1238" s="69" t="str">
        <x:v>detail</x:v>
      </x:c>
      <x:c r="E1238" s="69" t="str">
        <x:v>文件未載明</x:v>
      </x:c>
      <x:c r="F1238" s="71" t="str">
        <x:v>二.</x:v>
      </x:c>
      <x:c r="G1238" s="71" t="str">
        <x:v>文件未載明</x:v>
      </x:c>
      <x:c r="H1238" s="71" t="str">
        <x:v>文件未載明</x:v>
      </x:c>
      <x:c r="I1238" s="72"/>
      <x:c r="J1238" s="69" t="str">
        <x:v>文件未載明</x:v>
      </x:c>
      <x:c r="K1238" s="70"/>
      <x:c r="L1238" s="69" t="str">
        <x:v>文件未載明</x:v>
      </x:c>
      <x:c r="M1238" s="70"/>
      <x:c r="N1238" s="69" t="str">
        <x:v>文件未載明</x:v>
      </x:c>
      <x:c r="O1238" s="71" t="str">
        <x:v>文件未載明</x:v>
      </x:c>
      <x:c r="P1238" s="71" t="str">
        <x:v>HTML table 3 row 3</x:v>
      </x:c>
      <x:c r="Q1238" s="71" t="str">
        <x:v>二. | 若減少工程施作項目或減少傢俱數量,須填寫追減單</x:v>
      </x:c>
      <x:c r="R1238" s="71" t="str">
        <x:v>各廠商合約&amp; 報價\MD檔案\20260422 工務所裝潢合約.報價.md</x:v>
      </x:c>
    </x:row>
    <x:row r="1239">
      <x:c r="A1239" s="69" t="str">
        <x:v>ITEM01235</x:v>
      </x:c>
      <x:c r="B1239" s="69" t="str">
        <x:v>SRC074</x:v>
      </x:c>
      <x:c r="C1239" s="69" t="str">
        <x:v>2025-2026</x:v>
      </x:c>
      <x:c r="D1239" s="69" t="str">
        <x:v>detail</x:v>
      </x:c>
      <x:c r="E1239" s="69" t="str">
        <x:v>文件未載明</x:v>
      </x:c>
      <x:c r="F1239" s="71" t="str">
        <x:v>三.</x:v>
      </x:c>
      <x:c r="G1239" s="71" t="str">
        <x:v>文件未載明</x:v>
      </x:c>
      <x:c r="H1239" s="71" t="str">
        <x:v>文件未載明</x:v>
      </x:c>
      <x:c r="I1239" s="72"/>
      <x:c r="J1239" s="69" t="str">
        <x:v>文件未載明</x:v>
      </x:c>
      <x:c r="K1239" s="70"/>
      <x:c r="L1239" s="69" t="str">
        <x:v>文件未載明</x:v>
      </x:c>
      <x:c r="M1239" s="70"/>
      <x:c r="N1239" s="69" t="str">
        <x:v>文件未載明</x:v>
      </x:c>
      <x:c r="O1239" s="71" t="str">
        <x:v>文件未載明</x:v>
      </x:c>
      <x:c r="P1239" s="71" t="str">
        <x:v>HTML table 3 row 4</x:v>
      </x:c>
      <x:c r="Q1239" s="71" t="str">
        <x:v>三. | 估價單上無記載或未估價者,即為不施作之項目</x:v>
      </x:c>
      <x:c r="R1239" s="71" t="str">
        <x:v>各廠商合約&amp; 報價\MD檔案\20260422 工務所裝潢合約.報價.md</x:v>
      </x:c>
    </x:row>
    <x:row r="1240">
      <x:c r="A1240" s="69" t="str">
        <x:v>ITEM01236</x:v>
      </x:c>
      <x:c r="B1240" s="69" t="str">
        <x:v>SRC074</x:v>
      </x:c>
      <x:c r="C1240" s="69" t="str">
        <x:v>2025-2026</x:v>
      </x:c>
      <x:c r="D1240" s="69" t="str">
        <x:v>detail</x:v>
      </x:c>
      <x:c r="E1240" s="69" t="str">
        <x:v>文件未載明</x:v>
      </x:c>
      <x:c r="F1240" s="71" t="str">
        <x:v>四.</x:v>
      </x:c>
      <x:c r="G1240" s="71" t="str">
        <x:v>文件未載明</x:v>
      </x:c>
      <x:c r="H1240" s="71" t="str">
        <x:v>文件未載明</x:v>
      </x:c>
      <x:c r="I1240" s="72"/>
      <x:c r="J1240" s="69" t="str">
        <x:v>文件未載明</x:v>
      </x:c>
      <x:c r="K1240" s="70"/>
      <x:c r="L1240" s="69" t="str">
        <x:v>文件未載明</x:v>
      </x:c>
      <x:c r="M1240" s="70"/>
      <x:c r="N1240" s="69" t="str">
        <x:v>文件未載明</x:v>
      </x:c>
      <x:c r="O1240" s="71" t="str">
        <x:v>文件未載明</x:v>
      </x:c>
      <x:c r="P1240" s="71" t="str">
        <x:v>HTML table 3 row 5</x:v>
      </x:c>
      <x:c r="Q1240" s="71" t="str">
        <x:v>四. | 實際數量與估價數量不符,以實際數量為準</x:v>
      </x:c>
      <x:c r="R1240" s="71" t="str">
        <x:v>各廠商合約&amp; 報價\MD檔案\20260422 工務所裝潢合約.報價.md</x:v>
      </x:c>
    </x:row>
    <x:row r="1241">
      <x:c r="A1241" s="69" t="str">
        <x:v>ITEM01237</x:v>
      </x:c>
      <x:c r="B1241" s="69" t="str">
        <x:v>SRC074</x:v>
      </x:c>
      <x:c r="C1241" s="69" t="str">
        <x:v>2025-2026</x:v>
      </x:c>
      <x:c r="D1241" s="69" t="str">
        <x:v>detail</x:v>
      </x:c>
      <x:c r="E1241" s="69" t="str">
        <x:v>文件未載明</x:v>
      </x:c>
      <x:c r="F1241" s="71" t="str">
        <x:v>五.</x:v>
      </x:c>
      <x:c r="G1241" s="71" t="str">
        <x:v>文件未載明</x:v>
      </x:c>
      <x:c r="H1241" s="71" t="str">
        <x:v>文件未載明</x:v>
      </x:c>
      <x:c r="I1241" s="72"/>
      <x:c r="J1241" s="69" t="str">
        <x:v>文件未載明</x:v>
      </x:c>
      <x:c r="K1241" s="70"/>
      <x:c r="L1241" s="69" t="str">
        <x:v>文件未載明</x:v>
      </x:c>
      <x:c r="M1241" s="70"/>
      <x:c r="N1241" s="69" t="str">
        <x:v>文件未載明</x:v>
      </x:c>
      <x:c r="O1241" s="71" t="str">
        <x:v>文件未載明</x:v>
      </x:c>
      <x:c r="P1241" s="71" t="str">
        <x:v>HTML table 3 row 6</x:v>
      </x:c>
      <x:c r="Q1241" s="71" t="str">
        <x:v>五. | 裝潢保證金及清潔管理費由屋主繳交</x:v>
      </x:c>
      <x:c r="R1241" s="71" t="str">
        <x:v>各廠商合約&amp; 報價\MD檔案\20260422 工務所裝潢合約.報價.md</x:v>
      </x:c>
    </x:row>
    <x:row r="1242">
      <x:c r="A1242" s="69" t="str">
        <x:v>ITEM01238</x:v>
      </x:c>
      <x:c r="B1242" s="69" t="str">
        <x:v>SRC074</x:v>
      </x:c>
      <x:c r="C1242" s="69" t="str">
        <x:v>2025-2026</x:v>
      </x:c>
      <x:c r="D1242" s="69" t="str">
        <x:v>note</x:v>
      </x:c>
      <x:c r="E1242" s="69" t="str">
        <x:v>文件未載明</x:v>
      </x:c>
      <x:c r="F1242" s="71" t="str">
        <x:v>六.</x:v>
      </x:c>
      <x:c r="G1242" s="71" t="str">
        <x:v>文件未載明</x:v>
      </x:c>
      <x:c r="H1242" s="71" t="str">
        <x:v>文件未載明</x:v>
      </x:c>
      <x:c r="I1242" s="72"/>
      <x:c r="J1242" s="69" t="str">
        <x:v>文件未載明</x:v>
      </x:c>
      <x:c r="K1242" s="70"/>
      <x:c r="L1242" s="69" t="str">
        <x:v>文件未載明</x:v>
      </x:c>
      <x:c r="M1242" s="70"/>
      <x:c r="N1242" s="69" t="str">
        <x:v>文件未載明</x:v>
      </x:c>
      <x:c r="O1242" s="71" t="str">
        <x:v>文件未載明</x:v>
      </x:c>
      <x:c r="P1242" s="71" t="str">
        <x:v>HTML table 3 row 7</x:v>
      </x:c>
      <x:c r="Q1242" s="71" t="str">
        <x:v>六. | 本估價單不包含室內裝修工程許可證之申請</x:v>
      </x:c>
      <x:c r="R1242" s="71" t="str">
        <x:v>各廠商合約&amp; 報價\MD檔案\20260422 工務所裝潢合約.報價.md</x:v>
      </x:c>
    </x:row>
    <x:row r="1243">
      <x:c r="A1243" s="69" t="str">
        <x:v>ITEM01239</x:v>
      </x:c>
      <x:c r="B1243" s="69" t="str">
        <x:v>SRC074</x:v>
      </x:c>
      <x:c r="C1243" s="69" t="str">
        <x:v>2025-2026</x:v>
      </x:c>
      <x:c r="D1243" s="69" t="str">
        <x:v>detail</x:v>
      </x:c>
      <x:c r="E1243" s="69" t="str">
        <x:v>文件未載明</x:v>
      </x:c>
      <x:c r="F1243" s="71" t="str">
        <x:v>七.</x:v>
      </x:c>
      <x:c r="G1243" s="71" t="str">
        <x:v>文件未載明</x:v>
      </x:c>
      <x:c r="H1243" s="71" t="str">
        <x:v>文件未載明</x:v>
      </x:c>
      <x:c r="I1243" s="72"/>
      <x:c r="J1243" s="69" t="str">
        <x:v>文件未載明</x:v>
      </x:c>
      <x:c r="K1243" s="70"/>
      <x:c r="L1243" s="69" t="str">
        <x:v>文件未載明</x:v>
      </x:c>
      <x:c r="M1243" s="70"/>
      <x:c r="N1243" s="69" t="str">
        <x:v>文件未載明</x:v>
      </x:c>
      <x:c r="O1243" s="71" t="str">
        <x:v>文件未載明</x:v>
      </x:c>
      <x:c r="P1243" s="71" t="str">
        <x:v>HTML table 3 row 8</x:v>
      </x:c>
      <x:c r="Q1243" s="71" t="str">
        <x:v>七. | 工程報價單簽約後二個月內有效,若二個月內未施工則重新估價 | 設計師</x:v>
      </x:c>
      <x:c r="R1243" s="71" t="str">
        <x:v>各廠商合約&amp; 報價\MD檔案\20260422 工務所裝潢合約.報價.md</x:v>
      </x:c>
    </x:row>
    <x:row r="1244">
      <x:c r="A1244" s="69" t="str">
        <x:v>ITEM01240</x:v>
      </x:c>
      <x:c r="B1244" s="69" t="str">
        <x:v>SRC074</x:v>
      </x:c>
      <x:c r="C1244" s="69" t="str">
        <x:v>2025-2026</x:v>
      </x:c>
      <x:c r="D1244" s="69" t="str">
        <x:v>detail</x:v>
      </x:c>
      <x:c r="E1244" s="69" t="str">
        <x:v>文件未載明</x:v>
      </x:c>
      <x:c r="F1244" s="71" t="str">
        <x:v>八.</x:v>
      </x:c>
      <x:c r="G1244" s="71" t="str">
        <x:v>文件未載明</x:v>
      </x:c>
      <x:c r="H1244" s="71" t="str">
        <x:v>文件未載明</x:v>
      </x:c>
      <x:c r="I1244" s="72"/>
      <x:c r="J1244" s="69" t="str">
        <x:v>文件未載明</x:v>
      </x:c>
      <x:c r="K1244" s="70"/>
      <x:c r="L1244" s="69" t="str">
        <x:v>文件未載明</x:v>
      </x:c>
      <x:c r="M1244" s="70"/>
      <x:c r="N1244" s="69" t="str">
        <x:v>文件未載明</x:v>
      </x:c>
      <x:c r="O1244" s="71" t="str">
        <x:v>文件未載明</x:v>
      </x:c>
      <x:c r="P1244" s="71" t="str">
        <x:v>HTML table 3 row 9</x:v>
      </x:c>
      <x:c r="Q1244" s="71" t="str">
        <x:v>八. | 匯款資訊</x:v>
      </x:c>
      <x:c r="R1244" s="71" t="str">
        <x:v>各廠商合約&amp; 報價\MD檔案\20260422 工務所裝潢合約.報價.md</x:v>
      </x:c>
    </x:row>
    <x:row r="1245">
      <x:c r="A1245" s="69" t="str">
        <x:v>ITEM01241</x:v>
      </x:c>
      <x:c r="B1245" s="69" t="str">
        <x:v>SRC074</x:v>
      </x:c>
      <x:c r="C1245" s="69" t="str">
        <x:v>2025-2026</x:v>
      </x:c>
      <x:c r="D1245" s="69" t="str">
        <x:v>detail</x:v>
      </x:c>
      <x:c r="E1245" s="69" t="str">
        <x:v>文件未載明</x:v>
      </x:c>
      <x:c r="F1245" s="71" t="str">
        <x:v>銀行:台北富邦銀行 竹北分行</x:v>
      </x:c>
      <x:c r="G1245" s="71" t="str">
        <x:v>文件未載明</x:v>
      </x:c>
      <x:c r="H1245" s="71" t="str">
        <x:v>文件未載明</x:v>
      </x:c>
      <x:c r="I1245" s="72"/>
      <x:c r="J1245" s="69" t="str">
        <x:v>文件未載明</x:v>
      </x:c>
      <x:c r="K1245" s="70"/>
      <x:c r="L1245" s="69" t="str">
        <x:v>文件未載明</x:v>
      </x:c>
      <x:c r="M1245" s="70"/>
      <x:c r="N1245" s="69" t="str">
        <x:v>文件未載明</x:v>
      </x:c>
      <x:c r="O1245" s="71" t="str">
        <x:v>文件未載明</x:v>
      </x:c>
      <x:c r="P1245" s="71" t="str">
        <x:v>HTML table 3 row 10</x:v>
      </x:c>
      <x:c r="Q1245" s="71" t="str">
        <x:v>| 銀行:台北富邦銀行 竹北分行 | 訂金 10% : $69,000 |</x:v>
      </x:c>
      <x:c r="R1245" s="71" t="str">
        <x:v>各廠商合約&amp; 報價\MD檔案\20260422 工務所裝潢合約.報價.md</x:v>
      </x:c>
    </x:row>
    <x:row r="1246">
      <x:c r="A1246" s="69" t="str">
        <x:v>ITEM01242</x:v>
      </x:c>
      <x:c r="B1246" s="69" t="str">
        <x:v>SRC074</x:v>
      </x:c>
      <x:c r="C1246" s="69" t="str">
        <x:v>2025-2026</x:v>
      </x:c>
      <x:c r="D1246" s="69" t="str">
        <x:v>detail</x:v>
      </x:c>
      <x:c r="E1246" s="69" t="str">
        <x:v>文件未載明</x:v>
      </x:c>
      <x:c r="F1246" s="71" t="str">
        <x:v>戶名:茗匠有限公司</x:v>
      </x:c>
      <x:c r="G1246" s="71" t="str">
        <x:v>文件未載明</x:v>
      </x:c>
      <x:c r="H1246" s="71" t="str">
        <x:v>文件未載明</x:v>
      </x:c>
      <x:c r="I1246" s="72"/>
      <x:c r="J1246" s="69" t="str">
        <x:v>文件未載明</x:v>
      </x:c>
      <x:c r="K1246" s="70"/>
      <x:c r="L1246" s="69" t="str">
        <x:v>文件未載明</x:v>
      </x:c>
      <x:c r="M1246" s="70"/>
      <x:c r="N1246" s="69" t="str">
        <x:v>文件未載明</x:v>
      </x:c>
      <x:c r="O1246" s="71" t="str">
        <x:v>文件未載明</x:v>
      </x:c>
      <x:c r="P1246" s="71" t="str">
        <x:v>HTML table 3 row 11</x:v>
      </x:c>
      <x:c r="Q1246" s="71" t="str">
        <x:v>| 戶名:茗匠有限公司 | 開工前 30% : $210,000 |</x:v>
      </x:c>
      <x:c r="R1246" s="71" t="str">
        <x:v>各廠商合約&amp; 報價\MD檔案\20260422 工務所裝潢合約.報價.md</x:v>
      </x:c>
    </x:row>
    <x:row r="1247">
      <x:c r="A1247" s="69" t="str">
        <x:v>ITEM01243</x:v>
      </x:c>
      <x:c r="B1247" s="69" t="str">
        <x:v>SRC074</x:v>
      </x:c>
      <x:c r="C1247" s="69" t="str">
        <x:v>2025-2026</x:v>
      </x:c>
      <x:c r="D1247" s="69" t="str">
        <x:v>detail</x:v>
      </x:c>
      <x:c r="E1247" s="69" t="str">
        <x:v>文件未載明</x:v>
      </x:c>
      <x:c r="F1247" s="71" t="str">
        <x:v>木工完工 30% : $210,000</x:v>
      </x:c>
      <x:c r="G1247" s="71" t="str">
        <x:v>文件未載明</x:v>
      </x:c>
      <x:c r="H1247" s="71" t="str">
        <x:v>文件未載明</x:v>
      </x:c>
      <x:c r="I1247" s="72"/>
      <x:c r="J1247" s="69" t="str">
        <x:v>文件未載明</x:v>
      </x:c>
      <x:c r="K1247" s="70"/>
      <x:c r="L1247" s="69" t="str">
        <x:v>文件未載明</x:v>
      </x:c>
      <x:c r="M1247" s="70"/>
      <x:c r="N1247" s="69" t="str">
        <x:v>文件未載明</x:v>
      </x:c>
      <x:c r="O1247" s="71" t="str">
        <x:v>文件未載明</x:v>
      </x:c>
      <x:c r="P1247" s="71" t="str">
        <x:v>HTML table 3 row 12</x:v>
      </x:c>
      <x:c r="Q1247" s="71" t="str">
        <x:v>| 木工完工 30% : $210,000 |</x:v>
      </x:c>
      <x:c r="R1247" s="71" t="str">
        <x:v>各廠商合約&amp; 報價\MD檔案\20260422 工務所裝潢合約.報價.md</x:v>
      </x:c>
    </x:row>
    <x:row r="1248">
      <x:c r="A1248" s="69" t="str">
        <x:v>ITEM01244</x:v>
      </x:c>
      <x:c r="B1248" s="69" t="str">
        <x:v>SRC074</x:v>
      </x:c>
      <x:c r="C1248" s="69" t="str">
        <x:v>2025-2026</x:v>
      </x:c>
      <x:c r="D1248" s="69" t="str">
        <x:v>detail</x:v>
      </x:c>
      <x:c r="E1248" s="69" t="str">
        <x:v>文件未載明</x:v>
      </x:c>
      <x:c r="F1248" s="71" t="str">
        <x:v>銀行代號:012</x:v>
      </x:c>
      <x:c r="G1248" s="71" t="str">
        <x:v>文件未載明</x:v>
      </x:c>
      <x:c r="H1248" s="71" t="str">
        <x:v>文件未載明</x:v>
      </x:c>
      <x:c r="I1248" s="72"/>
      <x:c r="J1248" s="69" t="str">
        <x:v>文件未載明</x:v>
      </x:c>
      <x:c r="K1248" s="70"/>
      <x:c r="L1248" s="69" t="str">
        <x:v>文件未載明</x:v>
      </x:c>
      <x:c r="M1248" s="70"/>
      <x:c r="N1248" s="69" t="str">
        <x:v>文件未載明</x:v>
      </x:c>
      <x:c r="O1248" s="71" t="str">
        <x:v>文件未載明</x:v>
      </x:c>
      <x:c r="P1248" s="71" t="str">
        <x:v>HTML table 3 row 13</x:v>
      </x:c>
      <x:c r="Q1248" s="71" t="str">
        <x:v>| 銀行代號:012 | 系統下單 25% : $180,000 |</x:v>
      </x:c>
      <x:c r="R1248" s="71" t="str">
        <x:v>各廠商合約&amp; 報價\MD檔案\20260422 工務所裝潢合約.報價.md</x:v>
      </x:c>
    </x:row>
    <x:row r="1249">
      <x:c r="A1249" s="69" t="str">
        <x:v>ITEM01245</x:v>
      </x:c>
      <x:c r="B1249" s="69" t="str">
        <x:v>SRC074</x:v>
      </x:c>
      <x:c r="C1249" s="69" t="str">
        <x:v>2025-2026</x:v>
      </x:c>
      <x:c r="D1249" s="69" t="str">
        <x:v>detail</x:v>
      </x:c>
      <x:c r="E1249" s="69" t="str">
        <x:v>文件未載明</x:v>
      </x:c>
      <x:c r="F1249" s="71" t="str">
        <x:v>帳號:00746-10200-3391</x:v>
      </x:c>
      <x:c r="G1249" s="71" t="str">
        <x:v>文件未載明</x:v>
      </x:c>
      <x:c r="H1249" s="71" t="str">
        <x:v>文件未載明</x:v>
      </x:c>
      <x:c r="I1249" s="72"/>
      <x:c r="J1249" s="69" t="str">
        <x:v>文件未載明</x:v>
      </x:c>
      <x:c r="K1249" s="70"/>
      <x:c r="L1249" s="69" t="str">
        <x:v>文件未載明</x:v>
      </x:c>
      <x:c r="M1249" s="70"/>
      <x:c r="N1249" s="69" t="str">
        <x:v>文件未載明</x:v>
      </x:c>
      <x:c r="O1249" s="71" t="str">
        <x:v>文件未載明</x:v>
      </x:c>
      <x:c r="P1249" s="71" t="str">
        <x:v>HTML table 3 row 14</x:v>
      </x:c>
      <x:c r="Q1249" s="71" t="str">
        <x:v>| 帳號:00746-10200-3391 | 清潔驗收 5% : $21,000 |</x:v>
      </x:c>
      <x:c r="R1249" s="71" t="str">
        <x:v>各廠商合約&amp; 報價\MD檔案\20260422 工務所裝潢合約.報價.md</x:v>
      </x:c>
    </x:row>
    <x:row r="1250">
      <x:c r="A1250" s="69" t="str">
        <x:v>ITEM01246</x:v>
      </x:c>
      <x:c r="B1250" s="69" t="str">
        <x:v>SRC075</x:v>
      </x:c>
      <x:c r="C1250" s="69" t="str">
        <x:v>2025-2026</x:v>
      </x:c>
      <x:c r="D1250" s="69" t="str">
        <x:v>header</x:v>
      </x:c>
      <x:c r="E1250" s="69" t="str">
        <x:v>項目</x:v>
      </x:c>
      <x:c r="F1250" s="71" t="str">
        <x:v>項目</x:v>
      </x:c>
      <x:c r="G1250" s="71" t="str">
        <x:v>規格</x:v>
      </x:c>
      <x:c r="H1250" s="71" t="str">
        <x:v>文件未載明</x:v>
      </x:c>
      <x:c r="I1250" s="72"/>
      <x:c r="J1250" s="69" t="str">
        <x:v>數量</x:v>
      </x:c>
      <x:c r="K1250" s="70"/>
      <x:c r="L1250" s="69" t="str">
        <x:v>單價</x:v>
      </x:c>
      <x:c r="M1250" s="70"/>
      <x:c r="N1250" s="69" t="str">
        <x:v>金額</x:v>
      </x:c>
      <x:c r="O1250" s="71" t="str">
        <x:v>備註</x:v>
      </x:c>
      <x:c r="P1250" s="71" t="str">
        <x:v>HTML table 1 row 1</x:v>
      </x:c>
      <x:c r="Q1250" s="71" t="str">
        <x:v>項目 | 品名 | 規格 | 數量 | 單價 | 金額 | 備註</x:v>
      </x:c>
      <x:c r="R1250" s="71" t="str">
        <x:v>各廠商合約&amp; 報價\MD檔案\20260424 全鑫追加工程_人孔蓋、後側採光罩延伸_.md</x:v>
      </x:c>
    </x:row>
    <x:row r="1251">
      <x:c r="A1251" s="69" t="str">
        <x:v>ITEM01247</x:v>
      </x:c>
      <x:c r="B1251" s="69" t="str">
        <x:v>SRC075</x:v>
      </x:c>
      <x:c r="C1251" s="69" t="str">
        <x:v>2025-2026</x:v>
      </x:c>
      <x:c r="D1251" s="69" t="str">
        <x:v>detail</x:v>
      </x:c>
      <x:c r="E1251" s="69" t="str">
        <x:v>1</x:v>
      </x:c>
      <x:c r="F1251" s="71" t="str">
        <x:v>1</x:v>
      </x:c>
      <x:c r="G1251" s="71" t="str">
        <x:v>式</x:v>
      </x:c>
      <x:c r="H1251" s="71" t="str">
        <x:v>文件未載明</x:v>
      </x:c>
      <x:c r="I1251" s="72" t="n">
        <x:v>1</x:v>
      </x:c>
      <x:c r="J1251" s="69" t="str">
        <x:v>1</x:v>
      </x:c>
      <x:c r="K1251" s="70"/>
      <x:c r="L1251" s="69" t="str">
        <x:v>文件未載明</x:v>
      </x:c>
      <x:c r="M1251" s="70" t="n">
        <x:v>3500</x:v>
      </x:c>
      <x:c r="N1251" s="69" t="str">
        <x:v>3500</x:v>
      </x:c>
      <x:c r="O1251" s="71" t="str">
        <x:v>文件未載明</x:v>
      </x:c>
      <x:c r="P1251" s="71" t="str">
        <x:v>HTML table 1 row 2</x:v>
      </x:c>
      <x:c r="Q1251" s="71" t="str">
        <x:v>1 | 開籬下方 補打砂利康 26 米追加 | 式 | 1 | | 3500 |</x:v>
      </x:c>
      <x:c r="R1251" s="71" t="str">
        <x:v>各廠商合約&amp; 報價\MD檔案\20260424 全鑫追加工程_人孔蓋、後側採光罩延伸_.md</x:v>
      </x:c>
    </x:row>
    <x:row r="1252">
      <x:c r="A1252" s="69" t="str">
        <x:v>ITEM01248</x:v>
      </x:c>
      <x:c r="B1252" s="69" t="str">
        <x:v>SRC075</x:v>
      </x:c>
      <x:c r="C1252" s="69" t="str">
        <x:v>2025-2026</x:v>
      </x:c>
      <x:c r="D1252" s="69" t="str">
        <x:v>detail</x:v>
      </x:c>
      <x:c r="E1252" s="69" t="str">
        <x:v>2</x:v>
      </x:c>
      <x:c r="F1252" s="71" t="str">
        <x:v>2</x:v>
      </x:c>
      <x:c r="G1252" s="71" t="str">
        <x:v>文件未載明</x:v>
      </x:c>
      <x:c r="H1252" s="71" t="str">
        <x:v>文件未載明</x:v>
      </x:c>
      <x:c r="I1252" s="72"/>
      <x:c r="J1252" s="69" t="str">
        <x:v>文件未載明</x:v>
      </x:c>
      <x:c r="K1252" s="70"/>
      <x:c r="L1252" s="69" t="str">
        <x:v>文件未載明</x:v>
      </x:c>
      <x:c r="M1252" s="70"/>
      <x:c r="N1252" s="69" t="str">
        <x:v>文件未載明</x:v>
      </x:c>
      <x:c r="O1252" s="71" t="str">
        <x:v>文件未載明</x:v>
      </x:c>
      <x:c r="P1252" s="71" t="str">
        <x:v>HTML table 1 row 3</x:v>
      </x:c>
      <x:c r="Q1252" s="71" t="str">
        <x:v>2 | 3mm 錢花板 590*580*35 隱藏式把手 | | | | |</x:v>
      </x:c>
      <x:c r="R1252" s="71" t="str">
        <x:v>各廠商合約&amp; 報價\MD檔案\20260424 全鑫追加工程_人孔蓋、後側採光罩延伸_.md</x:v>
      </x:c>
    </x:row>
    <x:row r="1253">
      <x:c r="A1253" s="69" t="str">
        <x:v>ITEM01249</x:v>
      </x:c>
      <x:c r="B1253" s="69" t="str">
        <x:v>SRC075</x:v>
      </x:c>
      <x:c r="C1253" s="69" t="str">
        <x:v>2025-2026</x:v>
      </x:c>
      <x:c r="D1253" s="69" t="str">
        <x:v>detail</x:v>
      </x:c>
      <x:c r="E1253" s="69" t="str">
        <x:v>3</x:v>
      </x:c>
      <x:c r="F1253" s="71" t="str">
        <x:v>3</x:v>
      </x:c>
      <x:c r="G1253" s="71" t="str">
        <x:v>式</x:v>
      </x:c>
      <x:c r="H1253" s="71" t="str">
        <x:v>文件未載明</x:v>
      </x:c>
      <x:c r="I1253" s="72" t="n">
        <x:v>1</x:v>
      </x:c>
      <x:c r="J1253" s="69" t="str">
        <x:v>1</x:v>
      </x:c>
      <x:c r="K1253" s="70"/>
      <x:c r="L1253" s="69" t="str">
        <x:v>文件未載明</x:v>
      </x:c>
      <x:c r="M1253" s="70" t="n">
        <x:v>4000</x:v>
      </x:c>
      <x:c r="N1253" s="69" t="str">
        <x:v>4000</x:v>
      </x:c>
      <x:c r="O1253" s="71" t="str">
        <x:v>文件未載明</x:v>
      </x:c>
      <x:c r="P1253" s="71" t="str">
        <x:v>HTML table 1 row 4</x:v>
      </x:c>
      <x:c r="Q1253" s="71" t="str">
        <x:v>3 | 內面補骨架強化 | 式 | 1 | | 4000 |</x:v>
      </x:c>
      <x:c r="R1253" s="71" t="str">
        <x:v>各廠商合約&amp; 報價\MD檔案\20260424 全鑫追加工程_人孔蓋、後側採光罩延伸_.md</x:v>
      </x:c>
    </x:row>
    <x:row r="1254">
      <x:c r="A1254" s="69" t="str">
        <x:v>ITEM01250</x:v>
      </x:c>
      <x:c r="B1254" s="69" t="str">
        <x:v>SRC075</x:v>
      </x:c>
      <x:c r="C1254" s="69" t="str">
        <x:v>2025-2026</x:v>
      </x:c>
      <x:c r="D1254" s="69" t="str">
        <x:v>detail</x:v>
      </x:c>
      <x:c r="E1254" s="69" t="str">
        <x:v>4</x:v>
      </x:c>
      <x:c r="F1254" s="71" t="str">
        <x:v>4</x:v>
      </x:c>
      <x:c r="G1254" s="71" t="str">
        <x:v>文件未載明</x:v>
      </x:c>
      <x:c r="H1254" s="71" t="str">
        <x:v>文件未載明</x:v>
      </x:c>
      <x:c r="I1254" s="72"/>
      <x:c r="J1254" s="69" t="str">
        <x:v>文件未載明</x:v>
      </x:c>
      <x:c r="K1254" s="70"/>
      <x:c r="L1254" s="69" t="str">
        <x:v>文件未載明</x:v>
      </x:c>
      <x:c r="M1254" s="70"/>
      <x:c r="N1254" s="69" t="str">
        <x:v>文件未載明</x:v>
      </x:c>
      <x:c r="O1254" s="71" t="str">
        <x:v>文件未載明</x:v>
      </x:c>
      <x:c r="P1254" s="71" t="str">
        <x:v>HTML table 1 row 5</x:v>
      </x:c>
      <x:c r="Q1254" s="71" t="str">
        <x:v>4 | 不鏽鋼 50/100 烤漆 A24 5+5 強膠和白膜 | | | | |</x:v>
      </x:c>
      <x:c r="R1254" s="71" t="str">
        <x:v>各廠商合約&amp; 報價\MD檔案\20260424 全鑫追加工程_人孔蓋、後側採光罩延伸_.md</x:v>
      </x:c>
    </x:row>
    <x:row r="1255">
      <x:c r="A1255" s="69" t="str">
        <x:v>ITEM01251</x:v>
      </x:c>
      <x:c r="B1255" s="69" t="str">
        <x:v>SRC075</x:v>
      </x:c>
      <x:c r="C1255" s="69" t="str">
        <x:v>2025-2026</x:v>
      </x:c>
      <x:c r="D1255" s="69" t="str">
        <x:v>detail</x:v>
      </x:c>
      <x:c r="E1255" s="69" t="str">
        <x:v>5</x:v>
      </x:c>
      <x:c r="F1255" s="71" t="str">
        <x:v>5</x:v>
      </x:c>
      <x:c r="G1255" s="71" t="str">
        <x:v>式</x:v>
      </x:c>
      <x:c r="H1255" s="71" t="str">
        <x:v>文件未載明</x:v>
      </x:c>
      <x:c r="I1255" s="72" t="n">
        <x:v>1</x:v>
      </x:c>
      <x:c r="J1255" s="69" t="str">
        <x:v>1</x:v>
      </x:c>
      <x:c r="K1255" s="70"/>
      <x:c r="L1255" s="69" t="str">
        <x:v>文件未載明</x:v>
      </x:c>
      <x:c r="M1255" s="70" t="n">
        <x:v>7000</x:v>
      </x:c>
      <x:c r="N1255" s="69" t="str">
        <x:v>7000</x:v>
      </x:c>
      <x:c r="O1255" s="71" t="str">
        <x:v>文件未載明</x:v>
      </x:c>
      <x:c r="P1255" s="71" t="str">
        <x:v>HTML table 1 row 6</x:v>
      </x:c>
      <x:c r="Q1255" s="71" t="str">
        <x:v>5 | 玻璃 寬 990 長 843 現場煉焊斜撑 | 式 | 1 | | 7000 |</x:v>
      </x:c>
      <x:c r="R1255" s="71" t="str">
        <x:v>各廠商合約&amp; 報價\MD檔案\20260424 全鑫追加工程_人孔蓋、後側採光罩延伸_.md</x:v>
      </x:c>
    </x:row>
    <x:row r="1256">
      <x:c r="A1256" s="69" t="str">
        <x:v>ITEM01252</x:v>
      </x:c>
      <x:c r="B1256" s="69" t="str">
        <x:v>SRC075</x:v>
      </x:c>
      <x:c r="C1256" s="69" t="str">
        <x:v>2025-2026</x:v>
      </x:c>
      <x:c r="D1256" s="69" t="str">
        <x:v>detail</x:v>
      </x:c>
      <x:c r="E1256" s="69" t="str">
        <x:v>6</x:v>
      </x:c>
      <x:c r="F1256" s="71" t="str">
        <x:v>6</x:v>
      </x:c>
      <x:c r="G1256" s="71" t="str">
        <x:v>文件未載明</x:v>
      </x:c>
      <x:c r="H1256" s="71" t="str">
        <x:v>文件未載明</x:v>
      </x:c>
      <x:c r="I1256" s="72"/>
      <x:c r="J1256" s="69" t="str">
        <x:v>文件未載明</x:v>
      </x:c>
      <x:c r="K1256" s="70"/>
      <x:c r="L1256" s="69" t="str">
        <x:v>文件未載明</x:v>
      </x:c>
      <x:c r="M1256" s="70"/>
      <x:c r="N1256" s="69" t="str">
        <x:v>文件未載明</x:v>
      </x:c>
      <x:c r="O1256" s="71" t="str">
        <x:v>文件未載明</x:v>
      </x:c>
      <x:c r="P1256" s="71" t="str">
        <x:v>HTML table 1 row 7</x:v>
      </x:c>
      <x:c r="Q1256" s="71" t="str">
        <x:v>6 | | | | | |</x:v>
      </x:c>
      <x:c r="R1256" s="71" t="str">
        <x:v>各廠商合約&amp; 報價\MD檔案\20260424 全鑫追加工程_人孔蓋、後側採光罩延伸_.md</x:v>
      </x:c>
    </x:row>
    <x:row r="1257">
      <x:c r="A1257" s="69" t="str">
        <x:v>ITEM01253</x:v>
      </x:c>
      <x:c r="B1257" s="69" t="str">
        <x:v>SRC075</x:v>
      </x:c>
      <x:c r="C1257" s="69" t="str">
        <x:v>2025-2026</x:v>
      </x:c>
      <x:c r="D1257" s="69" t="str">
        <x:v>detail</x:v>
      </x:c>
      <x:c r="E1257" s="69" t="str">
        <x:v>7</x:v>
      </x:c>
      <x:c r="F1257" s="71" t="str">
        <x:v>7</x:v>
      </x:c>
      <x:c r="G1257" s="71" t="str">
        <x:v>文件未載明</x:v>
      </x:c>
      <x:c r="H1257" s="71" t="str">
        <x:v>文件未載明</x:v>
      </x:c>
      <x:c r="I1257" s="72"/>
      <x:c r="J1257" s="69" t="str">
        <x:v>文件未載明</x:v>
      </x:c>
      <x:c r="K1257" s="70"/>
      <x:c r="L1257" s="69" t="str">
        <x:v>文件未載明</x:v>
      </x:c>
      <x:c r="M1257" s="70"/>
      <x:c r="N1257" s="69" t="str">
        <x:v>文件未載明</x:v>
      </x:c>
      <x:c r="O1257" s="71" t="str">
        <x:v>文件未載明</x:v>
      </x:c>
      <x:c r="P1257" s="71" t="str">
        <x:v>HTML table 1 row 8</x:v>
      </x:c>
      <x:c r="Q1257" s="71" t="str">
        <x:v>7 | | | | | |</x:v>
      </x:c>
      <x:c r="R1257" s="71" t="str">
        <x:v>各廠商合約&amp; 報價\MD檔案\20260424 全鑫追加工程_人孔蓋、後側採光罩延伸_.md</x:v>
      </x:c>
    </x:row>
    <x:row r="1258">
      <x:c r="A1258" s="69" t="str">
        <x:v>ITEM01254</x:v>
      </x:c>
      <x:c r="B1258" s="69" t="str">
        <x:v>SRC075</x:v>
      </x:c>
      <x:c r="C1258" s="69" t="str">
        <x:v>2025-2026</x:v>
      </x:c>
      <x:c r="D1258" s="69" t="str">
        <x:v>detail</x:v>
      </x:c>
      <x:c r="E1258" s="69" t="str">
        <x:v>8</x:v>
      </x:c>
      <x:c r="F1258" s="71" t="str">
        <x:v>8</x:v>
      </x:c>
      <x:c r="G1258" s="71" t="str">
        <x:v>文件未載明</x:v>
      </x:c>
      <x:c r="H1258" s="71" t="str">
        <x:v>文件未載明</x:v>
      </x:c>
      <x:c r="I1258" s="72"/>
      <x:c r="J1258" s="69" t="str">
        <x:v>文件未載明</x:v>
      </x:c>
      <x:c r="K1258" s="70"/>
      <x:c r="L1258" s="69" t="str">
        <x:v>文件未載明</x:v>
      </x:c>
      <x:c r="M1258" s="70"/>
      <x:c r="N1258" s="69" t="str">
        <x:v>文件未載明</x:v>
      </x:c>
      <x:c r="O1258" s="71" t="str">
        <x:v>文件未載明</x:v>
      </x:c>
      <x:c r="P1258" s="71" t="str">
        <x:v>HTML table 1 row 9</x:v>
      </x:c>
      <x:c r="Q1258" s="71" t="str">
        <x:v>8 | | | | | |</x:v>
      </x:c>
      <x:c r="R1258" s="71" t="str">
        <x:v>各廠商合約&amp; 報價\MD檔案\20260424 全鑫追加工程_人孔蓋、後側採光罩延伸_.md</x:v>
      </x:c>
    </x:row>
    <x:row r="1259">
      <x:c r="A1259" s="69" t="str">
        <x:v>ITEM01255</x:v>
      </x:c>
      <x:c r="B1259" s="69" t="str">
        <x:v>SRC075</x:v>
      </x:c>
      <x:c r="C1259" s="69" t="str">
        <x:v>2025-2026</x:v>
      </x:c>
      <x:c r="D1259" s="69" t="str">
        <x:v>summary</x:v>
      </x:c>
      <x:c r="E1259" s="69" t="str">
        <x:v>9</x:v>
      </x:c>
      <x:c r="F1259" s="71" t="str">
        <x:v>9</x:v>
      </x:c>
      <x:c r="G1259" s="71" t="str">
        <x:v>文件未載明</x:v>
      </x:c>
      <x:c r="H1259" s="71" t="str">
        <x:v>文件未載明</x:v>
      </x:c>
      <x:c r="I1259" s="72"/>
      <x:c r="J1259" s="69" t="str">
        <x:v>文件未載明</x:v>
      </x:c>
      <x:c r="K1259" s="70"/>
      <x:c r="L1259" s="69" t="str">
        <x:v>文件未載明</x:v>
      </x:c>
      <x:c r="M1259" s="70"/>
      <x:c r="N1259" s="69" t="str">
        <x:v>文件未載明</x:v>
      </x:c>
      <x:c r="O1259" s="71" t="str">
        <x:v>文件未載明</x:v>
      </x:c>
      <x:c r="P1259" s="71" t="str">
        <x:v>HTML table 1 row 10</x:v>
      </x:c>
      <x:c r="Q1259" s="71" t="str">
        <x:v>9 | 合計$14500 未稅 | | | | |</x:v>
      </x:c>
      <x:c r="R1259" s="71" t="str">
        <x:v>各廠商合約&amp; 報價\MD檔案\20260424 全鑫追加工程_人孔蓋、後側採光罩延伸_.md</x:v>
      </x:c>
    </x:row>
    <x:row r="1260">
      <x:c r="A1260" s="69" t="str">
        <x:v>ITEM01256</x:v>
      </x:c>
      <x:c r="B1260" s="69" t="str">
        <x:v>SRC075</x:v>
      </x:c>
      <x:c r="C1260" s="69" t="str">
        <x:v>2025-2026</x:v>
      </x:c>
      <x:c r="D1260" s="69" t="str">
        <x:v>detail</x:v>
      </x:c>
      <x:c r="E1260" s="69" t="str">
        <x:v>10</x:v>
      </x:c>
      <x:c r="F1260" s="71" t="str">
        <x:v>10</x:v>
      </x:c>
      <x:c r="G1260" s="71" t="str">
        <x:v>文件未載明</x:v>
      </x:c>
      <x:c r="H1260" s="71" t="str">
        <x:v>文件未載明</x:v>
      </x:c>
      <x:c r="I1260" s="72"/>
      <x:c r="J1260" s="69" t="str">
        <x:v>文件未載明</x:v>
      </x:c>
      <x:c r="K1260" s="70"/>
      <x:c r="L1260" s="69" t="str">
        <x:v>文件未載明</x:v>
      </x:c>
      <x:c r="M1260" s="70"/>
      <x:c r="N1260" s="69" t="str">
        <x:v>文件未載明</x:v>
      </x:c>
      <x:c r="O1260" s="71" t="str">
        <x:v>文件未載明</x:v>
      </x:c>
      <x:c r="P1260" s="71" t="str">
        <x:v>HTML table 1 row 11</x:v>
      </x:c>
      <x:c r="Q1260" s="71" t="str">
        <x:v>10 | | | | | |</x:v>
      </x:c>
      <x:c r="R1260" s="71" t="str">
        <x:v>各廠商合約&amp; 報價\MD檔案\20260424 全鑫追加工程_人孔蓋、後側採光罩延伸_.md</x:v>
      </x:c>
    </x:row>
    <x:row r="1261">
      <x:c r="A1261" s="69" t="str">
        <x:v>ITEM01257</x:v>
      </x:c>
      <x:c r="B1261" s="69" t="str">
        <x:v>SRC075</x:v>
      </x:c>
      <x:c r="C1261" s="69" t="str">
        <x:v>2025-2026</x:v>
      </x:c>
      <x:c r="D1261" s="69" t="str">
        <x:v>detail</x:v>
      </x:c>
      <x:c r="E1261" s="69" t="str">
        <x:v>11</x:v>
      </x:c>
      <x:c r="F1261" s="71" t="str">
        <x:v>11</x:v>
      </x:c>
      <x:c r="G1261" s="71" t="str">
        <x:v>文件未載明</x:v>
      </x:c>
      <x:c r="H1261" s="71" t="str">
        <x:v>文件未載明</x:v>
      </x:c>
      <x:c r="I1261" s="72"/>
      <x:c r="J1261" s="69" t="str">
        <x:v>文件未載明</x:v>
      </x:c>
      <x:c r="K1261" s="70"/>
      <x:c r="L1261" s="69" t="str">
        <x:v>文件未載明</x:v>
      </x:c>
      <x:c r="M1261" s="70"/>
      <x:c r="N1261" s="69" t="str">
        <x:v>文件未載明</x:v>
      </x:c>
      <x:c r="O1261" s="71" t="str">
        <x:v>文件未載明</x:v>
      </x:c>
      <x:c r="P1261" s="71" t="str">
        <x:v>HTML table 1 row 12</x:v>
      </x:c>
      <x:c r="Q1261" s="71" t="str">
        <x:v>11 | | | | | |</x:v>
      </x:c>
      <x:c r="R1261" s="71" t="str">
        <x:v>各廠商合約&amp; 報價\MD檔案\20260424 全鑫追加工程_人孔蓋、後側採光罩延伸_.md</x:v>
      </x:c>
    </x:row>
    <x:row r="1262">
      <x:c r="A1262" s="69" t="str">
        <x:v>ITEM01258</x:v>
      </x:c>
      <x:c r="B1262" s="69" t="str">
        <x:v>SRC075</x:v>
      </x:c>
      <x:c r="C1262" s="69" t="str">
        <x:v>2025-2026</x:v>
      </x:c>
      <x:c r="D1262" s="69" t="str">
        <x:v>detail</x:v>
      </x:c>
      <x:c r="E1262" s="69" t="str">
        <x:v>12</x:v>
      </x:c>
      <x:c r="F1262" s="71" t="str">
        <x:v>12</x:v>
      </x:c>
      <x:c r="G1262" s="71" t="str">
        <x:v>文件未載明</x:v>
      </x:c>
      <x:c r="H1262" s="71" t="str">
        <x:v>文件未載明</x:v>
      </x:c>
      <x:c r="I1262" s="72"/>
      <x:c r="J1262" s="69" t="str">
        <x:v>文件未載明</x:v>
      </x:c>
      <x:c r="K1262" s="70"/>
      <x:c r="L1262" s="69" t="str">
        <x:v>文件未載明</x:v>
      </x:c>
      <x:c r="M1262" s="70"/>
      <x:c r="N1262" s="69" t="str">
        <x:v>文件未載明</x:v>
      </x:c>
      <x:c r="O1262" s="71" t="str">
        <x:v>文件未載明</x:v>
      </x:c>
      <x:c r="P1262" s="71" t="str">
        <x:v>HTML table 1 row 13</x:v>
      </x:c>
      <x:c r="Q1262" s="71" t="str">
        <x:v>12 | | | | | |</x:v>
      </x:c>
      <x:c r="R1262" s="71" t="str">
        <x:v>各廠商合約&amp; 報價\MD檔案\20260424 全鑫追加工程_人孔蓋、後側採光罩延伸_.md</x:v>
      </x:c>
    </x:row>
    <x:row r="1263">
      <x:c r="A1263" s="69" t="str">
        <x:v>ITEM01259</x:v>
      </x:c>
      <x:c r="B1263" s="69" t="str">
        <x:v>SRC075</x:v>
      </x:c>
      <x:c r="C1263" s="69" t="str">
        <x:v>2025-2026</x:v>
      </x:c>
      <x:c r="D1263" s="69" t="str">
        <x:v>detail</x:v>
      </x:c>
      <x:c r="E1263" s="69" t="str">
        <x:v>13</x:v>
      </x:c>
      <x:c r="F1263" s="71" t="str">
        <x:v>13</x:v>
      </x:c>
      <x:c r="G1263" s="71" t="str">
        <x:v>文件未載明</x:v>
      </x:c>
      <x:c r="H1263" s="71" t="str">
        <x:v>文件未載明</x:v>
      </x:c>
      <x:c r="I1263" s="72"/>
      <x:c r="J1263" s="69" t="str">
        <x:v>文件未載明</x:v>
      </x:c>
      <x:c r="K1263" s="70"/>
      <x:c r="L1263" s="69" t="str">
        <x:v>文件未載明</x:v>
      </x:c>
      <x:c r="M1263" s="70"/>
      <x:c r="N1263" s="69" t="str">
        <x:v>文件未載明</x:v>
      </x:c>
      <x:c r="O1263" s="71" t="str">
        <x:v>文件未載明</x:v>
      </x:c>
      <x:c r="P1263" s="71" t="str">
        <x:v>HTML table 1 row 14</x:v>
      </x:c>
      <x:c r="Q1263" s="71" t="str">
        <x:v>13 | | | | | |</x:v>
      </x:c>
      <x:c r="R1263" s="71" t="str">
        <x:v>各廠商合約&amp; 報價\MD檔案\20260424 全鑫追加工程_人孔蓋、後側採光罩延伸_.md</x:v>
      </x:c>
    </x:row>
    <x:row r="1264">
      <x:c r="A1264" s="69" t="str">
        <x:v>ITEM01260</x:v>
      </x:c>
      <x:c r="B1264" s="69" t="str">
        <x:v>SRC075</x:v>
      </x:c>
      <x:c r="C1264" s="69" t="str">
        <x:v>2025-2026</x:v>
      </x:c>
      <x:c r="D1264" s="69" t="str">
        <x:v>detail</x:v>
      </x:c>
      <x:c r="E1264" s="69" t="str">
        <x:v>14</x:v>
      </x:c>
      <x:c r="F1264" s="71" t="str">
        <x:v>14</x:v>
      </x:c>
      <x:c r="G1264" s="71" t="str">
        <x:v>文件未載明</x:v>
      </x:c>
      <x:c r="H1264" s="71" t="str">
        <x:v>文件未載明</x:v>
      </x:c>
      <x:c r="I1264" s="72"/>
      <x:c r="J1264" s="69" t="str">
        <x:v>文件未載明</x:v>
      </x:c>
      <x:c r="K1264" s="70"/>
      <x:c r="L1264" s="69" t="str">
        <x:v>文件未載明</x:v>
      </x:c>
      <x:c r="M1264" s="70"/>
      <x:c r="N1264" s="69" t="str">
        <x:v>文件未載明</x:v>
      </x:c>
      <x:c r="O1264" s="71" t="str">
        <x:v>文件未載明</x:v>
      </x:c>
      <x:c r="P1264" s="71" t="str">
        <x:v>HTML table 1 row 15</x:v>
      </x:c>
      <x:c r="Q1264" s="71" t="str">
        <x:v>14 | | | | | |</x:v>
      </x:c>
      <x:c r="R1264" s="71" t="str">
        <x:v>各廠商合約&amp; 報價\MD檔案\20260424 全鑫追加工程_人孔蓋、後側採光罩延伸_.md</x:v>
      </x:c>
    </x:row>
    <x:row r="1265">
      <x:c r="A1265" s="69" t="str">
        <x:v>ITEM01261</x:v>
      </x:c>
      <x:c r="B1265" s="69" t="str">
        <x:v>SRC075</x:v>
      </x:c>
      <x:c r="C1265" s="69" t="str">
        <x:v>2025-2026</x:v>
      </x:c>
      <x:c r="D1265" s="69" t="str">
        <x:v>detail</x:v>
      </x:c>
      <x:c r="E1265" s="69" t="str">
        <x:v>15</x:v>
      </x:c>
      <x:c r="F1265" s="71" t="str">
        <x:v>15</x:v>
      </x:c>
      <x:c r="G1265" s="71" t="str">
        <x:v>文件未載明</x:v>
      </x:c>
      <x:c r="H1265" s="71" t="str">
        <x:v>文件未載明</x:v>
      </x:c>
      <x:c r="I1265" s="72"/>
      <x:c r="J1265" s="69" t="str">
        <x:v>文件未載明</x:v>
      </x:c>
      <x:c r="K1265" s="70"/>
      <x:c r="L1265" s="69" t="str">
        <x:v>文件未載明</x:v>
      </x:c>
      <x:c r="M1265" s="70"/>
      <x:c r="N1265" s="69" t="str">
        <x:v>文件未載明</x:v>
      </x:c>
      <x:c r="O1265" s="71" t="str">
        <x:v>文件未載明</x:v>
      </x:c>
      <x:c r="P1265" s="71" t="str">
        <x:v>HTML table 1 row 16</x:v>
      </x:c>
      <x:c r="Q1265" s="71" t="str">
        <x:v>15 | | | | | |</x:v>
      </x:c>
      <x:c r="R1265" s="71" t="str">
        <x:v>各廠商合約&amp; 報價\MD檔案\20260424 全鑫追加工程_人孔蓋、後側採光罩延伸_.md</x:v>
      </x:c>
    </x:row>
    <x:row r="1266">
      <x:c r="A1266" s="69" t="str">
        <x:v>ITEM01262</x:v>
      </x:c>
      <x:c r="B1266" s="69" t="str">
        <x:v>SRC075</x:v>
      </x:c>
      <x:c r="C1266" s="69" t="str">
        <x:v>2025-2026</x:v>
      </x:c>
      <x:c r="D1266" s="69" t="str">
        <x:v>detail</x:v>
      </x:c>
      <x:c r="E1266" s="69" t="str">
        <x:v>16</x:v>
      </x:c>
      <x:c r="F1266" s="71" t="str">
        <x:v>16</x:v>
      </x:c>
      <x:c r="G1266" s="71" t="str">
        <x:v>文件未載明</x:v>
      </x:c>
      <x:c r="H1266" s="71" t="str">
        <x:v>文件未載明</x:v>
      </x:c>
      <x:c r="I1266" s="72"/>
      <x:c r="J1266" s="69" t="str">
        <x:v>文件未載明</x:v>
      </x:c>
      <x:c r="K1266" s="70"/>
      <x:c r="L1266" s="69" t="str">
        <x:v>文件未載明</x:v>
      </x:c>
      <x:c r="M1266" s="70"/>
      <x:c r="N1266" s="69" t="str">
        <x:v>文件未載明</x:v>
      </x:c>
      <x:c r="O1266" s="71" t="str">
        <x:v>文件未載明</x:v>
      </x:c>
      <x:c r="P1266" s="71" t="str">
        <x:v>HTML table 1 row 17</x:v>
      </x:c>
      <x:c r="Q1266" s="71" t="str">
        <x:v>16 | | | | | |</x:v>
      </x:c>
      <x:c r="R1266" s="71" t="str">
        <x:v>各廠商合約&amp; 報價\MD檔案\20260424 全鑫追加工程_人孔蓋、後側採光罩延伸_.md</x:v>
      </x:c>
    </x:row>
    <x:row r="1267">
      <x:c r="A1267" s="69" t="str">
        <x:v>ITEM01263</x:v>
      </x:c>
      <x:c r="B1267" s="69" t="str">
        <x:v>SRC075</x:v>
      </x:c>
      <x:c r="C1267" s="69" t="str">
        <x:v>2025-2026</x:v>
      </x:c>
      <x:c r="D1267" s="69" t="str">
        <x:v>detail</x:v>
      </x:c>
      <x:c r="E1267" s="69" t="str">
        <x:v>17</x:v>
      </x:c>
      <x:c r="F1267" s="71" t="str">
        <x:v>17</x:v>
      </x:c>
      <x:c r="G1267" s="71" t="str">
        <x:v>文件未載明</x:v>
      </x:c>
      <x:c r="H1267" s="71" t="str">
        <x:v>文件未載明</x:v>
      </x:c>
      <x:c r="I1267" s="72"/>
      <x:c r="J1267" s="69" t="str">
        <x:v>文件未載明</x:v>
      </x:c>
      <x:c r="K1267" s="70"/>
      <x:c r="L1267" s="69" t="str">
        <x:v>文件未載明</x:v>
      </x:c>
      <x:c r="M1267" s="70"/>
      <x:c r="N1267" s="69" t="str">
        <x:v>文件未載明</x:v>
      </x:c>
      <x:c r="O1267" s="71" t="str">
        <x:v>文件未載明</x:v>
      </x:c>
      <x:c r="P1267" s="71" t="str">
        <x:v>HTML table 1 row 18</x:v>
      </x:c>
      <x:c r="Q1267" s="71" t="str">
        <x:v>17 | | | | | |</x:v>
      </x:c>
      <x:c r="R1267" s="71" t="str">
        <x:v>各廠商合約&amp; 報價\MD檔案\20260424 全鑫追加工程_人孔蓋、後側採光罩延伸_.md</x:v>
      </x:c>
    </x:row>
    <x:row r="1268">
      <x:c r="A1268" s="69" t="str">
        <x:v>ITEM01264</x:v>
      </x:c>
      <x:c r="B1268" s="69" t="str">
        <x:v>SRC075</x:v>
      </x:c>
      <x:c r="C1268" s="69" t="str">
        <x:v>2025-2026</x:v>
      </x:c>
      <x:c r="D1268" s="69" t="str">
        <x:v>detail</x:v>
      </x:c>
      <x:c r="E1268" s="69" t="str">
        <x:v>18</x:v>
      </x:c>
      <x:c r="F1268" s="71" t="str">
        <x:v>18</x:v>
      </x:c>
      <x:c r="G1268" s="71" t="str">
        <x:v>文件未載明</x:v>
      </x:c>
      <x:c r="H1268" s="71" t="str">
        <x:v>文件未載明</x:v>
      </x:c>
      <x:c r="I1268" s="72"/>
      <x:c r="J1268" s="69" t="str">
        <x:v>文件未載明</x:v>
      </x:c>
      <x:c r="K1268" s="70"/>
      <x:c r="L1268" s="69" t="str">
        <x:v>文件未載明</x:v>
      </x:c>
      <x:c r="M1268" s="70"/>
      <x:c r="N1268" s="69" t="str">
        <x:v>文件未載明</x:v>
      </x:c>
      <x:c r="O1268" s="71" t="str">
        <x:v>文件未載明</x:v>
      </x:c>
      <x:c r="P1268" s="71" t="str">
        <x:v>HTML table 1 row 19</x:v>
      </x:c>
      <x:c r="Q1268" s="71" t="str">
        <x:v>18 | | | | | |</x:v>
      </x:c>
      <x:c r="R1268" s="71" t="str">
        <x:v>各廠商合約&amp; 報價\MD檔案\20260424 全鑫追加工程_人孔蓋、後側採光罩延伸_.md</x:v>
      </x:c>
    </x:row>
    <x:row r="1269">
      <x:c r="A1269" s="69" t="str">
        <x:v>ITEM01265</x:v>
      </x:c>
      <x:c r="B1269" s="69" t="str">
        <x:v>SRC075</x:v>
      </x:c>
      <x:c r="C1269" s="69" t="str">
        <x:v>2025-2026</x:v>
      </x:c>
      <x:c r="D1269" s="69" t="str">
        <x:v>detail</x:v>
      </x:c>
      <x:c r="E1269" s="69" t="str">
        <x:v>19</x:v>
      </x:c>
      <x:c r="F1269" s="71" t="str">
        <x:v>19</x:v>
      </x:c>
      <x:c r="G1269" s="71" t="str">
        <x:v>文件未載明</x:v>
      </x:c>
      <x:c r="H1269" s="71" t="str">
        <x:v>文件未載明</x:v>
      </x:c>
      <x:c r="I1269" s="72"/>
      <x:c r="J1269" s="69" t="str">
        <x:v>文件未載明</x:v>
      </x:c>
      <x:c r="K1269" s="70"/>
      <x:c r="L1269" s="69" t="str">
        <x:v>文件未載明</x:v>
      </x:c>
      <x:c r="M1269" s="70"/>
      <x:c r="N1269" s="69" t="str">
        <x:v>文件未載明</x:v>
      </x:c>
      <x:c r="O1269" s="71" t="str">
        <x:v>文件未載明</x:v>
      </x:c>
      <x:c r="P1269" s="71" t="str">
        <x:v>HTML table 1 row 20</x:v>
      </x:c>
      <x:c r="Q1269" s="71" t="str">
        <x:v>19 | | | | | |</x:v>
      </x:c>
      <x:c r="R1269" s="71" t="str">
        <x:v>各廠商合約&amp; 報價\MD檔案\20260424 全鑫追加工程_人孔蓋、後側採光罩延伸_.md</x:v>
      </x:c>
    </x:row>
    <x:row r="1270">
      <x:c r="A1270" s="69" t="str">
        <x:v>ITEM01266</x:v>
      </x:c>
      <x:c r="B1270" s="69" t="str">
        <x:v>SRC075</x:v>
      </x:c>
      <x:c r="C1270" s="69" t="str">
        <x:v>2025-2026</x:v>
      </x:c>
      <x:c r="D1270" s="69" t="str">
        <x:v>detail</x:v>
      </x:c>
      <x:c r="E1270" s="69" t="str">
        <x:v>20</x:v>
      </x:c>
      <x:c r="F1270" s="71" t="str">
        <x:v>20</x:v>
      </x:c>
      <x:c r="G1270" s="71" t="str">
        <x:v>文件未載明</x:v>
      </x:c>
      <x:c r="H1270" s="71" t="str">
        <x:v>文件未載明</x:v>
      </x:c>
      <x:c r="I1270" s="72"/>
      <x:c r="J1270" s="69" t="str">
        <x:v>文件未載明</x:v>
      </x:c>
      <x:c r="K1270" s="70"/>
      <x:c r="L1270" s="69" t="str">
        <x:v>文件未載明</x:v>
      </x:c>
      <x:c r="M1270" s="70"/>
      <x:c r="N1270" s="69" t="str">
        <x:v>文件未載明</x:v>
      </x:c>
      <x:c r="O1270" s="71" t="str">
        <x:v>文件未載明</x:v>
      </x:c>
      <x:c r="P1270" s="71" t="str">
        <x:v>HTML table 1 row 21</x:v>
      </x:c>
      <x:c r="Q1270" s="71" t="str">
        <x:v>20 | | | | | |</x:v>
      </x:c>
      <x:c r="R1270" s="71" t="str">
        <x:v>各廠商合約&amp; 報價\MD檔案\20260424 全鑫追加工程_人孔蓋、後側採光罩延伸_.md</x:v>
      </x:c>
    </x:row>
    <x:row r="1271">
      <x:c r="A1271" s="69" t="str">
        <x:v>ITEM01267</x:v>
      </x:c>
      <x:c r="B1271" s="69" t="str">
        <x:v>SRC075</x:v>
      </x:c>
      <x:c r="C1271" s="69" t="str">
        <x:v>2025-2026</x:v>
      </x:c>
      <x:c r="D1271" s="69" t="str">
        <x:v>detail</x:v>
      </x:c>
      <x:c r="E1271" s="69" t="str">
        <x:v>總額新台幣 佰 拾 萬 仟 佰 拾 元</x:v>
      </x:c>
      <x:c r="F1271" s="71" t="str">
        <x:v>總額新台幣 佰 拾 萬 仟 佰 拾 元</x:v>
      </x:c>
      <x:c r="G1271" s="71" t="str">
        <x:v>文件未載明</x:v>
      </x:c>
      <x:c r="H1271" s="71" t="str">
        <x:v>文件未載明</x:v>
      </x:c>
      <x:c r="I1271" s="72"/>
      <x:c r="J1271" s="69" t="str">
        <x:v>文件未載明</x:v>
      </x:c>
      <x:c r="K1271" s="70"/>
      <x:c r="L1271" s="69" t="str">
        <x:v>文件未載明</x:v>
      </x:c>
      <x:c r="M1271" s="70"/>
      <x:c r="N1271" s="69" t="str">
        <x:v>文件未載明</x:v>
      </x:c>
      <x:c r="O1271" s="71" t="str">
        <x:v>文件未載明</x:v>
      </x:c>
      <x:c r="P1271" s="71" t="str">
        <x:v>HTML table 1 row 23</x:v>
      </x:c>
      <x:c r="Q1271" s="71" t="str">
        <x:v>總額新台幣 佰 拾 萬 仟 佰 拾 元 | 14500</x:v>
      </x:c>
      <x:c r="R1271" s="71" t="str">
        <x:v>各廠商合約&amp; 報價\MD檔案\20260424 全鑫追加工程_人孔蓋、後側採光罩延伸_.md</x:v>
      </x:c>
    </x:row>
    <x:row r="1272">
      <x:c r="A1272" s="69" t="str">
        <x:v>ITEM01268</x:v>
      </x:c>
      <x:c r="B1272" s="69" t="str">
        <x:v>SRC076</x:v>
      </x:c>
      <x:c r="C1272" s="69" t="str">
        <x:v>2025-2026</x:v>
      </x:c>
      <x:c r="D1272" s="69" t="str">
        <x:v>header</x:v>
      </x:c>
      <x:c r="E1272" s="69" t="str">
        <x:v>項次</x:v>
      </x:c>
      <x:c r="F1272" s="71" t="str">
        <x:v>規格</x:v>
      </x:c>
      <x:c r="G1272" s="71" t="str">
        <x:v>規格</x:v>
      </x:c>
      <x:c r="H1272" s="71" t="str">
        <x:v>單位</x:v>
      </x:c>
      <x:c r="I1272" s="72"/>
      <x:c r="J1272" s="69" t="str">
        <x:v>數量</x:v>
      </x:c>
      <x:c r="K1272" s="70"/>
      <x:c r="L1272" s="69" t="str">
        <x:v>文件未載明</x:v>
      </x:c>
      <x:c r="M1272" s="70"/>
      <x:c r="N1272" s="69" t="str">
        <x:v>單樘小計</x:v>
      </x:c>
      <x:c r="O1272" s="71" t="str">
        <x:v>備註</x:v>
      </x:c>
      <x:c r="P1272" s="71" t="str">
        <x:v>HTML table 1 row 1</x:v>
      </x:c>
      <x:c r="Q1272" s="71" t="str">
        <x:v>項次 | 規格 | 數量 | 單位 | 單樘小計 | 複價 | 備註</x:v>
      </x:c>
      <x:c r="R1272" s="71" t="str">
        <x:v>各廠商合約&amp; 報價\MD檔案\20260430 塑豐 門扇改高度.md</x:v>
      </x:c>
    </x:row>
    <x:row r="1273">
      <x:c r="A1273" s="69" t="str">
        <x:v>ITEM01269</x:v>
      </x:c>
      <x:c r="B1273" s="69" t="str">
        <x:v>SRC076</x:v>
      </x:c>
      <x:c r="C1273" s="69" t="str">
        <x:v>2025-2026</x:v>
      </x:c>
      <x:c r="D1273" s="69" t="str">
        <x:v>detail</x:v>
      </x:c>
      <x:c r="E1273" s="69" t="str">
        <x:v>1</x:v>
      </x:c>
      <x:c r="F1273" s="71" t="str">
        <x:v>SMC門扇高度修改</x:v>
      </x:c>
      <x:c r="G1273" s="71" t="str">
        <x:v>SMC門扇高度修改</x:v>
      </x:c>
      <x:c r="H1273" s="71" t="str">
        <x:v>片</x:v>
      </x:c>
      <x:c r="I1273" s="72" t="n">
        <x:v>12</x:v>
      </x:c>
      <x:c r="J1273" s="69" t="str">
        <x:v>12</x:v>
      </x:c>
      <x:c r="K1273" s="70"/>
      <x:c r="L1273" s="69" t="str">
        <x:v>文件未載明</x:v>
      </x:c>
      <x:c r="M1273" s="70" t="n">
        <x:v>1000</x:v>
      </x:c>
      <x:c r="N1273" s="69" t="str">
        <x:v>1,000</x:v>
      </x:c>
      <x:c r="O1273" s="71" t="str">
        <x:v>文件未載明</x:v>
      </x:c>
      <x:c r="P1273" s="71" t="str">
        <x:v>HTML table 1 row 2</x:v>
      </x:c>
      <x:c r="Q1273" s="71" t="str">
        <x:v>1 | SMC門扇高度修改 | 12 | 片 | 1,000 | 12,000 |</x:v>
      </x:c>
      <x:c r="R1273" s="71" t="str">
        <x:v>各廠商合約&amp; 報價\MD檔案\20260430 塑豐 門扇改高度.md</x:v>
      </x:c>
    </x:row>
    <x:row r="1274">
      <x:c r="A1274" s="69" t="str">
        <x:v>ITEM01270</x:v>
      </x:c>
      <x:c r="B1274" s="69" t="str">
        <x:v>SRC076</x:v>
      </x:c>
      <x:c r="C1274" s="69" t="str">
        <x:v>2025-2026</x:v>
      </x:c>
      <x:c r="D1274" s="69" t="str">
        <x:v>detail</x:v>
      </x:c>
      <x:c r="E1274" s="69" t="str">
        <x:v>文件未載明</x:v>
      </x:c>
      <x:c r="F1274" s="71" t="str">
        <x:v>以下空白</x:v>
      </x:c>
      <x:c r="G1274" s="71" t="str">
        <x:v>以下空白</x:v>
      </x:c>
      <x:c r="H1274" s="71" t="str">
        <x:v>文件未載明</x:v>
      </x:c>
      <x:c r="I1274" s="72"/>
      <x:c r="J1274" s="69" t="str">
        <x:v>文件未載明</x:v>
      </x:c>
      <x:c r="K1274" s="70"/>
      <x:c r="L1274" s="69" t="str">
        <x:v>文件未載明</x:v>
      </x:c>
      <x:c r="M1274" s="70" t="n">
        <x:v>500</x:v>
      </x:c>
      <x:c r="N1274" s="69" t="str">
        <x:v>500</x:v>
      </x:c>
      <x:c r="O1274" s="71" t="str">
        <x:v>含税</x:v>
      </x:c>
      <x:c r="P1274" s="71" t="str">
        <x:v>HTML table 1 row 3</x:v>
      </x:c>
      <x:c r="Q1274" s="71" t="str">
        <x:v>| 以下空白 | | | 500 | 6000 | 含税</x:v>
      </x:c>
      <x:c r="R1274" s="71" t="str">
        <x:v>各廠商合約&amp; 報價\MD檔案\20260430 塑豐 門扇改高度.md</x:v>
      </x:c>
    </x:row>
    <x:row r="1275">
      <x:c r="A1275" s="69" t="str">
        <x:v>ITEM01271</x:v>
      </x:c>
      <x:c r="B1275" s="69" t="str">
        <x:v>SRC076</x:v>
      </x:c>
      <x:c r="C1275" s="69" t="str">
        <x:v>2025-2026</x:v>
      </x:c>
      <x:c r="D1275" s="69" t="str">
        <x:v>summary</x:v>
      </x:c>
      <x:c r="E1275" s="69" t="str">
        <x:v>小計</x:v>
      </x:c>
      <x:c r="F1275" s="71" t="str">
        <x:v>469 議價</x:v>
      </x:c>
      <x:c r="G1275" s="71" t="str">
        <x:v>12</x:v>
      </x:c>
      <x:c r="H1275" s="71" t="str">
        <x:v>文件未載明</x:v>
      </x:c>
      <x:c r="I1275" s="72"/>
      <x:c r="J1275" s="69" t="str">
        <x:v>文件未載明</x:v>
      </x:c>
      <x:c r="K1275" s="70"/>
      <x:c r="L1275" s="69" t="str">
        <x:v>文件未載明</x:v>
      </x:c>
      <x:c r="M1275" s="70" t="n">
        <x:v>12000</x:v>
      </x:c>
      <x:c r="N1275" s="69" t="str">
        <x:v>12,000</x:v>
      </x:c>
      <x:c r="O1275" s="71" t="str">
        <x:v>文件未載明</x:v>
      </x:c>
      <x:c r="P1275" s="71" t="str">
        <x:v>HTML table 1 row 4</x:v>
      </x:c>
      <x:c r="Q1275" s="71" t="str">
        <x:v>小計 | 12 | | | 12,000 | 469 議價</x:v>
      </x:c>
      <x:c r="R1275" s="71" t="str">
        <x:v>各廠商合約&amp; 報價\MD檔案\20260430 塑豐 門扇改高度.md</x:v>
      </x:c>
    </x:row>
    <x:row r="1276">
      <x:c r="A1276" s="69" t="str">
        <x:v>ITEM01272</x:v>
      </x:c>
      <x:c r="B1276" s="69" t="str">
        <x:v>SRC077</x:v>
      </x:c>
      <x:c r="C1276" s="69" t="str">
        <x:v>2025-2026</x:v>
      </x:c>
      <x:c r="D1276" s="69" t="str">
        <x:v>header</x:v>
      </x:c>
      <x:c r="E1276" s="69" t="str">
        <x:v>文件未載明</x:v>
      </x:c>
      <x:c r="F1276" s="71" t="str">
        <x:v>規格</x:v>
      </x:c>
      <x:c r="G1276" s="71" t="str">
        <x:v>規格</x:v>
      </x:c>
      <x:c r="H1276" s="71" t="str">
        <x:v>單位</x:v>
      </x:c>
      <x:c r="I1276" s="72"/>
      <x:c r="J1276" s="69" t="str">
        <x:v>數量</x:v>
      </x:c>
      <x:c r="K1276" s="70"/>
      <x:c r="L1276" s="69" t="str">
        <x:v>單價</x:v>
      </x:c>
      <x:c r="M1276" s="70"/>
      <x:c r="N1276" s="69" t="str">
        <x:v>總價</x:v>
      </x:c>
      <x:c r="O1276" s="71" t="str">
        <x:v>備註</x:v>
      </x:c>
      <x:c r="P1276" s="71" t="str">
        <x:v>HTML table 1 row 1</x:v>
      </x:c>
      <x:c r="Q1276" s="71" t="str">
        <x:v>規格 | 尺寸 | 單位 | 數量 | 單價 | 總價 | 備註</x:v>
      </x:c>
      <x:c r="R1276" s="71" t="str">
        <x:v>各廠商合約&amp; 報價\MD檔案\20260517 三發圍籬網.md</x:v>
      </x:c>
    </x:row>
    <x:row r="1277">
      <x:c r="A1277" s="69" t="str">
        <x:v>ITEM01273</x:v>
      </x:c>
      <x:c r="B1277" s="69" t="str">
        <x:v>SRC077</x:v>
      </x:c>
      <x:c r="C1277" s="69" t="str">
        <x:v>2025-2026</x:v>
      </x:c>
      <x:c r="D1277" s="69" t="str">
        <x:v>detail</x:v>
      </x:c>
      <x:c r="E1277" s="69" t="str">
        <x:v>文件未載明</x:v>
      </x:c>
      <x:c r="F1277" s="71" t="str">
        <x:v>5mm*50*150mm鍍鋅鋼網</x:v>
      </x:c>
      <x:c r="G1277" s="71" t="str">
        <x:v>5mm*50*150mm鍍鋅鋼網</x:v>
      </x:c>
      <x:c r="H1277" s="71" t="str">
        <x:v>片</x:v>
      </x:c>
      <x:c r="I1277" s="72" t="n">
        <x:v>7</x:v>
      </x:c>
      <x:c r="J1277" s="69" t="str">
        <x:v>7.0</x:v>
      </x:c>
      <x:c r="K1277" s="70" t="n">
        <x:v>2950</x:v>
      </x:c>
      <x:c r="L1277" s="69" t="str">
        <x:v>2,950</x:v>
      </x:c>
      <x:c r="M1277" s="70" t="n">
        <x:v>20650</x:v>
      </x:c>
      <x:c r="N1277" s="69" t="str">
        <x:v>20,650</x:v>
      </x:c>
      <x:c r="O1277" s="71" t="str">
        <x:v>←上下卷圓</x:v>
      </x:c>
      <x:c r="P1277" s="71" t="str">
        <x:v>HTML table 1 row 2</x:v>
      </x:c>
      <x:c r="Q1277" s="71" t="str">
        <x:v>5mm*50*150mm鍍鋅鋼網 | H=1550*W1900mm | 片 | 7.0 | 2,950 | 20,650 | ←上下卷圓</x:v>
      </x:c>
      <x:c r="R1277" s="71" t="str">
        <x:v>各廠商合約&amp; 報價\MD檔案\20260517 三發圍籬網.md</x:v>
      </x:c>
    </x:row>
    <x:row r="1278">
      <x:c r="A1278" s="69" t="str">
        <x:v>ITEM01274</x:v>
      </x:c>
      <x:c r="B1278" s="69" t="str">
        <x:v>SRC077</x:v>
      </x:c>
      <x:c r="C1278" s="69" t="str">
        <x:v>2025-2026</x:v>
      </x:c>
      <x:c r="D1278" s="69" t="str">
        <x:v>detail</x:v>
      </x:c>
      <x:c r="E1278" s="69" t="str">
        <x:v>文件未載明</x:v>
      </x:c>
      <x:c r="F1278" s="71" t="str">
        <x:v>2"(60mm)*2.0mm鍍鋅鋼管</x:v>
      </x:c>
      <x:c r="G1278" s="71" t="str">
        <x:v>2"(60mm)*2.0mm鍍鋅鋼管</x:v>
      </x:c>
      <x:c r="H1278" s="71" t="str">
        <x:v>支</x:v>
      </x:c>
      <x:c r="I1278" s="72" t="n">
        <x:v>9</x:v>
      </x:c>
      <x:c r="J1278" s="69" t="str">
        <x:v>9.0</x:v>
      </x:c>
      <x:c r="K1278" s="70" t="n">
        <x:v>1100</x:v>
      </x:c>
      <x:c r="L1278" s="69" t="str">
        <x:v>1,100</x:v>
      </x:c>
      <x:c r="M1278" s="70" t="n">
        <x:v>9900</x:v>
      </x:c>
      <x:c r="N1278" s="69" t="str">
        <x:v>9,900</x:v>
      </x:c>
      <x:c r="O1278" s="71" t="str">
        <x:v>←含沖孔焊上蓋 含粉體烤漆 材料價</x:v>
      </x:c>
      <x:c r="P1278" s="71" t="str">
        <x:v>HTML table 1 row 3</x:v>
      </x:c>
      <x:c r="Q1278" s="71" t="str">
        <x:v>2"(60mm)*2.0mm鍍鋅鋼管 | L=1650mm-圓底板 | 支 | 9.0 | 1,100 | 9,900 | ←含沖孔焊上蓋 含粉體烤漆 材料價</x:v>
      </x:c>
      <x:c r="R1278" s="71" t="str">
        <x:v>各廠商合約&amp; 報價\MD檔案\20260517 三發圍籬網.md</x:v>
      </x:c>
    </x:row>
    <x:row r="1279">
      <x:c r="A1279" s="69" t="str">
        <x:v>ITEM01275</x:v>
      </x:c>
      <x:c r="B1279" s="69" t="str">
        <x:v>SRC077</x:v>
      </x:c>
      <x:c r="C1279" s="69" t="str">
        <x:v>2025-2026</x:v>
      </x:c>
      <x:c r="D1279" s="69" t="str">
        <x:v>detail</x:v>
      </x:c>
      <x:c r="E1279" s="69" t="str">
        <x:v>文件未載明</x:v>
      </x:c>
      <x:c r="F1279" s="71" t="str">
        <x:v>配件A(4PCS/組)</x:v>
      </x:c>
      <x:c r="G1279" s="71" t="str">
        <x:v>配件A(4PCS/組)</x:v>
      </x:c>
      <x:c r="H1279" s="71" t="str">
        <x:v>組</x:v>
      </x:c>
      <x:c r="I1279" s="72" t="n">
        <x:v>7</x:v>
      </x:c>
      <x:c r="J1279" s="69" t="str">
        <x:v>7.0</x:v>
      </x:c>
      <x:c r="K1279" s="70" t="n">
        <x:v>240</x:v>
      </x:c>
      <x:c r="L1279" s="69" t="str">
        <x:v>240</x:v>
      </x:c>
      <x:c r="M1279" s="70" t="n">
        <x:v>1680</x:v>
      </x:c>
      <x:c r="N1279" s="69" t="str">
        <x:v>1,680</x:v>
      </x:c>
      <x:c r="O1279" s="71" t="str">
        <x:v>文件未載明</x:v>
      </x:c>
      <x:c r="P1279" s="71" t="str">
        <x:v>HTML table 1 row 4</x:v>
      </x:c>
      <x:c r="Q1279" s="71" t="str">
        <x:v>配件A(4PCS/組) | 60mm管用(含不銹鋼螺絲組) | 組 | 7.0 | 240 | 1,680</x:v>
      </x:c>
      <x:c r="R1279" s="71" t="str">
        <x:v>各廠商合約&amp; 報價\MD檔案\20260517 三發圍籬網.md</x:v>
      </x:c>
    </x:row>
    <x:row r="1280">
      <x:c r="A1280" s="69" t="str">
        <x:v>ITEM01276</x:v>
      </x:c>
      <x:c r="B1280" s="69" t="str">
        <x:v>SRC077</x:v>
      </x:c>
      <x:c r="C1280" s="69" t="str">
        <x:v>2025-2026</x:v>
      </x:c>
      <x:c r="D1280" s="69" t="str">
        <x:v>detail</x:v>
      </x:c>
      <x:c r="E1280" s="69" t="str">
        <x:v>文件未載明</x:v>
      </x:c>
      <x:c r="F1280" s="71" t="str">
        <x:v>配件B(2PCS/組)</x:v>
      </x:c>
      <x:c r="G1280" s="71" t="str">
        <x:v>配件B(2PCS/組)</x:v>
      </x:c>
      <x:c r="H1280" s="71" t="str">
        <x:v>4.0</x:v>
      </x:c>
      <x:c r="I1280" s="72" t="n">
        <x:v>150</x:v>
      </x:c>
      <x:c r="J1280" s="69" t="str">
        <x:v>150</x:v>
      </x:c>
      <x:c r="K1280" s="70" t="n">
        <x:v>600</x:v>
      </x:c>
      <x:c r="L1280" s="69" t="str">
        <x:v>600</x:v>
      </x:c>
      <x:c r="M1280" s="70"/>
      <x:c r="N1280" s="69" t="str">
        <x:v>文件未載明</x:v>
      </x:c>
      <x:c r="O1280" s="71" t="str">
        <x:v>文件未載明</x:v>
      </x:c>
      <x:c r="P1280" s="71" t="str">
        <x:v>HTML table 1 row 5</x:v>
      </x:c>
      <x:c r="Q1280" s="71" t="str">
        <x:v>配件B(2PCS/組) | 組 | 4.0 | 150 | 600</x:v>
      </x:c>
      <x:c r="R1280" s="71" t="str">
        <x:v>各廠商合約&amp; 報價\MD檔案\20260517 三發圍籬網.md</x:v>
      </x:c>
    </x:row>
    <x:row r="1281">
      <x:c r="A1281" s="69" t="str">
        <x:v>ITEM01277</x:v>
      </x:c>
      <x:c r="B1281" s="69" t="str">
        <x:v>SRC077</x:v>
      </x:c>
      <x:c r="C1281" s="69" t="str">
        <x:v>2025-2026</x:v>
      </x:c>
      <x:c r="D1281" s="69" t="str">
        <x:v>detail</x:v>
      </x:c>
      <x:c r="E1281" s="69" t="str">
        <x:v>文件未載明</x:v>
      </x:c>
      <x:c r="F1281" s="71" t="str">
        <x:v>配件C(8PCS/組)</x:v>
      </x:c>
      <x:c r="G1281" s="71" t="str">
        <x:v>配件C(8PCS/組)</x:v>
      </x:c>
      <x:c r="H1281" s="71" t="str">
        <x:v>7.0</x:v>
      </x:c>
      <x:c r="I1281" s="72" t="n">
        <x:v>400</x:v>
      </x:c>
      <x:c r="J1281" s="69" t="str">
        <x:v>400</x:v>
      </x:c>
      <x:c r="K1281" s="70" t="n">
        <x:v>2800</x:v>
      </x:c>
      <x:c r="L1281" s="69" t="str">
        <x:v>2,800</x:v>
      </x:c>
      <x:c r="M1281" s="70"/>
      <x:c r="N1281" s="69" t="str">
        <x:v>文件未載明</x:v>
      </x:c>
      <x:c r="O1281" s="71" t="str">
        <x:v>文件未載明</x:v>
      </x:c>
      <x:c r="P1281" s="71" t="str">
        <x:v>HTML table 1 row 6</x:v>
      </x:c>
      <x:c r="Q1281" s="71" t="str">
        <x:v>配件C(8PCS/組) | 組 | 7.0 | 400 | 2,800</x:v>
      </x:c>
      <x:c r="R1281" s="71" t="str">
        <x:v>各廠商合約&amp; 報價\MD檔案\20260517 三發圍籬網.md</x:v>
      </x:c>
    </x:row>
    <x:row r="1282">
      <x:c r="A1282" s="69" t="str">
        <x:v>ITEM01278</x:v>
      </x:c>
      <x:c r="B1282" s="69" t="str">
        <x:v>SRC077</x:v>
      </x:c>
      <x:c r="C1282" s="69" t="str">
        <x:v>2025-2026</x:v>
      </x:c>
      <x:c r="D1282" s="69" t="str">
        <x:v>detail</x:v>
      </x:c>
      <x:c r="E1282" s="69" t="str">
        <x:v>文件未載明</x:v>
      </x:c>
      <x:c r="F1282" s="71" t="str">
        <x:v>收邊管束A(1PCS/組)</x:v>
      </x:c>
      <x:c r="G1282" s="71" t="str">
        <x:v>收邊管束A(1PCS/組)</x:v>
      </x:c>
      <x:c r="H1282" s="71" t="str">
        <x:v>6.0</x:v>
      </x:c>
      <x:c r="I1282" s="72" t="n">
        <x:v>120</x:v>
      </x:c>
      <x:c r="J1282" s="69" t="str">
        <x:v>120</x:v>
      </x:c>
      <x:c r="K1282" s="70" t="n">
        <x:v>720</x:v>
      </x:c>
      <x:c r="L1282" s="69" t="str">
        <x:v>720</x:v>
      </x:c>
      <x:c r="M1282" s="70"/>
      <x:c r="N1282" s="69" t="str">
        <x:v>文件未載明</x:v>
      </x:c>
      <x:c r="O1282" s="71" t="str">
        <x:v>文件未載明</x:v>
      </x:c>
      <x:c r="P1282" s="71" t="str">
        <x:v>HTML table 1 row 7</x:v>
      </x:c>
      <x:c r="Q1282" s="71" t="str">
        <x:v>收邊管束A(1PCS/組) | 組 | 6.0 | 120 | 720</x:v>
      </x:c>
      <x:c r="R1282" s="71" t="str">
        <x:v>各廠商合約&amp; 報價\MD檔案\20260517 三發圍籬網.md</x:v>
      </x:c>
    </x:row>
    <x:row r="1283">
      <x:c r="A1283" s="69" t="str">
        <x:v>ITEM01279</x:v>
      </x:c>
      <x:c r="B1283" s="69" t="str">
        <x:v>SRC077</x:v>
      </x:c>
      <x:c r="C1283" s="69" t="str">
        <x:v>2025-2026</x:v>
      </x:c>
      <x:c r="D1283" s="69" t="str">
        <x:v>detail</x:v>
      </x:c>
      <x:c r="E1283" s="69" t="str">
        <x:v>文件未載明</x:v>
      </x:c>
      <x:c r="F1283" s="71" t="str">
        <x:v>不銹鋼下蓋</x:v>
      </x:c>
      <x:c r="G1283" s="71" t="str">
        <x:v>不銹鋼下蓋</x:v>
      </x:c>
      <x:c r="H1283" s="71" t="str">
        <x:v>個</x:v>
      </x:c>
      <x:c r="I1283" s="72" t="n">
        <x:v>9</x:v>
      </x:c>
      <x:c r="J1283" s="69" t="str">
        <x:v>9.0</x:v>
      </x:c>
      <x:c r="K1283" s="70" t="n">
        <x:v>200</x:v>
      </x:c>
      <x:c r="L1283" s="69" t="str">
        <x:v>200</x:v>
      </x:c>
      <x:c r="M1283" s="70" t="n">
        <x:v>1800</x:v>
      </x:c>
      <x:c r="N1283" s="69" t="str">
        <x:v>1,800</x:v>
      </x:c>
      <x:c r="O1283" s="71" t="str">
        <x:v>文件未載明</x:v>
      </x:c>
      <x:c r="P1283" s="71" t="str">
        <x:v>HTML table 1 row 8</x:v>
      </x:c>
      <x:c r="Q1283" s="71" t="str">
        <x:v>不銹鋼下蓋 | | 個 | 9.0 | 200 | 1,800 |</x:v>
      </x:c>
      <x:c r="R1283" s="71" t="str">
        <x:v>各廠商合約&amp; 報價\MD檔案\20260517 三發圍籬網.md</x:v>
      </x:c>
    </x:row>
    <x:row r="1284">
      <x:c r="A1284" s="69" t="str">
        <x:v>ITEM01280</x:v>
      </x:c>
      <x:c r="B1284" s="69" t="str">
        <x:v>SRC077</x:v>
      </x:c>
      <x:c r="C1284" s="69" t="str">
        <x:v>2025-2026</x:v>
      </x:c>
      <x:c r="D1284" s="69" t="str">
        <x:v>detail</x:v>
      </x:c>
      <x:c r="E1284" s="69" t="str">
        <x:v>文件未載明</x:v>
      </x:c>
      <x:c r="F1284" s="71" t="str">
        <x:v>PS: 1.材料部份:此報價為自取廠交價;不含運費。</x:v>
      </x:c>
      <x:c r="G1284" s="71" t="str">
        <x:v>PS: 1.材料部份:此報價為自取廠交價;不含運費。</x:v>
      </x:c>
      <x:c r="H1284" s="71" t="str">
        <x:v>文件未載明</x:v>
      </x:c>
      <x:c r="I1284" s="72"/>
      <x:c r="J1284" s="69" t="str">
        <x:v>文件未載明</x:v>
      </x:c>
      <x:c r="K1284" s="70"/>
      <x:c r="L1284" s="69" t="str">
        <x:v>文件未載明</x:v>
      </x:c>
      <x:c r="M1284" s="70"/>
      <x:c r="N1284" s="69" t="str">
        <x:v>文件未載明</x:v>
      </x:c>
      <x:c r="O1284" s="71" t="str">
        <x:v>文件未載明</x:v>
      </x:c>
      <x:c r="P1284" s="71" t="str">
        <x:v>HTML table 1 row 9</x:v>
      </x:c>
      <x:c r="Q1284" s="71" t="str">
        <x:v>PS: 1.材料部份:此報價為自取廠交價;不含運費。 | | | |</x:v>
      </x:c>
      <x:c r="R1284" s="71" t="str">
        <x:v>各廠商合約&amp; 報價\MD檔案\20260517 三發圍籬網.md</x:v>
      </x:c>
    </x:row>
    <x:row r="1285">
      <x:c r="A1285" s="69" t="str">
        <x:v>ITEM01281</x:v>
      </x:c>
      <x:c r="B1285" s="69" t="str">
        <x:v>SRC077</x:v>
      </x:c>
      <x:c r="C1285" s="69" t="str">
        <x:v>2025-2026</x:v>
      </x:c>
      <x:c r="D1285" s="69" t="str">
        <x:v>detail</x:v>
      </x:c>
      <x:c r="E1285" s="69" t="str">
        <x:v>文件未載明</x:v>
      </x:c>
      <x:c r="F1285" s="71" t="str">
        <x:v>2.收邊網片請依現況尺寸自行裁切。</x:v>
      </x:c>
      <x:c r="G1285" s="71" t="str">
        <x:v>2.收邊網片請依現況尺寸自行裁切。</x:v>
      </x:c>
      <x:c r="H1285" s="71" t="str">
        <x:v>文件未載明</x:v>
      </x:c>
      <x:c r="I1285" s="72"/>
      <x:c r="J1285" s="69" t="str">
        <x:v>文件未載明</x:v>
      </x:c>
      <x:c r="K1285" s="70"/>
      <x:c r="L1285" s="69" t="str">
        <x:v>文件未載明</x:v>
      </x:c>
      <x:c r="M1285" s="70"/>
      <x:c r="N1285" s="69" t="str">
        <x:v>文件未載明</x:v>
      </x:c>
      <x:c r="O1285" s="71" t="str">
        <x:v>文件未載明</x:v>
      </x:c>
      <x:c r="P1285" s="71" t="str">
        <x:v>HTML table 1 row 10</x:v>
      </x:c>
      <x:c r="Q1285" s="71" t="str">
        <x:v>2.收邊網片請依現況尺寸自行裁切。 | | | | |</x:v>
      </x:c>
      <x:c r="R1285" s="71" t="str">
        <x:v>各廠商合約&amp; 報價\MD檔案\20260517 三發圍籬網.md</x:v>
      </x:c>
    </x:row>
    <x:row r="1286">
      <x:c r="A1286" s="69" t="str">
        <x:v>ITEM01282</x:v>
      </x:c>
      <x:c r="B1286" s="69" t="str">
        <x:v>SRC077</x:v>
      </x:c>
      <x:c r="C1286" s="69" t="str">
        <x:v>2025-2026</x:v>
      </x:c>
      <x:c r="D1286" s="69" t="str">
        <x:v>summary</x:v>
      </x:c>
      <x:c r="E1286" s="69" t="str">
        <x:v>文件未載明</x:v>
      </x:c>
      <x:c r="F1286" s="71" t="str">
        <x:v>小計(未稅)</x:v>
      </x:c>
      <x:c r="G1286" s="71" t="str">
        <x:v>小計(未稅)</x:v>
      </x:c>
      <x:c r="H1286" s="71" t="str">
        <x:v>文件未載明</x:v>
      </x:c>
      <x:c r="I1286" s="72"/>
      <x:c r="J1286" s="69" t="str">
        <x:v>文件未載明</x:v>
      </x:c>
      <x:c r="K1286" s="70"/>
      <x:c r="L1286" s="69" t="str">
        <x:v>文件未載明</x:v>
      </x:c>
      <x:c r="M1286" s="70" t="n">
        <x:v>38150</x:v>
      </x:c>
      <x:c r="N1286" s="69" t="str">
        <x:v>38,150</x:v>
      </x:c>
      <x:c r="O1286" s="71" t="str">
        <x:v>文件未載明</x:v>
      </x:c>
      <x:c r="P1286" s="71" t="str">
        <x:v>HTML table 1 row 11</x:v>
      </x:c>
      <x:c r="Q1286" s="71" t="str">
        <x:v>小計(未稅) | | | | | 38,150 |</x:v>
      </x:c>
      <x:c r="R1286" s="71" t="str">
        <x:v>各廠商合約&amp; 報價\MD檔案\20260517 三發圍籬網.md</x:v>
      </x:c>
    </x:row>
    <x:row r="1287">
      <x:c r="A1287" s="69" t="str">
        <x:v>ITEM01283</x:v>
      </x:c>
      <x:c r="B1287" s="69" t="str">
        <x:v>SRC077</x:v>
      </x:c>
      <x:c r="C1287" s="69" t="str">
        <x:v>2025-2026</x:v>
      </x:c>
      <x:c r="D1287" s="69" t="str">
        <x:v>summary</x:v>
      </x:c>
      <x:c r="E1287" s="69" t="str">
        <x:v>文件未載明</x:v>
      </x:c>
      <x:c r="F1287" s="71" t="str">
        <x:v>小計(含稅)</x:v>
      </x:c>
      <x:c r="G1287" s="71" t="str">
        <x:v>小計(含稅)</x:v>
      </x:c>
      <x:c r="H1287" s="71" t="str">
        <x:v>文件未載明</x:v>
      </x:c>
      <x:c r="I1287" s="72"/>
      <x:c r="J1287" s="69" t="str">
        <x:v>文件未載明</x:v>
      </x:c>
      <x:c r="K1287" s="70"/>
      <x:c r="L1287" s="69" t="str">
        <x:v>文件未載明</x:v>
      </x:c>
      <x:c r="M1287" s="70" t="n">
        <x:v>40058</x:v>
      </x:c>
      <x:c r="N1287" s="69" t="str">
        <x:v>40,058</x:v>
      </x:c>
      <x:c r="O1287" s="71" t="str">
        <x:v>文件未載明</x:v>
      </x:c>
      <x:c r="P1287" s="71" t="str">
        <x:v>HTML table 1 row 12</x:v>
      </x:c>
      <x:c r="Q1287" s="71" t="str">
        <x:v>小計(含稅) | | | | | 40,058 |</x:v>
      </x:c>
      <x:c r="R1287" s="71" t="str">
        <x:v>各廠商合約&amp; 報價\MD檔案\20260517 三發圍籬網.md</x:v>
      </x:c>
    </x:row>
    <x:row r="1288">
      <x:c r="A1288" s="69" t="str">
        <x:v>ITEM01284</x:v>
      </x:c>
      <x:c r="B1288" s="69" t="str">
        <x:v>SRC077</x:v>
      </x:c>
      <x:c r="C1288" s="69" t="str">
        <x:v>2025-2026</x:v>
      </x:c>
      <x:c r="D1288" s="69" t="str">
        <x:v>note</x:v>
      </x:c>
      <x:c r="E1288" s="69" t="str">
        <x:v>文件未載明</x:v>
      </x:c>
      <x:c r="F1288" s="71" t="str">
        <x:v>備註</x:v>
      </x:c>
      <x:c r="G1288" s="71" t="str">
        <x:v>備註</x:v>
      </x:c>
      <x:c r="H1288" s="71" t="str">
        <x:v>文件未載明</x:v>
      </x:c>
      <x:c r="I1288" s="72"/>
      <x:c r="J1288" s="69" t="str">
        <x:v>文件未載明</x:v>
      </x:c>
      <x:c r="K1288" s="70"/>
      <x:c r="L1288" s="69" t="str">
        <x:v>文件未載明</x:v>
      </x:c>
      <x:c r="M1288" s="70"/>
      <x:c r="N1288" s="69" t="str">
        <x:v>文件未載明</x:v>
      </x:c>
      <x:c r="O1288" s="71" t="str">
        <x:v>文件未載明</x:v>
      </x:c>
      <x:c r="P1288" s="71" t="str">
        <x:v>HTML table 1 row 13</x:v>
      </x:c>
      <x:c r="Q1288" s="71" t="str">
        <x:v>備註 | 1 本報價依實送實算計價。</x:v>
      </x:c>
      <x:c r="R1288" s="71" t="str">
        <x:v>各廠商合約&amp; 報價\MD檔案\20260517 三發圍籬網.md</x:v>
      </x:c>
    </x:row>
    <x:row r="1289">
      <x:c r="A1289" s="69" t="str">
        <x:v>ITEM01285</x:v>
      </x:c>
      <x:c r="B1289" s="69" t="str">
        <x:v>SRC077</x:v>
      </x:c>
      <x:c r="C1289" s="69" t="str">
        <x:v>2025-2026</x:v>
      </x:c>
      <x:c r="D1289" s="69" t="str">
        <x:v>note</x:v>
      </x:c>
      <x:c r="E1289" s="69" t="str">
        <x:v>文件未載明</x:v>
      </x:c>
      <x:c r="F1289" s="71" t="str">
        <x:v>2 付款方式:30%訂金電匯;取貨前70%電匯結清。</x:v>
      </x:c>
      <x:c r="G1289" s="71" t="str">
        <x:v>2 付款方式:30%訂金電匯;取貨前70%電匯結清。</x:v>
      </x:c>
      <x:c r="H1289" s="71" t="str">
        <x:v>文件未載明</x:v>
      </x:c>
      <x:c r="I1289" s="72"/>
      <x:c r="J1289" s="69" t="str">
        <x:v>文件未載明</x:v>
      </x:c>
      <x:c r="K1289" s="70"/>
      <x:c r="L1289" s="69" t="str">
        <x:v>文件未載明</x:v>
      </x:c>
      <x:c r="M1289" s="70"/>
      <x:c r="N1289" s="69" t="str">
        <x:v>文件未載明</x:v>
      </x:c>
      <x:c r="O1289" s="71" t="str">
        <x:v>文件未載明</x:v>
      </x:c>
      <x:c r="P1289" s="71" t="str">
        <x:v>HTML table 1 row 14</x:v>
      </x:c>
      <x:c r="Q1289" s="71" t="str">
        <x:v>2 付款方式:30%訂金電匯;取貨前70%電匯結清。</x:v>
      </x:c>
      <x:c r="R1289" s="71" t="str">
        <x:v>各廠商合約&amp; 報價\MD檔案\20260517 三發圍籬網.md</x:v>
      </x:c>
    </x:row>
    <x:row r="1290">
      <x:c r="A1290" s="69" t="str">
        <x:v>ITEM01286</x:v>
      </x:c>
      <x:c r="B1290" s="69" t="str">
        <x:v>SRC077</x:v>
      </x:c>
      <x:c r="C1290" s="69" t="str">
        <x:v>2025-2026</x:v>
      </x:c>
      <x:c r="D1290" s="69" t="str">
        <x:v>party</x:v>
      </x:c>
      <x:c r="E1290" s="69" t="str">
        <x:v>文件未載明</x:v>
      </x:c>
      <x:c r="F1290" s="71" t="str">
        <x:v>發票開立□二聯式□三聯式(抬頭、統一編號)</x:v>
      </x:c>
      <x:c r="G1290" s="71" t="str">
        <x:v>發票開立□二聯式□三聯式(抬頭、統一編號)</x:v>
      </x:c>
      <x:c r="H1290" s="71" t="str">
        <x:v>文件未載明</x:v>
      </x:c>
      <x:c r="I1290" s="72"/>
      <x:c r="J1290" s="69" t="str">
        <x:v>文件未載明</x:v>
      </x:c>
      <x:c r="K1290" s="70"/>
      <x:c r="L1290" s="69" t="str">
        <x:v>文件未載明</x:v>
      </x:c>
      <x:c r="M1290" s="70"/>
      <x:c r="N1290" s="69" t="str">
        <x:v>文件未載明</x:v>
      </x:c>
      <x:c r="O1290" s="71" t="str">
        <x:v>文件未載明</x:v>
      </x:c>
      <x:c r="P1290" s="71" t="str">
        <x:v>HTML table 1 row 15</x:v>
      </x:c>
      <x:c r="Q1290" s="71" t="str">
        <x:v>發票開立□二聯式□三聯式(抬頭、統一編號)</x:v>
      </x:c>
      <x:c r="R1290" s="71" t="str">
        <x:v>各廠商合約&amp; 報價\MD檔案\20260517 三發圍籬網.md</x:v>
      </x:c>
    </x:row>
    <x:row r="1291">
      <x:c r="A1291" s="69" t="str">
        <x:v>ITEM01287</x:v>
      </x:c>
      <x:c r="B1291" s="69" t="str">
        <x:v>SRC077</x:v>
      </x:c>
      <x:c r="C1291" s="69" t="str">
        <x:v>2025-2026</x:v>
      </x:c>
      <x:c r="D1291" s="69" t="str">
        <x:v>detail</x:v>
      </x:c>
      <x:c r="E1291" s="69" t="str">
        <x:v>文件未載明</x:v>
      </x:c>
      <x:c r="F1291" s="71" t="str">
        <x:v>3 交貨日期:一個月左右。</x:v>
      </x:c>
      <x:c r="G1291" s="71" t="str">
        <x:v>3 交貨日期:一個月左右。</x:v>
      </x:c>
      <x:c r="H1291" s="71" t="str">
        <x:v>文件未載明</x:v>
      </x:c>
      <x:c r="I1291" s="72"/>
      <x:c r="J1291" s="69" t="str">
        <x:v>文件未載明</x:v>
      </x:c>
      <x:c r="K1291" s="70"/>
      <x:c r="L1291" s="69" t="str">
        <x:v>文件未載明</x:v>
      </x:c>
      <x:c r="M1291" s="70"/>
      <x:c r="N1291" s="69" t="str">
        <x:v>文件未載明</x:v>
      </x:c>
      <x:c r="O1291" s="71" t="str">
        <x:v>文件未載明</x:v>
      </x:c>
      <x:c r="P1291" s="71" t="str">
        <x:v>HTML table 1 row 16</x:v>
      </x:c>
      <x:c r="Q1291" s="71" t="str">
        <x:v>3 交貨日期:一個月左右。</x:v>
      </x:c>
      <x:c r="R1291" s="71" t="str">
        <x:v>各廠商合約&amp; 報價\MD檔案\20260517 三發圍籬網.md</x:v>
      </x:c>
    </x:row>
    <x:row r="1292">
      <x:c r="A1292" s="69" t="str">
        <x:v>ITEM01288</x:v>
      </x:c>
      <x:c r="B1292" s="69" t="str">
        <x:v>SRC077</x:v>
      </x:c>
      <x:c r="C1292" s="69" t="str">
        <x:v>2025-2026</x:v>
      </x:c>
      <x:c r="D1292" s="69" t="str">
        <x:v>detail</x:v>
      </x:c>
      <x:c r="E1292" s="69" t="str">
        <x:v>文件未載明</x:v>
      </x:c>
      <x:c r="F1292" s="71" t="str">
        <x:v>4 交貨地點: 收貨人:</x:v>
      </x:c>
      <x:c r="G1292" s="71" t="str">
        <x:v>4 交貨地點: 收貨人:</x:v>
      </x:c>
      <x:c r="H1292" s="71" t="str">
        <x:v>文件未載明</x:v>
      </x:c>
      <x:c r="I1292" s="72"/>
      <x:c r="J1292" s="69" t="str">
        <x:v>文件未載明</x:v>
      </x:c>
      <x:c r="K1292" s="70"/>
      <x:c r="L1292" s="69" t="str">
        <x:v>文件未載明</x:v>
      </x:c>
      <x:c r="M1292" s="70"/>
      <x:c r="N1292" s="69" t="str">
        <x:v>文件未載明</x:v>
      </x:c>
      <x:c r="O1292" s="71" t="str">
        <x:v>文件未載明</x:v>
      </x:c>
      <x:c r="P1292" s="71" t="str">
        <x:v>HTML table 1 row 17</x:v>
      </x:c>
      <x:c r="Q1292" s="71" t="str">
        <x:v>4 交貨地點: 收貨人:</x:v>
      </x:c>
      <x:c r="R1292" s="71" t="str">
        <x:v>各廠商合約&amp; 報價\MD檔案\20260517 三發圍籬網.md</x:v>
      </x:c>
    </x:row>
    <x:row r="1293">
      <x:c r="A1293" s="69" t="str">
        <x:v>ITEM01289</x:v>
      </x:c>
      <x:c r="B1293" s="69" t="str">
        <x:v>SRC077</x:v>
      </x:c>
      <x:c r="C1293" s="69" t="str">
        <x:v>2025-2026</x:v>
      </x:c>
      <x:c r="D1293" s="69" t="str">
        <x:v>note</x:v>
      </x:c>
      <x:c r="E1293" s="69" t="str">
        <x:v>文件未載明</x:v>
      </x:c>
      <x:c r="F1293" s="71" t="str">
        <x:v>5 單價自報價日起7天有效</x:v>
      </x:c>
      <x:c r="G1293" s="71" t="str">
        <x:v>5 單價自報價日起7天有效</x:v>
      </x:c>
      <x:c r="H1293" s="71" t="str">
        <x:v>文件未載明</x:v>
      </x:c>
      <x:c r="I1293" s="72"/>
      <x:c r="J1293" s="69" t="str">
        <x:v>文件未載明</x:v>
      </x:c>
      <x:c r="K1293" s="70"/>
      <x:c r="L1293" s="69" t="str">
        <x:v>文件未載明</x:v>
      </x:c>
      <x:c r="M1293" s="70"/>
      <x:c r="N1293" s="69" t="str">
        <x:v>文件未載明</x:v>
      </x:c>
      <x:c r="O1293" s="71" t="str">
        <x:v>文件未載明</x:v>
      </x:c>
      <x:c r="P1293" s="71" t="str">
        <x:v>HTML table 1 row 18</x:v>
      </x:c>
      <x:c r="Q1293" s="71" t="str">
        <x:v>5 單價自報價日起7天有效</x:v>
      </x:c>
      <x:c r="R1293" s="71" t="str">
        <x:v>各廠商合約&amp; 報價\MD檔案\20260517 三發圍籬網.md</x:v>
      </x:c>
    </x:row>
    <x:row r="1294">
      <x:c r="A1294" s="69" t="str">
        <x:v>ITEM01290</x:v>
      </x:c>
      <x:c r="B1294" s="69" t="str">
        <x:v>SRC077</x:v>
      </x:c>
      <x:c r="C1294" s="69" t="str">
        <x:v>2025-2026</x:v>
      </x:c>
      <x:c r="D1294" s="69" t="str">
        <x:v>note</x:v>
      </x:c>
      <x:c r="E1294" s="69" t="str">
        <x:v>文件未載明</x:v>
      </x:c>
      <x:c r="F1294" s="71" t="str">
        <x:v>6 請確認簽章後回傳。</x:v>
      </x:c>
      <x:c r="G1294" s="71" t="str">
        <x:v>6 請確認簽章後回傳。</x:v>
      </x:c>
      <x:c r="H1294" s="71" t="str">
        <x:v>文件未載明</x:v>
      </x:c>
      <x:c r="I1294" s="72"/>
      <x:c r="J1294" s="69" t="str">
        <x:v>文件未載明</x:v>
      </x:c>
      <x:c r="K1294" s="70"/>
      <x:c r="L1294" s="69" t="str">
        <x:v>文件未載明</x:v>
      </x:c>
      <x:c r="M1294" s="70"/>
      <x:c r="N1294" s="69" t="str">
        <x:v>文件未載明</x:v>
      </x:c>
      <x:c r="O1294" s="71" t="str">
        <x:v>文件未載明</x:v>
      </x:c>
      <x:c r="P1294" s="71" t="str">
        <x:v>HTML table 1 row 19</x:v>
      </x:c>
      <x:c r="Q1294" s="71" t="str">
        <x:v>6 請確認簽章後回傳。</x:v>
      </x:c>
      <x:c r="R1294" s="71" t="str">
        <x:v>各廠商合約&amp; 報價\MD檔案\20260517 三發圍籬網.md</x:v>
      </x:c>
    </x:row>
    <x:row r="1295">
      <x:c r="A1295" s="69" t="str">
        <x:v>ITEM01291</x:v>
      </x:c>
      <x:c r="B1295" s="69" t="str">
        <x:v>SRC077</x:v>
      </x:c>
      <x:c r="C1295" s="69" t="str">
        <x:v>2025-2026</x:v>
      </x:c>
      <x:c r="D1295" s="69" t="str">
        <x:v>detail</x:v>
      </x:c>
      <x:c r="E1295" s="69" t="str">
        <x:v>文件未載明</x:v>
      </x:c>
      <x:c r="F1295" s="71" t="str">
        <x:v>&lt;匯款帳號&gt;戶名:三發製網股份有限公司 銀行:合作金庫銀行大雅分行 帳號:34 費方確認</x:v>
      </x:c>
      <x:c r="G1295" s="71" t="str">
        <x:v>&lt;匯款帳號&gt;戶名:三發製網股份有限公司 銀行:合作金庫銀行大雅分行 帳號:34 費方確認</x:v>
      </x:c>
      <x:c r="H1295" s="71" t="str">
        <x:v>文件未載明</x:v>
      </x:c>
      <x:c r="I1295" s="72"/>
      <x:c r="J1295" s="69" t="str">
        <x:v>文件未載明</x:v>
      </x:c>
      <x:c r="K1295" s="70"/>
      <x:c r="L1295" s="69" t="str">
        <x:v>文件未載明</x:v>
      </x:c>
      <x:c r="M1295" s="70"/>
      <x:c r="N1295" s="69" t="str">
        <x:v>文件未載明</x:v>
      </x:c>
      <x:c r="O1295" s="71" t="str">
        <x:v>文件未載明</x:v>
      </x:c>
      <x:c r="P1295" s="71" t="str">
        <x:v>HTML table 1 row 20</x:v>
      </x:c>
      <x:c r="Q1295" s="71" t="str">
        <x:v>&lt;匯款帳號&gt;戶名:三發製網股份有限公司 銀行:合作金庫銀行大雅分行 帳號:34 費方確認</x:v>
      </x:c>
      <x:c r="R1295" s="71" t="str">
        <x:v>各廠商合約&amp; 報價\MD檔案\20260517 三發圍籬網.md</x:v>
      </x:c>
    </x:row>
    <x:row r="1296">
      <x:c r="A1296" s="69" t="str">
        <x:v>ITEM01292</x:v>
      </x:c>
      <x:c r="B1296" s="69" t="str">
        <x:v>SRC078</x:v>
      </x:c>
      <x:c r="C1296" s="69" t="str">
        <x:v>2025-2026</x:v>
      </x:c>
      <x:c r="D1296" s="69" t="str">
        <x:v>detail</x:v>
      </x:c>
      <x:c r="E1296" s="69" t="str">
        <x:v>文件未載明</x:v>
      </x:c>
      <x:c r="F1296" s="71" t="str">
        <x:v>班朋寶閣有限公司 綺編:24755793地址:106001 台北市大安區金山南路二段18號5樓TEL:02-23569828FAX:02-23218882E-Mail:sunny.tc@the-backbone.com</x:v>
      </x:c>
      <x:c r="G1296" s="71" t="str">
        <x:v>文件未載明</x:v>
      </x:c>
      <x:c r="H1296" s="71" t="str">
        <x:v>文件未載明</x:v>
      </x:c>
      <x:c r="I1296" s="72"/>
      <x:c r="J1296" s="69" t="str">
        <x:v>文件未載明</x:v>
      </x:c>
      <x:c r="K1296" s="70"/>
      <x:c r="L1296" s="69" t="str">
        <x:v>文件未載明</x:v>
      </x:c>
      <x:c r="M1296" s="70"/>
      <x:c r="N1296" s="69" t="str">
        <x:v>文件未載明</x:v>
      </x:c>
      <x:c r="O1296" s="71" t="str">
        <x:v>文件未載明</x:v>
      </x:c>
      <x:c r="P1296" s="71" t="str">
        <x:v>HTML table 1 row 1</x:v>
      </x:c>
      <x:c r="Q1296" s="71" t="str">
        <x:v>班朋寶閣有限公司 綺編:24755793地址:106001 台北市大安區金山南路二段18號5樓TEL:02-23569828FAX:02-23218882E-Mail:sunny.tc@the-backbone.com | 抬頭:向上建設股份有限公司 綱編:90057101 地址:苗栗縣竹南鎮康德街71號 TEL/FAX: 聯絡人:洪建豪 0932-695878</x:v>
      </x:c>
      <x:c r="R1296" s="71" t="str">
        <x:v>各廠商合約&amp; 報價\MD檔案\20260520 7F辦公室.md</x:v>
      </x:c>
    </x:row>
    <x:row r="1297">
      <x:c r="A1297" s="69" t="str">
        <x:v>ITEM01293</x:v>
      </x:c>
      <x:c r="B1297" s="69" t="str">
        <x:v>SRC078</x:v>
      </x:c>
      <x:c r="C1297" s="69" t="str">
        <x:v>2025-2026</x:v>
      </x:c>
      <x:c r="D1297" s="69" t="str">
        <x:v>detail</x:v>
      </x:c>
      <x:c r="E1297" s="69" t="str">
        <x:v>文件未載明</x:v>
      </x:c>
      <x:c r="F1297" s="71" t="str">
        <x:v>服務賠務</x:v>
      </x:c>
      <x:c r="G1297" s="71" t="str">
        <x:v>文件未載明</x:v>
      </x:c>
      <x:c r="H1297" s="71" t="str">
        <x:v>文件未載明</x:v>
      </x:c>
      <x:c r="I1297" s="72"/>
      <x:c r="J1297" s="69" t="str">
        <x:v>文件未載明</x:v>
      </x:c>
      <x:c r="K1297" s="70"/>
      <x:c r="L1297" s="69" t="str">
        <x:v>文件未載明</x:v>
      </x:c>
      <x:c r="M1297" s="70"/>
      <x:c r="N1297" s="69" t="str">
        <x:v>文件未載明</x:v>
      </x:c>
      <x:c r="O1297" s="71" t="str">
        <x:v>文件未載明</x:v>
      </x:c>
      <x:c r="P1297" s="71" t="str">
        <x:v>HTML table 1 row 2</x:v>
      </x:c>
      <x:c r="Q1297" s="71" t="str">
        <x:v>服務賠務 | 簡子玲 0952940200 | 案件備註:</x:v>
      </x:c>
      <x:c r="R1297" s="71" t="str">
        <x:v>各廠商合約&amp; 報價\MD檔案\20260520 7F辦公室.md</x:v>
      </x:c>
    </x:row>
    <x:row r="1298">
      <x:c r="A1298" s="69" t="str">
        <x:v>ITEM01294</x:v>
      </x:c>
      <x:c r="B1298" s="69" t="str">
        <x:v>SRC078</x:v>
      </x:c>
      <x:c r="C1298" s="69" t="str">
        <x:v>2025-2026</x:v>
      </x:c>
      <x:c r="D1298" s="69" t="str">
        <x:v>detail</x:v>
      </x:c>
      <x:c r="E1298" s="69" t="str">
        <x:v>文件未載明</x:v>
      </x:c>
      <x:c r="F1298" s="71" t="str">
        <x:v>收件資訊</x:v>
      </x:c>
      <x:c r="G1298" s="71" t="str">
        <x:v>文件未載明</x:v>
      </x:c>
      <x:c r="H1298" s="71" t="str">
        <x:v>文件未載明</x:v>
      </x:c>
      <x:c r="I1298" s="72"/>
      <x:c r="J1298" s="69" t="str">
        <x:v>文件未載明</x:v>
      </x:c>
      <x:c r="K1298" s="70"/>
      <x:c r="L1298" s="69" t="str">
        <x:v>文件未載明</x:v>
      </x:c>
      <x:c r="M1298" s="70"/>
      <x:c r="N1298" s="69" t="str">
        <x:v>文件未載明</x:v>
      </x:c>
      <x:c r="O1298" s="71" t="str">
        <x:v>文件未載明</x:v>
      </x:c>
      <x:c r="P1298" s="71" t="str">
        <x:v>HTML table 1 row 3</x:v>
      </x:c>
      <x:c r="Q1298" s="71" t="str">
        <x:v>收件資訊 | 收件方式/日期: | 桌款交期:16-18個工作天 椅款交期:6-8個工作天</x:v>
      </x:c>
      <x:c r="R1298" s="71" t="str">
        <x:v>各廠商合約&amp; 報價\MD檔案\20260520 7F辦公室.md</x:v>
      </x:c>
    </x:row>
    <x:row r="1299">
      <x:c r="A1299" s="69" t="str">
        <x:v>ITEM01295</x:v>
      </x:c>
      <x:c r="B1299" s="69" t="str">
        <x:v>SRC078</x:v>
      </x:c>
      <x:c r="C1299" s="69" t="str">
        <x:v>2025-2026</x:v>
      </x:c>
      <x:c r="D1299" s="69" t="str">
        <x:v>detail</x:v>
      </x:c>
      <x:c r="E1299" s="69" t="str">
        <x:v>文件未載明</x:v>
      </x:c>
      <x:c r="F1299" s="71" t="str">
        <x:v>地址:</x:v>
      </x:c>
      <x:c r="G1299" s="71" t="str">
        <x:v>文件未載明</x:v>
      </x:c>
      <x:c r="H1299" s="71" t="str">
        <x:v>文件未載明</x:v>
      </x:c>
      <x:c r="I1299" s="72"/>
      <x:c r="J1299" s="69" t="str">
        <x:v>文件未載明</x:v>
      </x:c>
      <x:c r="K1299" s="70"/>
      <x:c r="L1299" s="69" t="str">
        <x:v>文件未載明</x:v>
      </x:c>
      <x:c r="M1299" s="70"/>
      <x:c r="N1299" s="69" t="str">
        <x:v>文件未載明</x:v>
      </x:c>
      <x:c r="O1299" s="71" t="str">
        <x:v>文件未載明</x:v>
      </x:c>
      <x:c r="P1299" s="71" t="str">
        <x:v>HTML table 1 row 4</x:v>
      </x:c>
      <x:c r="Q1299" s="71" t="str">
        <x:v>地址: | 苗栗後龍</x:v>
      </x:c>
      <x:c r="R1299" s="71" t="str">
        <x:v>各廠商合約&amp; 報價\MD檔案\20260520 7F辦公室.md</x:v>
      </x:c>
    </x:row>
    <x:row r="1300">
      <x:c r="A1300" s="69" t="str">
        <x:v>ITEM01296</x:v>
      </x:c>
      <x:c r="B1300" s="69" t="str">
        <x:v>SRC078</x:v>
      </x:c>
      <x:c r="C1300" s="69" t="str">
        <x:v>2025-2026</x:v>
      </x:c>
      <x:c r="D1300" s="69" t="str">
        <x:v>detail</x:v>
      </x:c>
      <x:c r="E1300" s="69" t="str">
        <x:v>文件未載明</x:v>
      </x:c>
      <x:c r="F1300" s="71" t="str">
        <x:v>聯絡人:</x:v>
      </x:c>
      <x:c r="G1300" s="71" t="str">
        <x:v>文件未載明</x:v>
      </x:c>
      <x:c r="H1300" s="71" t="str">
        <x:v>文件未載明</x:v>
      </x:c>
      <x:c r="I1300" s="72"/>
      <x:c r="J1300" s="69" t="str">
        <x:v>文件未載明</x:v>
      </x:c>
      <x:c r="K1300" s="70"/>
      <x:c r="L1300" s="69" t="str">
        <x:v>文件未載明</x:v>
      </x:c>
      <x:c r="M1300" s="70"/>
      <x:c r="N1300" s="69" t="str">
        <x:v>文件未載明</x:v>
      </x:c>
      <x:c r="O1300" s="71" t="str">
        <x:v>文件未載明</x:v>
      </x:c>
      <x:c r="P1300" s="71" t="str">
        <x:v>HTML table 1 row 5</x:v>
      </x:c>
      <x:c r="Q1300" s="71" t="str">
        <x:v>聯絡人: | 洪建豪 0932-695878</x:v>
      </x:c>
      <x:c r="R1300" s="71" t="str">
        <x:v>各廠商合約&amp; 報價\MD檔案\20260520 7F辦公室.md</x:v>
      </x:c>
    </x:row>
    <x:row r="1301">
      <x:c r="A1301" s="69" t="str">
        <x:v>ITEM01297</x:v>
      </x:c>
      <x:c r="B1301" s="69" t="str">
        <x:v>SRC078</x:v>
      </x:c>
      <x:c r="C1301" s="69" t="str">
        <x:v>2025-2026</x:v>
      </x:c>
      <x:c r="D1301" s="69" t="str">
        <x:v>header</x:v>
      </x:c>
      <x:c r="E1301" s="69" t="str">
        <x:v>項次</x:v>
      </x:c>
      <x:c r="F1301" s="71" t="str">
        <x:v>品項</x:v>
      </x:c>
      <x:c r="G1301" s="71" t="str">
        <x:v>文件未載明</x:v>
      </x:c>
      <x:c r="H1301" s="71" t="str">
        <x:v>單位</x:v>
      </x:c>
      <x:c r="I1301" s="72"/>
      <x:c r="J1301" s="69" t="str">
        <x:v>數量</x:v>
      </x:c>
      <x:c r="K1301" s="70"/>
      <x:c r="L1301" s="69" t="str">
        <x:v>單價</x:v>
      </x:c>
      <x:c r="M1301" s="70"/>
      <x:c r="N1301" s="69" t="str">
        <x:v>複價</x:v>
      </x:c>
      <x:c r="O1301" s="71" t="str">
        <x:v>文件未載明</x:v>
      </x:c>
      <x:c r="P1301" s="71" t="str">
        <x:v>HTML table 1 row 7</x:v>
      </x:c>
      <x:c r="Q1301" s="71" t="str">
        <x:v>項次 | 品項 | 參考圖示(實際配置依附敘斌為準) | 數量 | 單位 | 單價 | 複價</x:v>
      </x:c>
      <x:c r="R1301" s="71" t="str">
        <x:v>各廠商合約&amp; 報價\MD檔案\20260520 7F辦公室.md</x:v>
      </x:c>
    </x:row>
    <x:row r="1302">
      <x:c r="A1302" s="69" t="str">
        <x:v>ITEM01298</x:v>
      </x:c>
      <x:c r="B1302" s="69" t="str">
        <x:v>SRC078</x:v>
      </x:c>
      <x:c r="C1302" s="69" t="str">
        <x:v>2025-2026</x:v>
      </x:c>
      <x:c r="D1302" s="69" t="str">
        <x:v>detail</x:v>
      </x:c>
      <x:c r="E1302" s="69" t="str">
        <x:v>主管位</x:v>
      </x:c>
      <x:c r="F1302" s="71" t="str">
        <x:v>文件未載明</x:v>
      </x:c>
      <x:c r="G1302" s="71" t="str">
        <x:v>文件未載明</x:v>
      </x:c>
      <x:c r="H1302" s="71" t="str">
        <x:v>文件未載明</x:v>
      </x:c>
      <x:c r="I1302" s="72"/>
      <x:c r="J1302" s="69" t="str">
        <x:v>文件未載明</x:v>
      </x:c>
      <x:c r="K1302" s="70"/>
      <x:c r="L1302" s="69" t="str">
        <x:v>文件未載明</x:v>
      </x:c>
      <x:c r="M1302" s="70"/>
      <x:c r="N1302" s="69" t="str">
        <x:v>文件未載明</x:v>
      </x:c>
      <x:c r="O1302" s="71" t="str">
        <x:v>文件未載明</x:v>
      </x:c>
      <x:c r="P1302" s="71" t="str">
        <x:v>HTML table 1 row 8</x:v>
      </x:c>
      <x:c r="Q1302" s="71" t="str">
        <x:v>主管位</x:v>
      </x:c>
      <x:c r="R1302" s="71" t="str">
        <x:v>各廠商合約&amp; 報價\MD檔案\20260520 7F辦公室.md</x:v>
      </x:c>
    </x:row>
    <x:row r="1303">
      <x:c r="A1303" s="69" t="str">
        <x:v>ITEM01299</x:v>
      </x:c>
      <x:c r="B1303" s="69" t="str">
        <x:v>SRC078</x:v>
      </x:c>
      <x:c r="C1303" s="69" t="str">
        <x:v>2025-2026</x:v>
      </x:c>
      <x:c r="D1303" s="69" t="str">
        <x:v>detail</x:v>
      </x:c>
      <x:c r="E1303" s="69" t="str">
        <x:v>1</x:v>
      </x:c>
      <x:c r="F1303" s="71" t="str">
        <x:v>Dyback04® 雙馬達電動升降桌 桌部:黑 尺寸:W123*D70*H66~131cm 匯面:18mm熱塑板 #淺修木(篩板左上右上各間一圓孔) 桌屏:無 攜板:無 配件:圓孔致(黑) 直徑6cm*2、附同色護蓋*1</x:v>
      </x:c>
      <x:c r="G1303" s="71" t="str">
        <x:v>文件未載明</x:v>
      </x:c>
      <x:c r="H1303" s="71" t="str">
        <x:v>座</x:v>
      </x:c>
      <x:c r="I1303" s="72" t="n">
        <x:v>2</x:v>
      </x:c>
      <x:c r="J1303" s="69" t="str">
        <x:v>2</x:v>
      </x:c>
      <x:c r="K1303" s="70" t="n">
        <x:v>12736</x:v>
      </x:c>
      <x:c r="L1303" s="69" t="str">
        <x:v>12,736</x:v>
      </x:c>
      <x:c r="M1303" s="70" t="n">
        <x:v>25472</x:v>
      </x:c>
      <x:c r="N1303" s="69" t="str">
        <x:v>25,472</x:v>
      </x:c>
      <x:c r="O1303" s="71" t="str">
        <x:v>文件未載明</x:v>
      </x:c>
      <x:c r="P1303" s="71" t="str">
        <x:v>HTML table 1 row 9</x:v>
      </x:c>
      <x:c r="Q1303" s="71" t="str">
        <x:v>1 | Dyback04® 雙馬達電動升降桌 桌部:黑 尺寸:W123*D70*H66~131cm 匯面:18mm熱塑板 #淺修木(篩板左上右上各間一圓孔) 桌屏:無 攜板:無 配件:圓孔致(黑) 直徑6cm*2、附同色護蓋*1 | 國力寶供小桌,以報價文字敘述為準 | 2 | 座 | 12,736 | 25,472</x:v>
      </x:c>
      <x:c r="R1303" s="71" t="str">
        <x:v>各廠商合約&amp; 報價\MD檔案\20260520 7F辦公室.md</x:v>
      </x:c>
    </x:row>
    <x:row r="1304">
      <x:c r="A1304" s="69" t="str">
        <x:v>ITEM01300</x:v>
      </x:c>
      <x:c r="B1304" s="69" t="str">
        <x:v>SRC078</x:v>
      </x:c>
      <x:c r="C1304" s="69" t="str">
        <x:v>2025-2026</x:v>
      </x:c>
      <x:c r="D1304" s="69" t="str">
        <x:v>detail</x:v>
      </x:c>
      <x:c r="E1304" s="69" t="str">
        <x:v>2</x:v>
      </x:c>
      <x:c r="F1304" s="71" t="str">
        <x:v>KabutoTM(高)人體工學椅 2D升降頭枕、肌紋強緩網窗、特規3D肘拖扶手、強力網座、特規座殼湧動可鎖定傾仰底盤、氣壓升降、鋁合金細部、特規PU靜音輪 頭枕、椅背:黑鋼 椅墊:黑鋼座</x:v>
      </x:c>
      <x:c r="G1304" s="71" t="str">
        <x:v>文件未載明</x:v>
      </x:c>
      <x:c r="H1304" s="71" t="str">
        <x:v>張</x:v>
      </x:c>
      <x:c r="I1304" s="72" t="n">
        <x:v>2</x:v>
      </x:c>
      <x:c r="J1304" s="69" t="str">
        <x:v>2</x:v>
      </x:c>
      <x:c r="K1304" s="70" t="n">
        <x:v>8730</x:v>
      </x:c>
      <x:c r="L1304" s="69" t="str">
        <x:v>8,730</x:v>
      </x:c>
      <x:c r="M1304" s="70" t="n">
        <x:v>17460</x:v>
      </x:c>
      <x:c r="N1304" s="69" t="str">
        <x:v>17,460</x:v>
      </x:c>
      <x:c r="O1304" s="71" t="str">
        <x:v>文件未載明</x:v>
      </x:c>
      <x:c r="P1304" s="71" t="str">
        <x:v>HTML table 1 row 10</x:v>
      </x:c>
      <x:c r="Q1304" s="71" t="str">
        <x:v>2 | KabutoTM(高)人體工學椅 2D升降頭枕、肌紋強緩網窗、特規3D肘拖扶手、強力網座、特規座殼湧動可鎖定傾仰底盤、氣壓升降、鋁合金細部、特規PU靜音輪 頭枕、椅背:黑鋼 椅墊:黑鋼座 | 圖片僅供示意,以報價文字敘述為準 | 2 | 張 | 8,730 | 17,460</x:v>
      </x:c>
      <x:c r="R1304" s="71" t="str">
        <x:v>各廠商合約&amp; 報價\MD檔案\20260520 7F辦公室.md</x:v>
      </x:c>
    </x:row>
    <x:row r="1305">
      <x:c r="A1305" s="69" t="str">
        <x:v>ITEM01301</x:v>
      </x:c>
      <x:c r="B1305" s="69" t="str">
        <x:v>SRC078</x:v>
      </x:c>
      <x:c r="C1305" s="69" t="str">
        <x:v>2025-2026</x:v>
      </x:c>
      <x:c r="D1305" s="69" t="str">
        <x:v>detail</x:v>
      </x:c>
      <x:c r="E1305" s="69" t="str">
        <x:v>3</x:v>
      </x:c>
      <x:c r="F1305" s="71" t="str">
        <x:v>正反兩用集線槽 鬼</x:v>
      </x:c>
      <x:c r="G1305" s="71" t="str">
        <x:v>文件未載明</x:v>
      </x:c>
      <x:c r="H1305" s="71" t="str">
        <x:v>組</x:v>
      </x:c>
      <x:c r="I1305" s="72" t="n">
        <x:v>2</x:v>
      </x:c>
      <x:c r="J1305" s="69" t="str">
        <x:v>2</x:v>
      </x:c>
      <x:c r="K1305" s="70" t="n">
        <x:v>1200</x:v>
      </x:c>
      <x:c r="L1305" s="69" t="str">
        <x:v>1,200</x:v>
      </x:c>
      <x:c r="M1305" s="70" t="n">
        <x:v>2400</x:v>
      </x:c>
      <x:c r="N1305" s="69" t="str">
        <x:v>2,400</x:v>
      </x:c>
      <x:c r="O1305" s="71" t="str">
        <x:v>文件未載明</x:v>
      </x:c>
      <x:c r="P1305" s="71" t="str">
        <x:v>HTML table 1 row 11</x:v>
      </x:c>
      <x:c r="Q1305" s="71" t="str">
        <x:v>3 | 正反兩用集線槽 鬼 | 圖片僅供示意,以報價文字敘述為準 | 2 | 組 | 1,200 | 2,400</x:v>
      </x:c>
      <x:c r="R1305" s="71" t="str">
        <x:v>各廠商合約&amp; 報價\MD檔案\20260520 7F辦公室.md</x:v>
      </x:c>
    </x:row>
    <x:row r="1306">
      <x:c r="A1306" s="69" t="str">
        <x:v>ITEM01302</x:v>
      </x:c>
      <x:c r="B1306" s="69" t="str">
        <x:v>SRC078</x:v>
      </x:c>
      <x:c r="C1306" s="69" t="str">
        <x:v>2025-2026</x:v>
      </x:c>
      <x:c r="D1306" s="69" t="str">
        <x:v>detail</x:v>
      </x:c>
      <x:c r="E1306" s="69" t="str">
        <x:v>4</x:v>
      </x:c>
      <x:c r="F1306" s="71" t="str">
        <x:v>雙向多功能延長線 升級医(黑) •突式安裝,不留撫跡 •線長1.8m •5個AC插座+1個USB快充+2個USB Type-C快充(45W)</x:v>
      </x:c>
      <x:c r="G1306" s="71" t="str">
        <x:v>文件未載明</x:v>
      </x:c>
      <x:c r="H1306" s="71" t="str">
        <x:v>組</x:v>
      </x:c>
      <x:c r="I1306" s="72" t="n">
        <x:v>2</x:v>
      </x:c>
      <x:c r="J1306" s="69" t="str">
        <x:v>2</x:v>
      </x:c>
      <x:c r="K1306" s="70" t="n">
        <x:v>1519</x:v>
      </x:c>
      <x:c r="L1306" s="69" t="str">
        <x:v>1,519</x:v>
      </x:c>
      <x:c r="M1306" s="70" t="n">
        <x:v>3038</x:v>
      </x:c>
      <x:c r="N1306" s="69" t="str">
        <x:v>3,038</x:v>
      </x:c>
      <x:c r="O1306" s="71" t="str">
        <x:v>文件未載明</x:v>
      </x:c>
      <x:c r="P1306" s="71" t="str">
        <x:v>HTML table 1 row 12</x:v>
      </x:c>
      <x:c r="Q1306" s="71" t="str">
        <x:v>4 | 雙向多功能延長線 升級医(黑) •突式安裝,不留撫跡 •線長1.8m •5個AC插座+1個USB快充+2個USB Type-C快充(45W) | 圖片僅供示意,以報價文字敘述為準 | 2 | 組 | 1,519 | 3,038</x:v>
      </x:c>
      <x:c r="R1306" s="71" t="str">
        <x:v>各廠商合約&amp; 報價\MD檔案\20260520 7F辦公室.md</x:v>
      </x:c>
    </x:row>
    <x:row r="1307">
      <x:c r="A1307" s="69" t="str">
        <x:v>ITEM01303</x:v>
      </x:c>
      <x:c r="B1307" s="69" t="str">
        <x:v>SRC078</x:v>
      </x:c>
      <x:c r="C1307" s="69" t="str">
        <x:v>2025-2026</x:v>
      </x:c>
      <x:c r="D1307" s="69" t="str">
        <x:v>detail</x:v>
      </x:c>
      <x:c r="E1307" s="69" t="str">
        <x:v>會議室</x:v>
      </x:c>
      <x:c r="F1307" s="71" t="str">
        <x:v>文件未載明</x:v>
      </x:c>
      <x:c r="G1307" s="71" t="str">
        <x:v>文件未載明</x:v>
      </x:c>
      <x:c r="H1307" s="71" t="str">
        <x:v>文件未載明</x:v>
      </x:c>
      <x:c r="I1307" s="72"/>
      <x:c r="J1307" s="69" t="str">
        <x:v>文件未載明</x:v>
      </x:c>
      <x:c r="K1307" s="70"/>
      <x:c r="L1307" s="69" t="str">
        <x:v>文件未載明</x:v>
      </x:c>
      <x:c r="M1307" s="70"/>
      <x:c r="N1307" s="69" t="str">
        <x:v>文件未載明</x:v>
      </x:c>
      <x:c r="O1307" s="71" t="str">
        <x:v>文件未載明</x:v>
      </x:c>
      <x:c r="P1307" s="71" t="str">
        <x:v>HTML table 1 row 13</x:v>
      </x:c>
      <x:c r="Q1307" s="71" t="str">
        <x:v>會議室</x:v>
      </x:c>
      <x:c r="R1307" s="71" t="str">
        <x:v>各廠商合約&amp; 報價\MD檔案\20260520 7F辦公室.md</x:v>
      </x:c>
    </x:row>
    <x:row r="1308">
      <x:c r="A1308" s="69" t="str">
        <x:v>ITEM01304</x:v>
      </x:c>
      <x:c r="B1308" s="69" t="str">
        <x:v>SRC078</x:v>
      </x:c>
      <x:c r="C1308" s="69" t="str">
        <x:v>2025-2026</x:v>
      </x:c>
      <x:c r="D1308" s="69" t="str">
        <x:v>detail</x:v>
      </x:c>
      <x:c r="E1308" s="69" t="str">
        <x:v>5-2</x:v>
      </x:c>
      <x:c r="F1308" s="71" t="str">
        <x:v>Balance® 會議桌尺寸:W270*D120*H75cm 烤漆平光屑(管徑3*6,共2支桌部+翻向直立式中蟹走線腳*1) 橡面:25mm系統版 #BK2-494浮雕灰布紋 (虎板分2片,桌板中央各間一方孔,外側四個角分別導直角R=2.5cm) 牆板:無 配件:W45cm雙掀線槽盒(烤漆屏,三面板孔)*2 配件:W6…（詳原文索引）</x:v>
      </x:c>
      <x:c r="G1308" s="71" t="str">
        <x:v>文件未載明</x:v>
      </x:c>
      <x:c r="H1308" s="71" t="str">
        <x:v>1</x:v>
      </x:c>
      <x:c r="I1308" s="72"/>
      <x:c r="J1308" s="69" t="str">
        <x:v>桌層顏色</x:v>
      </x:c>
      <x:c r="K1308" s="70"/>
      <x:c r="L1308" s="69" t="str">
        <x:v>座</x:v>
      </x:c>
      <x:c r="M1308" s="70" t="n">
        <x:v>27098</x:v>
      </x:c>
      <x:c r="N1308" s="69" t="str">
        <x:v>27,098</x:v>
      </x:c>
      <x:c r="O1308" s="71" t="str">
        <x:v>文件未載明</x:v>
      </x:c>
      <x:c r="P1308" s="71" t="str">
        <x:v>HTML table 1 row 14</x:v>
      </x:c>
      <x:c r="Q1308" s="71" t="str">
        <x:v>5-2 | Balance® 會議桌尺寸:W270*D120*H75cm 烤漆平光屑(管徑3*6,共2支桌部+翻向直立式中蟹走線腳*1) 橡面:25mm系統版 #BK2-494浮雕灰布紋 (虎板分2片,桌板中央各間一方孔,外側四個角分別導直角R=2.5cm) 牆板:無 配件:W45cm雙掀線槽盒(烤漆屏,三面板孔)*2 配件:W67.5cm過線橋(黑)*2,可拆板(黑)*2片 註:此桌板倒圓角,請注意桌框內縮 | [IMAGE]圖片僅供示意,以報價文字敘述為準 | 桌層顏色 | 1 | 座 | 27,098 | 27,098</x:v>
      </x:c>
      <x:c r="R1308" s="71" t="str">
        <x:v>各廠商合約&amp; 報價\MD檔案\20260520 7F辦公室.md</x:v>
      </x:c>
    </x:row>
    <x:row r="1309">
      <x:c r="A1309" s="69" t="str">
        <x:v>ITEM01305</x:v>
      </x:c>
      <x:c r="B1309" s="69" t="str">
        <x:v>SRC078</x:v>
      </x:c>
      <x:c r="C1309" s="69" t="str">
        <x:v>2025-2026</x:v>
      </x:c>
      <x:c r="D1309" s="69" t="str">
        <x:v>detail</x:v>
      </x:c>
      <x:c r="E1309" s="69" t="str">
        <x:v>6</x:v>
      </x:c>
      <x:c r="F1309" s="71" t="str">
        <x:v>KoalaTM 人體工學椅 無頭枕、強力網肩、去扶手、強力線座、STG分離艇仰底盤、氣壓升譯、尼龍椅配、PU椅軸 椅翔:BMF-07 級河灰 椅墊:BMF-07 級河灰</x:v>
      </x:c>
      <x:c r="G1309" s="71" t="str">
        <x:v>文件未載明</x:v>
      </x:c>
      <x:c r="H1309" s="71" t="str">
        <x:v>8</x:v>
      </x:c>
      <x:c r="I1309" s="72"/>
      <x:c r="J1309" s="69" t="str">
        <x:v>圖片僅供示意,以報價文字敘述為準</x:v>
      </x:c>
      <x:c r="K1309" s="70"/>
      <x:c r="L1309" s="69" t="str">
        <x:v>張</x:v>
      </x:c>
      <x:c r="M1309" s="70" t="n">
        <x:v>4066</x:v>
      </x:c>
      <x:c r="N1309" s="69" t="str">
        <x:v>4,066</x:v>
      </x:c>
      <x:c r="O1309" s="71" t="str">
        <x:v>文件未載明</x:v>
      </x:c>
      <x:c r="P1309" s="71" t="str">
        <x:v>HTML table 1 row 15</x:v>
      </x:c>
      <x:c r="Q1309" s="71" t="str">
        <x:v>6 | KoalaTM 人體工學椅 無頭枕、強力網肩、去扶手、強力線座、STG分離艇仰底盤、氣壓升譯、尼龍椅配、PU椅軸 椅翔:BMF-07 級河灰 椅墊:BMF-07 級河灰 | 圖片僅供示意,以報價文字敘述為準 | 圖片僅供示意,以報價文字敘述為準 | 8 | 張 | 4,066 | 32,528</x:v>
      </x:c>
      <x:c r="R1309" s="71" t="str">
        <x:v>各廠商合約&amp; 報價\MD檔案\20260520 7F辦公室.md</x:v>
      </x:c>
    </x:row>
    <x:row r="1310">
      <x:c r="A1310" s="69" t="str">
        <x:v>ITEM01306</x:v>
      </x:c>
      <x:c r="B1310" s="69" t="str">
        <x:v>SRC078</x:v>
      </x:c>
      <x:c r="C1310" s="69" t="str">
        <x:v>2025-2026</x:v>
      </x:c>
      <x:c r="D1310" s="69" t="str">
        <x:v>detail</x:v>
      </x:c>
      <x:c r="E1310" s="69" t="str">
        <x:v>文件未載明</x:v>
      </x:c>
      <x:c r="F1310" s="71" t="str">
        <x:v>2.5屏風 | 框架:烤漆框 深灰H70cm-彩鋼平板(深灰)、H20cm 屏風布 #37-102-8 銀月灰</x:v>
      </x:c>
      <x:c r="G1310" s="71" t="str">
        <x:v>文件未載明</x:v>
      </x:c>
      <x:c r="H1310" s="71" t="str">
        <x:v>文件未載明</x:v>
      </x:c>
      <x:c r="I1310" s="72"/>
      <x:c r="J1310" s="69" t="str">
        <x:v>文件未載明</x:v>
      </x:c>
      <x:c r="K1310" s="70"/>
      <x:c r="L1310" s="69" t="str">
        <x:v>文件未載明</x:v>
      </x:c>
      <x:c r="M1310" s="70"/>
      <x:c r="N1310" s="69" t="str">
        <x:v>文件未載明</x:v>
      </x:c>
      <x:c r="O1310" s="71" t="str">
        <x:v>文件未載明</x:v>
      </x:c>
      <x:c r="P1310" s="71" t="str">
        <x:v>HTML table 2 row 1</x:v>
      </x:c>
      <x:c r="Q1310" s="71" t="str">
        <x:v>2.5屏風 | 框架:烤漆框 深灰H70cm-彩鋼平板(深灰)、H20cm 屏風布 #37-102-8 銀月灰 | 桌框顏色 桌板顏色圖片僅供示意,以報價文字敘述為準 |</x:v>
      </x:c>
      <x:c r="R1310" s="71" t="str">
        <x:v>各廠商合約&amp; 報價\MD檔案\20260520 7F辦公室.md</x:v>
      </x:c>
    </x:row>
    <x:row r="1311">
      <x:c r="A1311" s="69" t="str">
        <x:v>ITEM01307</x:v>
      </x:c>
      <x:c r="B1311" s="69" t="str">
        <x:v>SRC078</x:v>
      </x:c>
      <x:c r="C1311" s="69" t="str">
        <x:v>2025-2026</x:v>
      </x:c>
      <x:c r="D1311" s="69" t="str">
        <x:v>detail</x:v>
      </x:c>
      <x:c r="E1311" s="69" t="str">
        <x:v>7</x:v>
      </x:c>
      <x:c r="F1311" s="71" t="str">
        <x:v>W60*H92cm</x:v>
      </x:c>
      <x:c r="G1311" s="71" t="str">
        <x:v>文件未載明</x:v>
      </x:c>
      <x:c r="H1311" s="71" t="str">
        <x:v>文件未載明</x:v>
      </x:c>
      <x:c r="I1311" s="72"/>
      <x:c r="J1311" s="69" t="str">
        <x:v>片</x:v>
      </x:c>
      <x:c r="K1311" s="70" t="n">
        <x:v>1456</x:v>
      </x:c>
      <x:c r="L1311" s="69" t="str">
        <x:v>1,456</x:v>
      </x:c>
      <x:c r="M1311" s="70" t="n">
        <x:v>8736</x:v>
      </x:c>
      <x:c r="N1311" s="69" t="str">
        <x:v>8,736</x:v>
      </x:c>
      <x:c r="O1311" s="71" t="str">
        <x:v>文件未載明</x:v>
      </x:c>
      <x:c r="P1311" s="71" t="str">
        <x:v>HTML table 2 row 2</x:v>
      </x:c>
      <x:c r="Q1311" s="71" t="str">
        <x:v>7 | W60*H92cm | 6 | 片 | 1,456 | 8,736</x:v>
      </x:c>
      <x:c r="R1311" s="71" t="str">
        <x:v>各廠商合約&amp; 報價\MD檔案\20260520 7F辦公室.md</x:v>
      </x:c>
    </x:row>
    <x:row r="1312">
      <x:c r="A1312" s="69" t="str">
        <x:v>ITEM01308</x:v>
      </x:c>
      <x:c r="B1312" s="69" t="str">
        <x:v>SRC078</x:v>
      </x:c>
      <x:c r="C1312" s="69" t="str">
        <x:v>2025-2026</x:v>
      </x:c>
      <x:c r="D1312" s="69" t="str">
        <x:v>detail</x:v>
      </x:c>
      <x:c r="E1312" s="69" t="str">
        <x:v>文件未載明</x:v>
      </x:c>
      <x:c r="F1312" s="71" t="str">
        <x:v>2.5屏風 | 框架:烤漆框 深灰H70cm-彩鋼平板(深灰)、H20cm 5mm黑玻 (強化玻璃)</x:v>
      </x:c>
      <x:c r="G1312" s="71" t="str">
        <x:v>文件未載明</x:v>
      </x:c>
      <x:c r="H1312" s="71" t="str">
        <x:v>文件未載明</x:v>
      </x:c>
      <x:c r="I1312" s="72"/>
      <x:c r="J1312" s="69" t="str">
        <x:v>文件未載明</x:v>
      </x:c>
      <x:c r="K1312" s="70"/>
      <x:c r="L1312" s="69" t="str">
        <x:v>文件未載明</x:v>
      </x:c>
      <x:c r="M1312" s="70"/>
      <x:c r="N1312" s="69" t="str">
        <x:v>文件未載明</x:v>
      </x:c>
      <x:c r="O1312" s="71" t="str">
        <x:v>文件未載明</x:v>
      </x:c>
      <x:c r="P1312" s="71" t="str">
        <x:v>HTML table 2 row 3</x:v>
      </x:c>
      <x:c r="Q1312" s="71" t="str">
        <x:v>2.5屏風 | 框架:烤漆框 深灰H70cm-彩鋼平板(深灰)、H20cm 5mm黑玻 (強化玻璃) |</x:v>
      </x:c>
      <x:c r="R1312" s="71" t="str">
        <x:v>各廠商合約&amp; 報價\MD檔案\20260520 7F辦公室.md</x:v>
      </x:c>
    </x:row>
    <x:row r="1313">
      <x:c r="A1313" s="69" t="str">
        <x:v>ITEM01309</x:v>
      </x:c>
      <x:c r="B1313" s="69" t="str">
        <x:v>SRC078</x:v>
      </x:c>
      <x:c r="C1313" s="69" t="str">
        <x:v>2025-2026</x:v>
      </x:c>
      <x:c r="D1313" s="69" t="str">
        <x:v>detail</x:v>
      </x:c>
      <x:c r="E1313" s="69" t="str">
        <x:v>8</x:v>
      </x:c>
      <x:c r="F1313" s="71" t="str">
        <x:v>W110*H92cm</x:v>
      </x:c>
      <x:c r="G1313" s="71" t="str">
        <x:v>文件未載明</x:v>
      </x:c>
      <x:c r="H1313" s="71" t="str">
        <x:v>文件未載明</x:v>
      </x:c>
      <x:c r="I1313" s="72"/>
      <x:c r="J1313" s="69" t="str">
        <x:v>片</x:v>
      </x:c>
      <x:c r="K1313" s="70" t="n">
        <x:v>2166</x:v>
      </x:c>
      <x:c r="L1313" s="69" t="str">
        <x:v>2,166</x:v>
      </x:c>
      <x:c r="M1313" s="70" t="n">
        <x:v>4332</x:v>
      </x:c>
      <x:c r="N1313" s="69" t="str">
        <x:v>4,332</x:v>
      </x:c>
      <x:c r="O1313" s="71" t="str">
        <x:v>文件未載明</x:v>
      </x:c>
      <x:c r="P1313" s="71" t="str">
        <x:v>HTML table 2 row 4</x:v>
      </x:c>
      <x:c r="Q1313" s="71" t="str">
        <x:v>8 | W110*H92cm | 2 | 片 | 2,166 | 4,332</x:v>
      </x:c>
      <x:c r="R1313" s="71" t="str">
        <x:v>各廠商合約&amp; 報價\MD檔案\20260520 7F辦公室.md</x:v>
      </x:c>
    </x:row>
    <x:row r="1314">
      <x:c r="A1314" s="69" t="str">
        <x:v>ITEM01310</x:v>
      </x:c>
      <x:c r="B1314" s="69" t="str">
        <x:v>SRC078</x:v>
      </x:c>
      <x:c r="C1314" s="69" t="str">
        <x:v>2025-2026</x:v>
      </x:c>
      <x:c r="D1314" s="69" t="str">
        <x:v>detail</x:v>
      </x:c>
      <x:c r="E1314" s="69" t="str">
        <x:v>文件未載明</x:v>
      </x:c>
      <x:c r="F1314" s="71" t="str">
        <x:v>25mm 系統板 #BK2-322 平面布紋 (桌板左上、右上各挖一圓孔)</x:v>
      </x:c>
      <x:c r="G1314" s="71" t="str">
        <x:v>文件未載明</x:v>
      </x:c>
      <x:c r="H1314" s="71" t="str">
        <x:v>文件未載明</x:v>
      </x:c>
      <x:c r="I1314" s="72"/>
      <x:c r="J1314" s="69" t="str">
        <x:v>文件未載明</x:v>
      </x:c>
      <x:c r="K1314" s="70"/>
      <x:c r="L1314" s="69" t="str">
        <x:v>文件未載明</x:v>
      </x:c>
      <x:c r="M1314" s="70"/>
      <x:c r="N1314" s="69" t="str">
        <x:v>文件未載明</x:v>
      </x:c>
      <x:c r="O1314" s="71" t="str">
        <x:v>文件未載明</x:v>
      </x:c>
      <x:c r="P1314" s="71" t="str">
        <x:v>HTML table 2 row 5</x:v>
      </x:c>
      <x:c r="Q1314" s="71" t="str">
        <x:v>25mm 系統板 #BK2-322 平面布紋 (桌板左上、右上各挖一圓孔) |</x:v>
      </x:c>
      <x:c r="R1314" s="71" t="str">
        <x:v>各廠商合約&amp; 報價\MD檔案\20260520 7F辦公室.md</x:v>
      </x:c>
    </x:row>
    <x:row r="1315">
      <x:c r="A1315" s="69" t="str">
        <x:v>ITEM01311</x:v>
      </x:c>
      <x:c r="B1315" s="69" t="str">
        <x:v>SRC078</x:v>
      </x:c>
      <x:c r="C1315" s="69" t="str">
        <x:v>2025-2026</x:v>
      </x:c>
      <x:c r="D1315" s="69" t="str">
        <x:v>detail</x:v>
      </x:c>
      <x:c r="E1315" s="69" t="str">
        <x:v>9</x:v>
      </x:c>
      <x:c r="F1315" s="71" t="str">
        <x:v>尺寸: W110*D60cm (桌板左上、右上各挖一圓孔)</x:v>
      </x:c>
      <x:c r="G1315" s="71" t="str">
        <x:v>文件未載明</x:v>
      </x:c>
      <x:c r="H1315" s="71" t="str">
        <x:v>文件未載明</x:v>
      </x:c>
      <x:c r="I1315" s="72"/>
      <x:c r="J1315" s="69" t="str">
        <x:v>片</x:v>
      </x:c>
      <x:c r="K1315" s="70" t="n">
        <x:v>1625</x:v>
      </x:c>
      <x:c r="L1315" s="69" t="str">
        <x:v>1,625</x:v>
      </x:c>
      <x:c r="M1315" s="70" t="n">
        <x:v>6500</x:v>
      </x:c>
      <x:c r="N1315" s="69" t="str">
        <x:v>6,500</x:v>
      </x:c>
      <x:c r="O1315" s="71" t="str">
        <x:v>文件未載明</x:v>
      </x:c>
      <x:c r="P1315" s="71" t="str">
        <x:v>HTML table 2 row 6</x:v>
      </x:c>
      <x:c r="Q1315" s="71" t="str">
        <x:v>9 | 尺寸: W110*D60cm (桌板左上、右上各挖一圓孔) | 4 | 片 | 1,625 | 6,500</x:v>
      </x:c>
      <x:c r="R1315" s="71" t="str">
        <x:v>各廠商合約&amp; 報價\MD檔案\20260520 7F辦公室.md</x:v>
      </x:c>
    </x:row>
    <x:row r="1316">
      <x:c r="A1316" s="69" t="str">
        <x:v>ITEM01312</x:v>
      </x:c>
      <x:c r="B1316" s="69" t="str">
        <x:v>SRC078</x:v>
      </x:c>
      <x:c r="C1316" s="69" t="str">
        <x:v>2025-2026</x:v>
      </x:c>
      <x:c r="D1316" s="69" t="str">
        <x:v>detail</x:v>
      </x:c>
      <x:c r="E1316" s="69" t="str">
        <x:v>文件未載明</x:v>
      </x:c>
      <x:c r="F1316" s="71" t="str">
        <x:v>2.5屏風 | 配件</x:v>
      </x:c>
      <x:c r="G1316" s="71" t="str">
        <x:v>文件未載明</x:v>
      </x:c>
      <x:c r="H1316" s="71" t="str">
        <x:v>文件未載明</x:v>
      </x:c>
      <x:c r="I1316" s="72"/>
      <x:c r="J1316" s="69" t="str">
        <x:v>文件未載明</x:v>
      </x:c>
      <x:c r="K1316" s="70"/>
      <x:c r="L1316" s="69" t="str">
        <x:v>文件未載明</x:v>
      </x:c>
      <x:c r="M1316" s="70"/>
      <x:c r="N1316" s="69" t="str">
        <x:v>文件未載明</x:v>
      </x:c>
      <x:c r="O1316" s="71" t="str">
        <x:v>文件未載明</x:v>
      </x:c>
      <x:c r="P1316" s="71" t="str">
        <x:v>HTML table 2 row 7</x:v>
      </x:c>
      <x:c r="Q1316" s="71" t="str">
        <x:v>2.5屏風 | 配件 |</x:v>
      </x:c>
      <x:c r="R1316" s="71" t="str">
        <x:v>各廠商合約&amp; 報價\MD檔案\20260520 7F辦公室.md</x:v>
      </x:c>
    </x:row>
    <x:row r="1317">
      <x:c r="A1317" s="69" t="str">
        <x:v>ITEM01313</x:v>
      </x:c>
      <x:c r="B1317" s="69" t="str">
        <x:v>SRC078</x:v>
      </x:c>
      <x:c r="C1317" s="69" t="str">
        <x:v>2025-2026</x:v>
      </x:c>
      <x:c r="D1317" s="69" t="str">
        <x:v>detail</x:v>
      </x:c>
      <x:c r="E1317" s="69" t="str">
        <x:v>10</x:v>
      </x:c>
      <x:c r="F1317" s="71" t="str">
        <x:v>W110cm 桌下走線槽 (深灰,共4標座面板)</x:v>
      </x:c>
      <x:c r="G1317" s="71" t="str">
        <x:v>文件未載明</x:v>
      </x:c>
      <x:c r="H1317" s="71" t="str">
        <x:v>文件未載明</x:v>
      </x:c>
      <x:c r="I1317" s="72"/>
      <x:c r="J1317" s="69" t="str">
        <x:v>個</x:v>
      </x:c>
      <x:c r="K1317" s="70" t="n">
        <x:v>413</x:v>
      </x:c>
      <x:c r="L1317" s="69" t="str">
        <x:v>413</x:v>
      </x:c>
      <x:c r="M1317" s="70" t="n">
        <x:v>1652</x:v>
      </x:c>
      <x:c r="N1317" s="69" t="str">
        <x:v>1,652</x:v>
      </x:c>
      <x:c r="O1317" s="71" t="str">
        <x:v>文件未載明</x:v>
      </x:c>
      <x:c r="P1317" s="71" t="str">
        <x:v>HTML table 2 row 8</x:v>
      </x:c>
      <x:c r="Q1317" s="71" t="str">
        <x:v>10 | W110cm 桌下走線槽 (深灰,共4標座面板) | 4 | 個 | 413 | 1,652</x:v>
      </x:c>
      <x:c r="R1317" s="71" t="str">
        <x:v>各廠商合約&amp; 報價\MD檔案\20260520 7F辦公室.md</x:v>
      </x:c>
    </x:row>
    <x:row r="1318">
      <x:c r="A1318" s="69" t="str">
        <x:v>ITEM01314</x:v>
      </x:c>
      <x:c r="B1318" s="69" t="str">
        <x:v>SRC078</x:v>
      </x:c>
      <x:c r="C1318" s="69" t="str">
        <x:v>2025-2026</x:v>
      </x:c>
      <x:c r="D1318" s="69" t="str">
        <x:v>detail</x:v>
      </x:c>
      <x:c r="E1318" s="69" t="str">
        <x:v>11</x:v>
      </x:c>
      <x:c r="F1318" s="71" t="str">
        <x:v>圓孔臺 (白)</x:v>
      </x:c>
      <x:c r="G1318" s="71" t="str">
        <x:v>文件未載明</x:v>
      </x:c>
      <x:c r="H1318" s="71" t="str">
        <x:v>文件未載明</x:v>
      </x:c>
      <x:c r="I1318" s="72"/>
      <x:c r="J1318" s="69" t="str">
        <x:v>個</x:v>
      </x:c>
      <x:c r="K1318" s="70" t="n">
        <x:v>19</x:v>
      </x:c>
      <x:c r="L1318" s="69" t="str">
        <x:v>19</x:v>
      </x:c>
      <x:c r="M1318" s="70" t="n">
        <x:v>152</x:v>
      </x:c>
      <x:c r="N1318" s="69" t="str">
        <x:v>152</x:v>
      </x:c>
      <x:c r="O1318" s="71" t="str">
        <x:v>文件未載明</x:v>
      </x:c>
      <x:c r="P1318" s="71" t="str">
        <x:v>HTML table 2 row 9</x:v>
      </x:c>
      <x:c r="Q1318" s="71" t="str">
        <x:v>11 | 圓孔臺 (白) | 8 | 個 | 19 | 152</x:v>
      </x:c>
      <x:c r="R1318" s="71" t="str">
        <x:v>各廠商合約&amp; 報價\MD檔案\20260520 7F辦公室.md</x:v>
      </x:c>
    </x:row>
    <x:row r="1319">
      <x:c r="A1319" s="69" t="str">
        <x:v>ITEM01315</x:v>
      </x:c>
      <x:c r="B1319" s="69" t="str">
        <x:v>SRC078</x:v>
      </x:c>
      <x:c r="C1319" s="69" t="str">
        <x:v>2025-2026</x:v>
      </x:c>
      <x:c r="D1319" s="69" t="str">
        <x:v>detail</x:v>
      </x:c>
      <x:c r="E1319" s="69" t="str">
        <x:v>12</x:v>
      </x:c>
      <x:c r="F1319" s="71" t="str">
        <x:v>Koala™ 人體工學椅無頭枕、強力網背、1D升降扶手、強力網座STG分離傾仰底盤、氣壓升降、尼龍椅腳、PU椅輪椅背: BMF-07 銀河灰椅墊: BMF-07 銀河灰</x:v>
      </x:c>
      <x:c r="G1319" s="71" t="str">
        <x:v>文件未載明</x:v>
      </x:c>
      <x:c r="H1319" s="71" t="str">
        <x:v>文件未載明</x:v>
      </x:c>
      <x:c r="I1319" s="72" t="n">
        <x:v>4</x:v>
      </x:c>
      <x:c r="J1319" s="69" t="str">
        <x:v>4</x:v>
      </x:c>
      <x:c r="K1319" s="70"/>
      <x:c r="L1319" s="69" t="str">
        <x:v>張</x:v>
      </x:c>
      <x:c r="M1319" s="70" t="n">
        <x:v>4723</x:v>
      </x:c>
      <x:c r="N1319" s="69" t="str">
        <x:v>4,723</x:v>
      </x:c>
      <x:c r="O1319" s="71" t="str">
        <x:v>文件未載明</x:v>
      </x:c>
      <x:c r="P1319" s="71" t="str">
        <x:v>HTML table 2 row 10</x:v>
      </x:c>
      <x:c r="Q1319" s="71" t="str">
        <x:v>12 | Koala™ 人體工學椅無頭枕、強力網背、1D升降扶手、強力網座STG分離傾仰底盤、氣壓升降、尼龍椅腳、PU椅輪椅背: BMF-07 銀河灰椅墊: BMF-07 銀河灰 | 圖片僅供示意,以報價文字敘述為準 | 4 | 張 | 4,723 | 18,892</x:v>
      </x:c>
      <x:c r="R1319" s="71" t="str">
        <x:v>各廠商合約&amp; 報價\MD檔案\20260520 7F辦公室.md</x:v>
      </x:c>
    </x:row>
    <x:row r="1320">
      <x:c r="A1320" s="69" t="str">
        <x:v>ITEM01316</x:v>
      </x:c>
      <x:c r="B1320" s="69" t="str">
        <x:v>SRC078</x:v>
      </x:c>
      <x:c r="C1320" s="69" t="str">
        <x:v>2025-2026</x:v>
      </x:c>
      <x:c r="D1320" s="69" t="str">
        <x:v>summary</x:v>
      </x:c>
      <x:c r="E1320" s="69" t="str">
        <x:v>13</x:v>
      </x:c>
      <x:c r="F1320" s="71" t="str">
        <x:v>運費+組裝 (苗栗地區專車費用)計次車題數,會根據下單商品總計之數量調整變動</x:v>
      </x:c>
      <x:c r="G1320" s="71" t="str">
        <x:v>文件未載明</x:v>
      </x:c>
      <x:c r="H1320" s="71" t="str">
        <x:v>文件未載明</x:v>
      </x:c>
      <x:c r="I1320" s="72" t="n">
        <x:v>1</x:v>
      </x:c>
      <x:c r="J1320" s="69" t="str">
        <x:v>1</x:v>
      </x:c>
      <x:c r="K1320" s="70"/>
      <x:c r="L1320" s="69" t="str">
        <x:v>趟</x:v>
      </x:c>
      <x:c r="M1320" s="70" t="n">
        <x:v>3500</x:v>
      </x:c>
      <x:c r="N1320" s="69" t="str">
        <x:v>3,500</x:v>
      </x:c>
      <x:c r="O1320" s="71" t="str">
        <x:v>文件未載明</x:v>
      </x:c>
      <x:c r="P1320" s="71" t="str">
        <x:v>HTML table 2 row 11</x:v>
      </x:c>
      <x:c r="Q1320" s="71" t="str">
        <x:v>13 | 運費+組裝 (苗栗地區專車費用)計次車題數,會根據下單商品總計之數量調整變動 | | 1 | 趟 | 3,500 | 3,500</x:v>
      </x:c>
      <x:c r="R1320" s="71" t="str">
        <x:v>各廠商合約&amp; 報價\MD檔案\20260520 7F辦公室.md</x:v>
      </x:c>
    </x:row>
    <x:row r="1321">
      <x:c r="A1321" s="69" t="str">
        <x:v>ITEM01317</x:v>
      </x:c>
      <x:c r="B1321" s="69" t="str">
        <x:v>SRC078</x:v>
      </x:c>
      <x:c r="C1321" s="69" t="str">
        <x:v>2025-2026</x:v>
      </x:c>
      <x:c r="D1321" s="69" t="str">
        <x:v>detail</x:v>
      </x:c>
      <x:c r="E1321" s="69" t="str">
        <x:v>文件未載明</x:v>
      </x:c>
      <x:c r="F1321" s="71" t="str">
        <x:v>不含水電、走線、樓屬搬運</x:v>
      </x:c>
      <x:c r="G1321" s="71" t="str">
        <x:v>文件未載明</x:v>
      </x:c>
      <x:c r="H1321" s="71" t="str">
        <x:v>文件未載明</x:v>
      </x:c>
      <x:c r="I1321" s="72"/>
      <x:c r="J1321" s="69" t="str">
        <x:v>文件未載明</x:v>
      </x:c>
      <x:c r="K1321" s="70"/>
      <x:c r="L1321" s="69" t="str">
        <x:v>文件未載明</x:v>
      </x:c>
      <x:c r="M1321" s="70"/>
      <x:c r="N1321" s="69" t="str">
        <x:v>文件未載明</x:v>
      </x:c>
      <x:c r="O1321" s="71" t="str">
        <x:v>文件未載明</x:v>
      </x:c>
      <x:c r="P1321" s="71" t="str">
        <x:v>HTML table 2 row 12</x:v>
      </x:c>
      <x:c r="Q1321" s="71" t="str">
        <x:v>| 不含水電、走線、樓屬搬運 |</x:v>
      </x:c>
      <x:c r="R1321" s="71" t="str">
        <x:v>各廠商合約&amp; 報價\MD檔案\20260520 7F辦公室.md</x:v>
      </x:c>
    </x:row>
    <x:row r="1322">
      <x:c r="A1322" s="69" t="str">
        <x:v>ITEM01318</x:v>
      </x:c>
      <x:c r="B1322" s="69" t="str">
        <x:v>SRC078</x:v>
      </x:c>
      <x:c r="C1322" s="69" t="str">
        <x:v>2025-2026</x:v>
      </x:c>
      <x:c r="D1322" s="69" t="str">
        <x:v>summary</x:v>
      </x:c>
      <x:c r="E1322" s="69" t="str">
        <x:v>文件未載明</x:v>
      </x:c>
      <x:c r="F1322" s="71" t="str">
        <x:v>合計</x:v>
      </x:c>
      <x:c r="G1322" s="71" t="str">
        <x:v>文件未載明</x:v>
      </x:c>
      <x:c r="H1322" s="71" t="str">
        <x:v>文件未載明</x:v>
      </x:c>
      <x:c r="I1322" s="72"/>
      <x:c r="J1322" s="69" t="str">
        <x:v>文件未載明</x:v>
      </x:c>
      <x:c r="K1322" s="70"/>
      <x:c r="L1322" s="69" t="str">
        <x:v>文件未載明</x:v>
      </x:c>
      <x:c r="M1322" s="70"/>
      <x:c r="N1322" s="69" t="str">
        <x:v>文件未載明</x:v>
      </x:c>
      <x:c r="O1322" s="71" t="str">
        <x:v>文件未載明</x:v>
      </x:c>
      <x:c r="P1322" s="71" t="str">
        <x:v>HTML table 2 row 13</x:v>
      </x:c>
      <x:c r="Q1322" s="71" t="str">
        <x:v>| 合計 | 151,760</x:v>
      </x:c>
      <x:c r="R1322" s="71" t="str">
        <x:v>各廠商合約&amp; 報價\MD檔案\20260520 7F辦公室.md</x:v>
      </x:c>
    </x:row>
    <x:row r="1323">
      <x:c r="A1323" s="69" t="str">
        <x:v>ITEM01319</x:v>
      </x:c>
      <x:c r="B1323" s="69" t="str">
        <x:v>SRC078</x:v>
      </x:c>
      <x:c r="C1323" s="69" t="str">
        <x:v>2025-2026</x:v>
      </x:c>
      <x:c r="D1323" s="69" t="str">
        <x:v>summary</x:v>
      </x:c>
      <x:c r="E1323" s="69" t="str">
        <x:v>文件未載明</x:v>
      </x:c>
      <x:c r="F1323" s="71" t="str">
        <x:v>營業稅(5%)</x:v>
      </x:c>
      <x:c r="G1323" s="71" t="str">
        <x:v>文件未載明</x:v>
      </x:c>
      <x:c r="H1323" s="71" t="str">
        <x:v>文件未載明</x:v>
      </x:c>
      <x:c r="I1323" s="72"/>
      <x:c r="J1323" s="69" t="str">
        <x:v>文件未載明</x:v>
      </x:c>
      <x:c r="K1323" s="70"/>
      <x:c r="L1323" s="69" t="str">
        <x:v>文件未載明</x:v>
      </x:c>
      <x:c r="M1323" s="70"/>
      <x:c r="N1323" s="69" t="str">
        <x:v>文件未載明</x:v>
      </x:c>
      <x:c r="O1323" s="71" t="str">
        <x:v>文件未載明</x:v>
      </x:c>
      <x:c r="P1323" s="71" t="str">
        <x:v>HTML table 2 row 14</x:v>
      </x:c>
      <x:c r="Q1323" s="71" t="str">
        <x:v>營業稅(5%) | 7,588</x:v>
      </x:c>
      <x:c r="R1323" s="71" t="str">
        <x:v>各廠商合約&amp; 報價\MD檔案\20260520 7F辦公室.md</x:v>
      </x:c>
    </x:row>
    <x:row r="1324">
      <x:c r="A1324" s="69" t="str">
        <x:v>ITEM01320</x:v>
      </x:c>
      <x:c r="B1324" s="69" t="str">
        <x:v>SRC078</x:v>
      </x:c>
      <x:c r="C1324" s="69" t="str">
        <x:v>2025-2026</x:v>
      </x:c>
      <x:c r="D1324" s="69" t="str">
        <x:v>summary</x:v>
      </x:c>
      <x:c r="E1324" s="69" t="str">
        <x:v>文件未載明</x:v>
      </x:c>
      <x:c r="F1324" s="71" t="str">
        <x:v>總計</x:v>
      </x:c>
      <x:c r="G1324" s="71" t="str">
        <x:v>文件未載明</x:v>
      </x:c>
      <x:c r="H1324" s="71" t="str">
        <x:v>文件未載明</x:v>
      </x:c>
      <x:c r="I1324" s="72"/>
      <x:c r="J1324" s="69" t="str">
        <x:v>文件未載明</x:v>
      </x:c>
      <x:c r="K1324" s="70"/>
      <x:c r="L1324" s="69" t="str">
        <x:v>文件未載明</x:v>
      </x:c>
      <x:c r="M1324" s="70"/>
      <x:c r="N1324" s="69" t="str">
        <x:v>文件未載明</x:v>
      </x:c>
      <x:c r="O1324" s="71" t="str">
        <x:v>文件未載明</x:v>
      </x:c>
      <x:c r="P1324" s="71" t="str">
        <x:v>HTML table 2 row 15</x:v>
      </x:c>
      <x:c r="Q1324" s="71" t="str">
        <x:v>總計 | 159,348</x:v>
      </x:c>
      <x:c r="R1324" s="71" t="str">
        <x:v>各廠商合約&amp; 報價\MD檔案\20260520 7F辦公室.md</x:v>
      </x:c>
    </x:row>
    <x:row r="1325">
      <x:c r="A1325" s="69" t="str">
        <x:v>ITEM01321</x:v>
      </x:c>
      <x:c r="B1325" s="69" t="str">
        <x:v>SRC078</x:v>
      </x:c>
      <x:c r="C1325" s="69" t="str">
        <x:v>2025-2026</x:v>
      </x:c>
      <x:c r="D1325" s="69" t="str">
        <x:v>summary</x:v>
      </x:c>
      <x:c r="E1325" s="69" t="str">
        <x:v>文件未載明</x:v>
      </x:c>
      <x:c r="F1325" s="71" t="str">
        <x:v>以上價格為企業採購專案優惠價,優惠總價 $159,000(含税)</x:v>
      </x:c>
      <x:c r="G1325" s="71" t="str">
        <x:v>文件未載明</x:v>
      </x:c>
      <x:c r="H1325" s="71" t="str">
        <x:v>文件未載明</x:v>
      </x:c>
      <x:c r="I1325" s="72"/>
      <x:c r="J1325" s="69" t="str">
        <x:v>文件未載明</x:v>
      </x:c>
      <x:c r="K1325" s="70"/>
      <x:c r="L1325" s="69" t="str">
        <x:v>文件未載明</x:v>
      </x:c>
      <x:c r="M1325" s="70"/>
      <x:c r="N1325" s="69" t="str">
        <x:v>文件未載明</x:v>
      </x:c>
      <x:c r="O1325" s="71" t="str">
        <x:v>文件未載明</x:v>
      </x:c>
      <x:c r="P1325" s="71" t="str">
        <x:v>HTML table 2 row 16</x:v>
      </x:c>
      <x:c r="Q1325" s="71" t="str">
        <x:v>以上價格為企業採購專案優惠價,優惠總價 $159,000(含税)</x:v>
      </x:c>
      <x:c r="R1325" s="71" t="str">
        <x:v>各廠商合約&amp; 報價\MD檔案\20260520 7F辦公室.md</x:v>
      </x:c>
    </x:row>
    <x:row r="1326">
      <x:c r="A1326" s="69" t="str">
        <x:v>ITEM01322</x:v>
      </x:c>
      <x:c r="B1326" s="69" t="str">
        <x:v>SRC078</x:v>
      </x:c>
      <x:c r="C1326" s="69" t="str">
        <x:v>2025-2026</x:v>
      </x:c>
      <x:c r="D1326" s="69" t="str">
        <x:v>detail</x:v>
      </x:c>
      <x:c r="E1326" s="69" t="str">
        <x:v>文件未載明</x:v>
      </x:c>
      <x:c r="F1326" s="71" t="str">
        <x:v>請詳細閱讀訂購無知,若參閱完畢請在右側欄位簽名1.確定訂購,請提供現場平面圖、交貨地及聯絡人並請回查此單。2.桌款交期為下訂後十八個工作日內,椅款交期為下訂後八個工作日內,若有特需交期需求請於下訂前告知。3.全品須留為餐製品,需全額付清始為下訂,若有特殊調款需求請於訂購前告知。4.以上尺寸為參考尺寸,下訂前請先確認是否…（詳原文索引）</x:v>
      </x:c>
      <x:c r="G1326" s="71" t="str">
        <x:v>文件未載明</x:v>
      </x:c>
      <x:c r="H1326" s="71" t="str">
        <x:v>文件未載明</x:v>
      </x:c>
      <x:c r="I1326" s="72"/>
      <x:c r="J1326" s="69" t="str">
        <x:v>文件未載明</x:v>
      </x:c>
      <x:c r="K1326" s="70"/>
      <x:c r="L1326" s="69" t="str">
        <x:v>文件未載明</x:v>
      </x:c>
      <x:c r="M1326" s="70"/>
      <x:c r="N1326" s="69" t="str">
        <x:v>文件未載明</x:v>
      </x:c>
      <x:c r="O1326" s="71" t="str">
        <x:v>文件未載明</x:v>
      </x:c>
      <x:c r="P1326" s="71" t="str">
        <x:v>HTML table 2 row 17</x:v>
      </x:c>
      <x:c r="Q1326" s="71" t="str">
        <x:v>請詳細閱讀訂購無知,若參閱完畢請在右側欄位簽名1.確定訂購,請提供現場平面圖、交貨地及聯絡人並請回查此單。2.桌款交期為下訂後十八個工作日內,椅款交期為下訂後八個工作日內,若有特需交期需求請於下訂前告知。3.全品須留為餐製品,需全額付清始為下訂,若有特殊調款需求請於訂購前告知。4.以上尺寸為參考尺寸,下訂前請先確認是否為需求尺寸。5.收貨地貨車限高或需申請貨車維持、貨機等程序請提前告知。6.以上賬價不含搬運費用,若交貨地照電梯/貨梯,搬運費用另計,若有搬運需求請於訂購前告知。7.遞送、組裝為平日(四一至週五)上班時間,若需晚上/假日運送、組裝、費用另計,有特殊謙送、組裝時程訴於訂購前告知。 |…（詳原文索引）</x:v>
      </x:c>
      <x:c r="R1326" s="71" t="str">
        <x:v>各廠商合約&amp; 報價\MD檔案\20260520 7F辦公室.md</x:v>
      </x:c>
    </x:row>
    <x:row r="1327">
      <x:c r="A1327" s="69" t="str">
        <x:v>ITEM01323</x:v>
      </x:c>
      <x:c r="B1327" s="69" t="str">
        <x:v>SRC078</x:v>
      </x:c>
      <x:c r="C1327" s="69" t="str">
        <x:v>2025-2026</x:v>
      </x:c>
      <x:c r="D1327" s="69" t="str">
        <x:v>note</x:v>
      </x:c>
      <x:c r="E1327" s="69" t="str">
        <x:v>文件未載明</x:v>
      </x:c>
      <x:c r="F1327" s="71" t="str">
        <x:v>付款資訊班期實樂有限公司 24755793玉山銀行東門分行銀行代碼:808帳戶:1193-940-012970傳真:02-2321-8882</x:v>
      </x:c>
      <x:c r="G1327" s="71" t="str">
        <x:v>文件未載明</x:v>
      </x:c>
      <x:c r="H1327" s="71" t="str">
        <x:v>文件未載明</x:v>
      </x:c>
      <x:c r="I1327" s="72"/>
      <x:c r="J1327" s="69" t="str">
        <x:v>文件未載明</x:v>
      </x:c>
      <x:c r="K1327" s="70"/>
      <x:c r="L1327" s="69" t="str">
        <x:v>文件未載明</x:v>
      </x:c>
      <x:c r="M1327" s="70"/>
      <x:c r="N1327" s="69" t="str">
        <x:v>文件未載明</x:v>
      </x:c>
      <x:c r="O1327" s="71" t="str">
        <x:v>文件未載明</x:v>
      </x:c>
      <x:c r="P1327" s="71" t="str">
        <x:v>HTML table 2 row 18</x:v>
      </x:c>
      <x:c r="Q1327" s="71" t="str">
        <x:v>付款資訊班期實樂有限公司 24755793玉山銀行東門分行銀行代碼:808帳戶:1193-940-012970傳真:02-2321-8882</x:v>
      </x:c>
      <x:c r="R1327" s="71" t="str">
        <x:v>各廠商合約&amp; 報價\MD檔案\20260520 7F辦公室.md</x:v>
      </x:c>
    </x:row>
    <x:row r="1328">
      <x:c r="A1328" s="69" t="str">
        <x:v>ITEM01324</x:v>
      </x:c>
      <x:c r="B1328" s="69" t="str">
        <x:v>SRC078</x:v>
      </x:c>
      <x:c r="C1328" s="69" t="str">
        <x:v>2025-2026</x:v>
      </x:c>
      <x:c r="D1328" s="69" t="str">
        <x:v>note</x:v>
      </x:c>
      <x:c r="E1328" s="69" t="str">
        <x:v>文件未載明</x:v>
      </x:c>
      <x:c r="F1328" s="71" t="str">
        <x:v>報價單有效日期: 2026/6/3</x:v>
      </x:c>
      <x:c r="G1328" s="71" t="str">
        <x:v>文件未載明</x:v>
      </x:c>
      <x:c r="H1328" s="71" t="str">
        <x:v>文件未載明</x:v>
      </x:c>
      <x:c r="I1328" s="72"/>
      <x:c r="J1328" s="69" t="str">
        <x:v>文件未載明</x:v>
      </x:c>
      <x:c r="K1328" s="70"/>
      <x:c r="L1328" s="69" t="str">
        <x:v>文件未載明</x:v>
      </x:c>
      <x:c r="M1328" s="70"/>
      <x:c r="N1328" s="69" t="str">
        <x:v>文件未載明</x:v>
      </x:c>
      <x:c r="O1328" s="71" t="str">
        <x:v>文件未載明</x:v>
      </x:c>
      <x:c r="P1328" s="71" t="str">
        <x:v>HTML table 2 row 19</x:v>
      </x:c>
      <x:c r="Q1328" s="71" t="str">
        <x:v>報價單有效日期: 2026/6/3 | 製單人:簡子玲 2026/5/19</x:v>
      </x:c>
      <x:c r="R1328" s="71" t="str">
        <x:v>各廠商合約&amp; 報價\MD檔案\20260520 7F辦公室.md</x:v>
      </x:c>
    </x:row>
    <x:row r="1329">
      <x:c r="A1329" s="69" t="str">
        <x:v>ITEM01325</x:v>
      </x:c>
      <x:c r="B1329" s="69" t="str">
        <x:v>SRC079</x:v>
      </x:c>
      <x:c r="C1329" s="69" t="str">
        <x:v>2025-2026</x:v>
      </x:c>
      <x:c r="D1329" s="69" t="str">
        <x:v>header</x:v>
      </x:c>
      <x:c r="E1329" s="69" t="str">
        <x:v>文件未載明</x:v>
      </x:c>
      <x:c r="F1329" s="71" t="str">
        <x:v>規格</x:v>
      </x:c>
      <x:c r="G1329" s="71" t="str">
        <x:v>規格</x:v>
      </x:c>
      <x:c r="H1329" s="71" t="str">
        <x:v>單位</x:v>
      </x:c>
      <x:c r="I1329" s="72"/>
      <x:c r="J1329" s="69" t="str">
        <x:v>數量</x:v>
      </x:c>
      <x:c r="K1329" s="70"/>
      <x:c r="L1329" s="69" t="str">
        <x:v>單價</x:v>
      </x:c>
      <x:c r="M1329" s="70"/>
      <x:c r="N1329" s="69" t="str">
        <x:v>總價</x:v>
      </x:c>
      <x:c r="O1329" s="71" t="str">
        <x:v>備註</x:v>
      </x:c>
      <x:c r="P1329" s="71" t="str">
        <x:v>HTML table 1 row 1</x:v>
      </x:c>
      <x:c r="Q1329" s="71" t="str">
        <x:v>規格 | 尺寸 | 單位 | 數量 | 單價 | 總價 | 備註</x:v>
      </x:c>
      <x:c r="R1329" s="71" t="str">
        <x:v>各廠商合約&amp; 報價\MD檔案\20260603 三發圍籬網 加運費.md</x:v>
      </x:c>
    </x:row>
    <x:row r="1330">
      <x:c r="A1330" s="69" t="str">
        <x:v>ITEM01326</x:v>
      </x:c>
      <x:c r="B1330" s="69" t="str">
        <x:v>SRC079</x:v>
      </x:c>
      <x:c r="C1330" s="69" t="str">
        <x:v>2025-2026</x:v>
      </x:c>
      <x:c r="D1330" s="69" t="str">
        <x:v>detail</x:v>
      </x:c>
      <x:c r="E1330" s="69" t="str">
        <x:v>文件未載明</x:v>
      </x:c>
      <x:c r="F1330" s="71" t="str">
        <x:v>5mm*50*150mm鍍鋅鋼網</x:v>
      </x:c>
      <x:c r="G1330" s="71" t="str">
        <x:v>5mm*50*150mm鍍鋅鋼網</x:v>
      </x:c>
      <x:c r="H1330" s="71" t="str">
        <x:v>片</x:v>
      </x:c>
      <x:c r="I1330" s="72" t="n">
        <x:v>7</x:v>
      </x:c>
      <x:c r="J1330" s="69" t="str">
        <x:v>7.0</x:v>
      </x:c>
      <x:c r="K1330" s="70" t="n">
        <x:v>2950</x:v>
      </x:c>
      <x:c r="L1330" s="69" t="str">
        <x:v>2,950</x:v>
      </x:c>
      <x:c r="M1330" s="70" t="n">
        <x:v>20650</x:v>
      </x:c>
      <x:c r="N1330" s="69" t="str">
        <x:v>20,650</x:v>
      </x:c>
      <x:c r="O1330" s="71" t="str">
        <x:v>←上下卷圓</x:v>
      </x:c>
      <x:c r="P1330" s="71" t="str">
        <x:v>HTML table 1 row 2</x:v>
      </x:c>
      <x:c r="Q1330" s="71" t="str">
        <x:v>5mm*50*150mm鍍鋅鋼網 | H=1550*W1900mm | 片 | 7.0 | 2,950 | 20,650 | ←上下卷圓</x:v>
      </x:c>
      <x:c r="R1330" s="71" t="str">
        <x:v>各廠商合約&amp; 報價\MD檔案\20260603 三發圍籬網 加運費.md</x:v>
      </x:c>
    </x:row>
    <x:row r="1331">
      <x:c r="A1331" s="69" t="str">
        <x:v>ITEM01327</x:v>
      </x:c>
      <x:c r="B1331" s="69" t="str">
        <x:v>SRC079</x:v>
      </x:c>
      <x:c r="C1331" s="69" t="str">
        <x:v>2025-2026</x:v>
      </x:c>
      <x:c r="D1331" s="69" t="str">
        <x:v>detail</x:v>
      </x:c>
      <x:c r="E1331" s="69" t="str">
        <x:v>文件未載明</x:v>
      </x:c>
      <x:c r="F1331" s="71" t="str">
        <x:v>2"(60mm)*2.0mm鍍鋅鋼管</x:v>
      </x:c>
      <x:c r="G1331" s="71" t="str">
        <x:v>2"(60mm)*2.0mm鍍鋅鋼管</x:v>
      </x:c>
      <x:c r="H1331" s="71" t="str">
        <x:v>支</x:v>
      </x:c>
      <x:c r="I1331" s="72" t="n">
        <x:v>9</x:v>
      </x:c>
      <x:c r="J1331" s="69" t="str">
        <x:v>9.0</x:v>
      </x:c>
      <x:c r="K1331" s="70" t="n">
        <x:v>1100</x:v>
      </x:c>
      <x:c r="L1331" s="69" t="str">
        <x:v>1,100</x:v>
      </x:c>
      <x:c r="M1331" s="70" t="n">
        <x:v>9900</x:v>
      </x:c>
      <x:c r="N1331" s="69" t="str">
        <x:v>9,900</x:v>
      </x:c>
      <x:c r="O1331" s="71" t="str">
        <x:v>←含沖孔焊上蓋含粉體烤漆材料價</x:v>
      </x:c>
      <x:c r="P1331" s="71" t="str">
        <x:v>HTML table 1 row 3</x:v>
      </x:c>
      <x:c r="Q1331" s="71" t="str">
        <x:v>2"(60mm)*2.0mm鍍鋅鋼管 | L=1650mm-圓底板 | 支 | 9.0 | 1,100 | 9,900 | ←含沖孔焊上蓋含粉體烤漆材料價</x:v>
      </x:c>
      <x:c r="R1331" s="71" t="str">
        <x:v>各廠商合約&amp; 報價\MD檔案\20260603 三發圍籬網 加運費.md</x:v>
      </x:c>
    </x:row>
    <x:row r="1332">
      <x:c r="A1332" s="69" t="str">
        <x:v>ITEM01328</x:v>
      </x:c>
      <x:c r="B1332" s="69" t="str">
        <x:v>SRC079</x:v>
      </x:c>
      <x:c r="C1332" s="69" t="str">
        <x:v>2025-2026</x:v>
      </x:c>
      <x:c r="D1332" s="69" t="str">
        <x:v>detail</x:v>
      </x:c>
      <x:c r="E1332" s="69" t="str">
        <x:v>文件未載明</x:v>
      </x:c>
      <x:c r="F1332" s="71" t="str">
        <x:v>配件A(4PCS/組)</x:v>
      </x:c>
      <x:c r="G1332" s="71" t="str">
        <x:v>配件A(4PCS/組)</x:v>
      </x:c>
      <x:c r="H1332" s="71" t="str">
        <x:v>組</x:v>
      </x:c>
      <x:c r="I1332" s="72" t="n">
        <x:v>7</x:v>
      </x:c>
      <x:c r="J1332" s="69" t="str">
        <x:v>7.0</x:v>
      </x:c>
      <x:c r="K1332" s="70" t="n">
        <x:v>240</x:v>
      </x:c>
      <x:c r="L1332" s="69" t="str">
        <x:v>240</x:v>
      </x:c>
      <x:c r="M1332" s="70" t="n">
        <x:v>1680</x:v>
      </x:c>
      <x:c r="N1332" s="69" t="str">
        <x:v>1,680</x:v>
      </x:c>
      <x:c r="O1332" s="71" t="str">
        <x:v>文件未載明</x:v>
      </x:c>
      <x:c r="P1332" s="71" t="str">
        <x:v>HTML table 1 row 4</x:v>
      </x:c>
      <x:c r="Q1332" s="71" t="str">
        <x:v>配件A(4PCS/組) | 60mm管用(含不銹鋼螺絲組) | 組 | 7.0 | 240 | 1,680</x:v>
      </x:c>
      <x:c r="R1332" s="71" t="str">
        <x:v>各廠商合約&amp; 報價\MD檔案\20260603 三發圍籬網 加運費.md</x:v>
      </x:c>
    </x:row>
    <x:row r="1333">
      <x:c r="A1333" s="69" t="str">
        <x:v>ITEM01329</x:v>
      </x:c>
      <x:c r="B1333" s="69" t="str">
        <x:v>SRC079</x:v>
      </x:c>
      <x:c r="C1333" s="69" t="str">
        <x:v>2025-2026</x:v>
      </x:c>
      <x:c r="D1333" s="69" t="str">
        <x:v>detail</x:v>
      </x:c>
      <x:c r="E1333" s="69" t="str">
        <x:v>文件未載明</x:v>
      </x:c>
      <x:c r="F1333" s="71" t="str">
        <x:v>配件B(2PCS/組)</x:v>
      </x:c>
      <x:c r="G1333" s="71" t="str">
        <x:v>配件B(2PCS/組)</x:v>
      </x:c>
      <x:c r="H1333" s="71" t="str">
        <x:v>4.0</x:v>
      </x:c>
      <x:c r="I1333" s="72" t="n">
        <x:v>150</x:v>
      </x:c>
      <x:c r="J1333" s="69" t="str">
        <x:v>150</x:v>
      </x:c>
      <x:c r="K1333" s="70" t="n">
        <x:v>600</x:v>
      </x:c>
      <x:c r="L1333" s="69" t="str">
        <x:v>600</x:v>
      </x:c>
      <x:c r="M1333" s="70"/>
      <x:c r="N1333" s="69" t="str">
        <x:v>文件未載明</x:v>
      </x:c>
      <x:c r="O1333" s="71" t="str">
        <x:v>文件未載明</x:v>
      </x:c>
      <x:c r="P1333" s="71" t="str">
        <x:v>HTML table 1 row 5</x:v>
      </x:c>
      <x:c r="Q1333" s="71" t="str">
        <x:v>配件B(2PCS/組) | 組 | 4.0 | 150 | 600</x:v>
      </x:c>
      <x:c r="R1333" s="71" t="str">
        <x:v>各廠商合約&amp; 報價\MD檔案\20260603 三發圍籬網 加運費.md</x:v>
      </x:c>
    </x:row>
    <x:row r="1334">
      <x:c r="A1334" s="69" t="str">
        <x:v>ITEM01330</x:v>
      </x:c>
      <x:c r="B1334" s="69" t="str">
        <x:v>SRC079</x:v>
      </x:c>
      <x:c r="C1334" s="69" t="str">
        <x:v>2025-2026</x:v>
      </x:c>
      <x:c r="D1334" s="69" t="str">
        <x:v>detail</x:v>
      </x:c>
      <x:c r="E1334" s="69" t="str">
        <x:v>文件未載明</x:v>
      </x:c>
      <x:c r="F1334" s="71" t="str">
        <x:v>配件C(8PCS/組)</x:v>
      </x:c>
      <x:c r="G1334" s="71" t="str">
        <x:v>配件C(8PCS/組)</x:v>
      </x:c>
      <x:c r="H1334" s="71" t="str">
        <x:v>7.0</x:v>
      </x:c>
      <x:c r="I1334" s="72" t="n">
        <x:v>400</x:v>
      </x:c>
      <x:c r="J1334" s="69" t="str">
        <x:v>400</x:v>
      </x:c>
      <x:c r="K1334" s="70" t="n">
        <x:v>2800</x:v>
      </x:c>
      <x:c r="L1334" s="69" t="str">
        <x:v>2,800</x:v>
      </x:c>
      <x:c r="M1334" s="70"/>
      <x:c r="N1334" s="69" t="str">
        <x:v>文件未載明</x:v>
      </x:c>
      <x:c r="O1334" s="71" t="str">
        <x:v>文件未載明</x:v>
      </x:c>
      <x:c r="P1334" s="71" t="str">
        <x:v>HTML table 1 row 6</x:v>
      </x:c>
      <x:c r="Q1334" s="71" t="str">
        <x:v>配件C(8PCS/組) | 組 | 7.0 | 400 | 2,800</x:v>
      </x:c>
      <x:c r="R1334" s="71" t="str">
        <x:v>各廠商合約&amp; 報價\MD檔案\20260603 三發圍籬網 加運費.md</x:v>
      </x:c>
    </x:row>
    <x:row r="1335">
      <x:c r="A1335" s="69" t="str">
        <x:v>ITEM01331</x:v>
      </x:c>
      <x:c r="B1335" s="69" t="str">
        <x:v>SRC079</x:v>
      </x:c>
      <x:c r="C1335" s="69" t="str">
        <x:v>2025-2026</x:v>
      </x:c>
      <x:c r="D1335" s="69" t="str">
        <x:v>detail</x:v>
      </x:c>
      <x:c r="E1335" s="69" t="str">
        <x:v>文件未載明</x:v>
      </x:c>
      <x:c r="F1335" s="71" t="str">
        <x:v>收邊管束A(1PCS/組)</x:v>
      </x:c>
      <x:c r="G1335" s="71" t="str">
        <x:v>收邊管束A(1PCS/組)</x:v>
      </x:c>
      <x:c r="H1335" s="71" t="str">
        <x:v>6.0</x:v>
      </x:c>
      <x:c r="I1335" s="72" t="n">
        <x:v>120</x:v>
      </x:c>
      <x:c r="J1335" s="69" t="str">
        <x:v>120</x:v>
      </x:c>
      <x:c r="K1335" s="70" t="n">
        <x:v>720</x:v>
      </x:c>
      <x:c r="L1335" s="69" t="str">
        <x:v>720</x:v>
      </x:c>
      <x:c r="M1335" s="70"/>
      <x:c r="N1335" s="69" t="str">
        <x:v>文件未載明</x:v>
      </x:c>
      <x:c r="O1335" s="71" t="str">
        <x:v>文件未載明</x:v>
      </x:c>
      <x:c r="P1335" s="71" t="str">
        <x:v>HTML table 1 row 7</x:v>
      </x:c>
      <x:c r="Q1335" s="71" t="str">
        <x:v>收邊管束A(1PCS/組) | 組 | 6.0 | 120 | 720</x:v>
      </x:c>
      <x:c r="R1335" s="71" t="str">
        <x:v>各廠商合約&amp; 報價\MD檔案\20260603 三發圍籬網 加運費.md</x:v>
      </x:c>
    </x:row>
    <x:row r="1336">
      <x:c r="A1336" s="69" t="str">
        <x:v>ITEM01332</x:v>
      </x:c>
      <x:c r="B1336" s="69" t="str">
        <x:v>SRC079</x:v>
      </x:c>
      <x:c r="C1336" s="69" t="str">
        <x:v>2025-2026</x:v>
      </x:c>
      <x:c r="D1336" s="69" t="str">
        <x:v>detail</x:v>
      </x:c>
      <x:c r="E1336" s="69" t="str">
        <x:v>文件未載明</x:v>
      </x:c>
      <x:c r="F1336" s="71" t="str">
        <x:v>不銹鋼下蓋</x:v>
      </x:c>
      <x:c r="G1336" s="71" t="str">
        <x:v>不銹鋼下蓋</x:v>
      </x:c>
      <x:c r="H1336" s="71" t="str">
        <x:v>個</x:v>
      </x:c>
      <x:c r="I1336" s="72" t="n">
        <x:v>9</x:v>
      </x:c>
      <x:c r="J1336" s="69" t="str">
        <x:v>9.0</x:v>
      </x:c>
      <x:c r="K1336" s="70" t="n">
        <x:v>200</x:v>
      </x:c>
      <x:c r="L1336" s="69" t="str">
        <x:v>200</x:v>
      </x:c>
      <x:c r="M1336" s="70" t="n">
        <x:v>1800</x:v>
      </x:c>
      <x:c r="N1336" s="69" t="str">
        <x:v>1,800</x:v>
      </x:c>
      <x:c r="O1336" s="71" t="str">
        <x:v>文件未載明</x:v>
      </x:c>
      <x:c r="P1336" s="71" t="str">
        <x:v>HTML table 1 row 8</x:v>
      </x:c>
      <x:c r="Q1336" s="71" t="str">
        <x:v>不銹鋼下蓋 | | 個 | 9.0 | 200 | 1,800 |</x:v>
      </x:c>
      <x:c r="R1336" s="71" t="str">
        <x:v>各廠商合約&amp; 報價\MD檔案\20260603 三發圍籬網 加運費.md</x:v>
      </x:c>
    </x:row>
    <x:row r="1337">
      <x:c r="A1337" s="69" t="str">
        <x:v>ITEM01333</x:v>
      </x:c>
      <x:c r="B1337" s="69" t="str">
        <x:v>SRC079</x:v>
      </x:c>
      <x:c r="C1337" s="69" t="str">
        <x:v>2025-2026</x:v>
      </x:c>
      <x:c r="D1337" s="69" t="str">
        <x:v>detail</x:v>
      </x:c>
      <x:c r="E1337" s="69" t="str">
        <x:v>文件未載明</x:v>
      </x:c>
      <x:c r="F1337" s="71" t="str">
        <x:v>運費</x:v>
      </x:c>
      <x:c r="G1337" s="71" t="str">
        <x:v>運費</x:v>
      </x:c>
      <x:c r="H1337" s="71" t="str">
        <x:v>趟</x:v>
      </x:c>
      <x:c r="I1337" s="72" t="n">
        <x:v>1</x:v>
      </x:c>
      <x:c r="J1337" s="69" t="str">
        <x:v>1.0</x:v>
      </x:c>
      <x:c r="K1337" s="70" t="n">
        <x:v>4500</x:v>
      </x:c>
      <x:c r="L1337" s="69" t="str">
        <x:v>4,500</x:v>
      </x:c>
      <x:c r="M1337" s="70" t="n">
        <x:v>4500</x:v>
      </x:c>
      <x:c r="N1337" s="69" t="str">
        <x:v>4,500</x:v>
      </x:c>
      <x:c r="O1337" s="71" t="str">
        <x:v>文件未載明</x:v>
      </x:c>
      <x:c r="P1337" s="71" t="str">
        <x:v>HTML table 1 row 9</x:v>
      </x:c>
      <x:c r="Q1337" s="71" t="str">
        <x:v>運費 | | 趟 | 1.0 | 4,500 | 4,500 |</x:v>
      </x:c>
      <x:c r="R1337" s="71" t="str">
        <x:v>各廠商合約&amp; 報價\MD檔案\20260603 三發圍籬網 加運費.md</x:v>
      </x:c>
    </x:row>
    <x:row r="1338">
      <x:c r="A1338" s="69" t="str">
        <x:v>ITEM01334</x:v>
      </x:c>
      <x:c r="B1338" s="69" t="str">
        <x:v>SRC079</x:v>
      </x:c>
      <x:c r="C1338" s="69" t="str">
        <x:v>2025-2026</x:v>
      </x:c>
      <x:c r="D1338" s="69" t="str">
        <x:v>detail</x:v>
      </x:c>
      <x:c r="E1338" s="69" t="str">
        <x:v>文件未載明</x:v>
      </x:c>
      <x:c r="F1338" s="71" t="str">
        <x:v>PS: 1.材料部份:此報價為自取廠交價;不含運費。</x:v>
      </x:c>
      <x:c r="G1338" s="71" t="str">
        <x:v>PS: 1.材料部份:此報價為自取廠交價;不含運費。</x:v>
      </x:c>
      <x:c r="H1338" s="71" t="str">
        <x:v>文件未載明</x:v>
      </x:c>
      <x:c r="I1338" s="72"/>
      <x:c r="J1338" s="69" t="str">
        <x:v>文件未載明</x:v>
      </x:c>
      <x:c r="K1338" s="70"/>
      <x:c r="L1338" s="69" t="str">
        <x:v>文件未載明</x:v>
      </x:c>
      <x:c r="M1338" s="70"/>
      <x:c r="N1338" s="69" t="str">
        <x:v>文件未載明</x:v>
      </x:c>
      <x:c r="O1338" s="71" t="str">
        <x:v>文件未載明</x:v>
      </x:c>
      <x:c r="P1338" s="71" t="str">
        <x:v>HTML table 1 row 10</x:v>
      </x:c>
      <x:c r="Q1338" s="71" t="str">
        <x:v>PS: 1.材料部份:此報價為自取廠交價;不含運費。 | | | |</x:v>
      </x:c>
      <x:c r="R1338" s="71" t="str">
        <x:v>各廠商合約&amp; 報價\MD檔案\20260603 三發圍籬網 加運費.md</x:v>
      </x:c>
    </x:row>
    <x:row r="1339">
      <x:c r="A1339" s="69" t="str">
        <x:v>ITEM01335</x:v>
      </x:c>
      <x:c r="B1339" s="69" t="str">
        <x:v>SRC079</x:v>
      </x:c>
      <x:c r="C1339" s="69" t="str">
        <x:v>2025-2026</x:v>
      </x:c>
      <x:c r="D1339" s="69" t="str">
        <x:v>detail</x:v>
      </x:c>
      <x:c r="E1339" s="69" t="str">
        <x:v>文件未載明</x:v>
      </x:c>
      <x:c r="F1339" s="71" t="str">
        <x:v>2.收邊網片請依現況尺寸自行裁切。</x:v>
      </x:c>
      <x:c r="G1339" s="71" t="str">
        <x:v>2.收邊網片請依現況尺寸自行裁切。</x:v>
      </x:c>
      <x:c r="H1339" s="71" t="str">
        <x:v>文件未載明</x:v>
      </x:c>
      <x:c r="I1339" s="72"/>
      <x:c r="J1339" s="69" t="str">
        <x:v>文件未載明</x:v>
      </x:c>
      <x:c r="K1339" s="70"/>
      <x:c r="L1339" s="69" t="str">
        <x:v>文件未載明</x:v>
      </x:c>
      <x:c r="M1339" s="70"/>
      <x:c r="N1339" s="69" t="str">
        <x:v>文件未載明</x:v>
      </x:c>
      <x:c r="O1339" s="71" t="str">
        <x:v>文件未載明</x:v>
      </x:c>
      <x:c r="P1339" s="71" t="str">
        <x:v>HTML table 1 row 11</x:v>
      </x:c>
      <x:c r="Q1339" s="71" t="str">
        <x:v>2.收邊網片請依現況尺寸自行裁切。 | | | | |</x:v>
      </x:c>
      <x:c r="R1339" s="71" t="str">
        <x:v>各廠商合約&amp; 報價\MD檔案\20260603 三發圍籬網 加運費.md</x:v>
      </x:c>
    </x:row>
    <x:row r="1340">
      <x:c r="A1340" s="69" t="str">
        <x:v>ITEM01336</x:v>
      </x:c>
      <x:c r="B1340" s="69" t="str">
        <x:v>SRC079</x:v>
      </x:c>
      <x:c r="C1340" s="69" t="str">
        <x:v>2025-2026</x:v>
      </x:c>
      <x:c r="D1340" s="69" t="str">
        <x:v>summary</x:v>
      </x:c>
      <x:c r="E1340" s="69" t="str">
        <x:v>文件未載明</x:v>
      </x:c>
      <x:c r="F1340" s="71" t="str">
        <x:v>小計(未稅)</x:v>
      </x:c>
      <x:c r="G1340" s="71" t="str">
        <x:v>小計(未稅)</x:v>
      </x:c>
      <x:c r="H1340" s="71" t="str">
        <x:v>文件未載明</x:v>
      </x:c>
      <x:c r="I1340" s="72"/>
      <x:c r="J1340" s="69" t="str">
        <x:v>文件未載明</x:v>
      </x:c>
      <x:c r="K1340" s="70"/>
      <x:c r="L1340" s="69" t="str">
        <x:v>文件未載明</x:v>
      </x:c>
      <x:c r="M1340" s="70" t="n">
        <x:v>42650</x:v>
      </x:c>
      <x:c r="N1340" s="69" t="str">
        <x:v>42,650</x:v>
      </x:c>
      <x:c r="O1340" s="71" t="str">
        <x:v>文件未載明</x:v>
      </x:c>
      <x:c r="P1340" s="71" t="str">
        <x:v>HTML table 1 row 12</x:v>
      </x:c>
      <x:c r="Q1340" s="71" t="str">
        <x:v>小計(未稅) | | | | | 42,650 |</x:v>
      </x:c>
      <x:c r="R1340" s="71" t="str">
        <x:v>各廠商合約&amp; 報價\MD檔案\20260603 三發圍籬網 加運費.md</x:v>
      </x:c>
    </x:row>
    <x:row r="1341">
      <x:c r="A1341" s="69" t="str">
        <x:v>ITEM01337</x:v>
      </x:c>
      <x:c r="B1341" s="69" t="str">
        <x:v>SRC079</x:v>
      </x:c>
      <x:c r="C1341" s="69" t="str">
        <x:v>2025-2026</x:v>
      </x:c>
      <x:c r="D1341" s="69" t="str">
        <x:v>summary</x:v>
      </x:c>
      <x:c r="E1341" s="69" t="str">
        <x:v>文件未載明</x:v>
      </x:c>
      <x:c r="F1341" s="71" t="str">
        <x:v>小計(含稅)</x:v>
      </x:c>
      <x:c r="G1341" s="71" t="str">
        <x:v>小計(含稅)</x:v>
      </x:c>
      <x:c r="H1341" s="71" t="str">
        <x:v>文件未載明</x:v>
      </x:c>
      <x:c r="I1341" s="72"/>
      <x:c r="J1341" s="69" t="str">
        <x:v>文件未載明</x:v>
      </x:c>
      <x:c r="K1341" s="70"/>
      <x:c r="L1341" s="69" t="str">
        <x:v>文件未載明</x:v>
      </x:c>
      <x:c r="M1341" s="70" t="n">
        <x:v>44783</x:v>
      </x:c>
      <x:c r="N1341" s="69" t="str">
        <x:v>44,783</x:v>
      </x:c>
      <x:c r="O1341" s="71" t="str">
        <x:v>文件未載明</x:v>
      </x:c>
      <x:c r="P1341" s="71" t="str">
        <x:v>HTML table 1 row 13</x:v>
      </x:c>
      <x:c r="Q1341" s="71" t="str">
        <x:v>小計(含稅) | | | | | 44,783 |</x:v>
      </x:c>
      <x:c r="R1341" s="71" t="str">
        <x:v>各廠商合約&amp; 報價\MD檔案\20260603 三發圍籬網 加運費.md</x:v>
      </x:c>
    </x:row>
    <x:row r="1342">
      <x:c r="A1342" s="69" t="str">
        <x:v>ITEM01338</x:v>
      </x:c>
      <x:c r="B1342" s="69" t="str">
        <x:v>SRC079</x:v>
      </x:c>
      <x:c r="C1342" s="69" t="str">
        <x:v>2025-2026</x:v>
      </x:c>
      <x:c r="D1342" s="69" t="str">
        <x:v>note</x:v>
      </x:c>
      <x:c r="E1342" s="69" t="str">
        <x:v>文件未載明</x:v>
      </x:c>
      <x:c r="F1342" s="71" t="str">
        <x:v>備註</x:v>
      </x:c>
      <x:c r="G1342" s="71" t="str">
        <x:v>備註</x:v>
      </x:c>
      <x:c r="H1342" s="71" t="str">
        <x:v>文件未載明</x:v>
      </x:c>
      <x:c r="I1342" s="72"/>
      <x:c r="J1342" s="69" t="str">
        <x:v>文件未載明</x:v>
      </x:c>
      <x:c r="K1342" s="70"/>
      <x:c r="L1342" s="69" t="str">
        <x:v>文件未載明</x:v>
      </x:c>
      <x:c r="M1342" s="70"/>
      <x:c r="N1342" s="69" t="str">
        <x:v>文件未載明</x:v>
      </x:c>
      <x:c r="O1342" s="71" t="str">
        <x:v>文件未載明</x:v>
      </x:c>
      <x:c r="P1342" s="71" t="str">
        <x:v>HTML table 1 row 14</x:v>
      </x:c>
      <x:c r="Q1342" s="71" t="str">
        <x:v>備註 | 1 本報價依實送實算計價。</x:v>
      </x:c>
      <x:c r="R1342" s="71" t="str">
        <x:v>各廠商合約&amp; 報價\MD檔案\20260603 三發圍籬網 加運費.md</x:v>
      </x:c>
    </x:row>
    <x:row r="1343">
      <x:c r="A1343" s="69" t="str">
        <x:v>ITEM01339</x:v>
      </x:c>
      <x:c r="B1343" s="69" t="str">
        <x:v>SRC079</x:v>
      </x:c>
      <x:c r="C1343" s="69" t="str">
        <x:v>2025-2026</x:v>
      </x:c>
      <x:c r="D1343" s="69" t="str">
        <x:v>note</x:v>
      </x:c>
      <x:c r="E1343" s="69" t="str">
        <x:v>文件未載明</x:v>
      </x:c>
      <x:c r="F1343" s="71" t="str">
        <x:v>2 付款方式:30%訂金電匯;取貨前70%電匯結清。</x:v>
      </x:c>
      <x:c r="G1343" s="71" t="str">
        <x:v>2 付款方式:30%訂金電匯;取貨前70%電匯結清。</x:v>
      </x:c>
      <x:c r="H1343" s="71" t="str">
        <x:v>文件未載明</x:v>
      </x:c>
      <x:c r="I1343" s="72"/>
      <x:c r="J1343" s="69" t="str">
        <x:v>文件未載明</x:v>
      </x:c>
      <x:c r="K1343" s="70"/>
      <x:c r="L1343" s="69" t="str">
        <x:v>文件未載明</x:v>
      </x:c>
      <x:c r="M1343" s="70"/>
      <x:c r="N1343" s="69" t="str">
        <x:v>文件未載明</x:v>
      </x:c>
      <x:c r="O1343" s="71" t="str">
        <x:v>文件未載明</x:v>
      </x:c>
      <x:c r="P1343" s="71" t="str">
        <x:v>HTML table 1 row 15</x:v>
      </x:c>
      <x:c r="Q1343" s="71" t="str">
        <x:v>2 付款方式:30%訂金電匯;取貨前70%電匯結清。</x:v>
      </x:c>
      <x:c r="R1343" s="71" t="str">
        <x:v>各廠商合約&amp; 報價\MD檔案\20260603 三發圍籬網 加運費.md</x:v>
      </x:c>
    </x:row>
    <x:row r="1344">
      <x:c r="A1344" s="69" t="str">
        <x:v>ITEM01340</x:v>
      </x:c>
      <x:c r="B1344" s="69" t="str">
        <x:v>SRC079</x:v>
      </x:c>
      <x:c r="C1344" s="69" t="str">
        <x:v>2025-2026</x:v>
      </x:c>
      <x:c r="D1344" s="69" t="str">
        <x:v>party</x:v>
      </x:c>
      <x:c r="E1344" s="69" t="str">
        <x:v>文件未載明</x:v>
      </x:c>
      <x:c r="F1344" s="71" t="str">
        <x:v>發票開立□二聯式□三聯式(抬頭、統一編號)</x:v>
      </x:c>
      <x:c r="G1344" s="71" t="str">
        <x:v>發票開立□二聯式□三聯式(抬頭、統一編號)</x:v>
      </x:c>
      <x:c r="H1344" s="71" t="str">
        <x:v>文件未載明</x:v>
      </x:c>
      <x:c r="I1344" s="72"/>
      <x:c r="J1344" s="69" t="str">
        <x:v>文件未載明</x:v>
      </x:c>
      <x:c r="K1344" s="70"/>
      <x:c r="L1344" s="69" t="str">
        <x:v>文件未載明</x:v>
      </x:c>
      <x:c r="M1344" s="70"/>
      <x:c r="N1344" s="69" t="str">
        <x:v>文件未載明</x:v>
      </x:c>
      <x:c r="O1344" s="71" t="str">
        <x:v>文件未載明</x:v>
      </x:c>
      <x:c r="P1344" s="71" t="str">
        <x:v>HTML table 1 row 16</x:v>
      </x:c>
      <x:c r="Q1344" s="71" t="str">
        <x:v>發票開立□二聯式□三聯式(抬頭、統一編號)</x:v>
      </x:c>
      <x:c r="R1344" s="71" t="str">
        <x:v>各廠商合約&amp; 報價\MD檔案\20260603 三發圍籬網 加運費.md</x:v>
      </x:c>
    </x:row>
    <x:row r="1345">
      <x:c r="A1345" s="69" t="str">
        <x:v>ITEM01341</x:v>
      </x:c>
      <x:c r="B1345" s="69" t="str">
        <x:v>SRC079</x:v>
      </x:c>
      <x:c r="C1345" s="69" t="str">
        <x:v>2025-2026</x:v>
      </x:c>
      <x:c r="D1345" s="69" t="str">
        <x:v>detail</x:v>
      </x:c>
      <x:c r="E1345" s="69" t="str">
        <x:v>文件未載明</x:v>
      </x:c>
      <x:c r="F1345" s="71" t="str">
        <x:v>3 交貨日期:一個月左右。</x:v>
      </x:c>
      <x:c r="G1345" s="71" t="str">
        <x:v>3 交貨日期:一個月左右。</x:v>
      </x:c>
      <x:c r="H1345" s="71" t="str">
        <x:v>文件未載明</x:v>
      </x:c>
      <x:c r="I1345" s="72"/>
      <x:c r="J1345" s="69" t="str">
        <x:v>文件未載明</x:v>
      </x:c>
      <x:c r="K1345" s="70"/>
      <x:c r="L1345" s="69" t="str">
        <x:v>文件未載明</x:v>
      </x:c>
      <x:c r="M1345" s="70"/>
      <x:c r="N1345" s="69" t="str">
        <x:v>文件未載明</x:v>
      </x:c>
      <x:c r="O1345" s="71" t="str">
        <x:v>文件未載明</x:v>
      </x:c>
      <x:c r="P1345" s="71" t="str">
        <x:v>HTML table 1 row 17</x:v>
      </x:c>
      <x:c r="Q1345" s="71" t="str">
        <x:v>3 交貨日期:一個月左右。</x:v>
      </x:c>
      <x:c r="R1345" s="71" t="str">
        <x:v>各廠商合約&amp; 報價\MD檔案\20260603 三發圍籬網 加運費.md</x:v>
      </x:c>
    </x:row>
    <x:row r="1346">
      <x:c r="A1346" s="69" t="str">
        <x:v>ITEM01342</x:v>
      </x:c>
      <x:c r="B1346" s="69" t="str">
        <x:v>SRC079</x:v>
      </x:c>
      <x:c r="C1346" s="69" t="str">
        <x:v>2025-2026</x:v>
      </x:c>
      <x:c r="D1346" s="69" t="str">
        <x:v>detail</x:v>
      </x:c>
      <x:c r="E1346" s="69" t="str">
        <x:v>文件未載明</x:v>
      </x:c>
      <x:c r="F1346" s="71" t="str">
        <x:v>4 交貨地點:收貨人:</x:v>
      </x:c>
      <x:c r="G1346" s="71" t="str">
        <x:v>4 交貨地點:收貨人:</x:v>
      </x:c>
      <x:c r="H1346" s="71" t="str">
        <x:v>文件未載明</x:v>
      </x:c>
      <x:c r="I1346" s="72"/>
      <x:c r="J1346" s="69" t="str">
        <x:v>文件未載明</x:v>
      </x:c>
      <x:c r="K1346" s="70"/>
      <x:c r="L1346" s="69" t="str">
        <x:v>文件未載明</x:v>
      </x:c>
      <x:c r="M1346" s="70"/>
      <x:c r="N1346" s="69" t="str">
        <x:v>文件未載明</x:v>
      </x:c>
      <x:c r="O1346" s="71" t="str">
        <x:v>文件未載明</x:v>
      </x:c>
      <x:c r="P1346" s="71" t="str">
        <x:v>HTML table 1 row 18</x:v>
      </x:c>
      <x:c r="Q1346" s="71" t="str">
        <x:v>4 交貨地點:收貨人:</x:v>
      </x:c>
      <x:c r="R1346" s="71" t="str">
        <x:v>各廠商合約&amp; 報價\MD檔案\20260603 三發圍籬網 加運費.md</x:v>
      </x:c>
    </x:row>
    <x:row r="1347">
      <x:c r="A1347" s="69" t="str">
        <x:v>ITEM01343</x:v>
      </x:c>
      <x:c r="B1347" s="69" t="str">
        <x:v>SRC079</x:v>
      </x:c>
      <x:c r="C1347" s="69" t="str">
        <x:v>2025-2026</x:v>
      </x:c>
      <x:c r="D1347" s="69" t="str">
        <x:v>note</x:v>
      </x:c>
      <x:c r="E1347" s="69" t="str">
        <x:v>文件未載明</x:v>
      </x:c>
      <x:c r="F1347" s="71" t="str">
        <x:v>5 單價自報價日起7天有效</x:v>
      </x:c>
      <x:c r="G1347" s="71" t="str">
        <x:v>5 單價自報價日起7天有效</x:v>
      </x:c>
      <x:c r="H1347" s="71" t="str">
        <x:v>文件未載明</x:v>
      </x:c>
      <x:c r="I1347" s="72"/>
      <x:c r="J1347" s="69" t="str">
        <x:v>文件未載明</x:v>
      </x:c>
      <x:c r="K1347" s="70"/>
      <x:c r="L1347" s="69" t="str">
        <x:v>文件未載明</x:v>
      </x:c>
      <x:c r="M1347" s="70"/>
      <x:c r="N1347" s="69" t="str">
        <x:v>文件未載明</x:v>
      </x:c>
      <x:c r="O1347" s="71" t="str">
        <x:v>文件未載明</x:v>
      </x:c>
      <x:c r="P1347" s="71" t="str">
        <x:v>HTML table 1 row 19</x:v>
      </x:c>
      <x:c r="Q1347" s="71" t="str">
        <x:v>5 單價自報價日起7天有效</x:v>
      </x:c>
      <x:c r="R1347" s="71" t="str">
        <x:v>各廠商合約&amp; 報價\MD檔案\20260603 三發圍籬網 加運費.md</x:v>
      </x:c>
    </x:row>
    <x:row r="1348">
      <x:c r="A1348" s="69" t="str">
        <x:v>ITEM01344</x:v>
      </x:c>
      <x:c r="B1348" s="69" t="str">
        <x:v>SRC079</x:v>
      </x:c>
      <x:c r="C1348" s="69" t="str">
        <x:v>2025-2026</x:v>
      </x:c>
      <x:c r="D1348" s="69" t="str">
        <x:v>note</x:v>
      </x:c>
      <x:c r="E1348" s="69" t="str">
        <x:v>文件未載明</x:v>
      </x:c>
      <x:c r="F1348" s="71" t="str">
        <x:v>6 請確認簽章後回傳。</x:v>
      </x:c>
      <x:c r="G1348" s="71" t="str">
        <x:v>6 請確認簽章後回傳。</x:v>
      </x:c>
      <x:c r="H1348" s="71" t="str">
        <x:v>文件未載明</x:v>
      </x:c>
      <x:c r="I1348" s="72"/>
      <x:c r="J1348" s="69" t="str">
        <x:v>文件未載明</x:v>
      </x:c>
      <x:c r="K1348" s="70"/>
      <x:c r="L1348" s="69" t="str">
        <x:v>文件未載明</x:v>
      </x:c>
      <x:c r="M1348" s="70"/>
      <x:c r="N1348" s="69" t="str">
        <x:v>文件未載明</x:v>
      </x:c>
      <x:c r="O1348" s="71" t="str">
        <x:v>文件未載明</x:v>
      </x:c>
      <x:c r="P1348" s="71" t="str">
        <x:v>HTML table 1 row 20</x:v>
      </x:c>
      <x:c r="Q1348" s="71" t="str">
        <x:v>6 請確認簽章後回傳。</x:v>
      </x:c>
      <x:c r="R1348" s="71" t="str">
        <x:v>各廠商合約&amp; 報價\MD檔案\20260603 三發圍籬網 加運費.md</x:v>
      </x:c>
    </x:row>
    <x:row r="1349">
      <x:c r="A1349" s="69" t="str">
        <x:v>ITEM01345</x:v>
      </x:c>
      <x:c r="B1349" s="69" t="str">
        <x:v>SRC079</x:v>
      </x:c>
      <x:c r="C1349" s="69" t="str">
        <x:v>2025-2026</x:v>
      </x:c>
      <x:c r="D1349" s="69" t="str">
        <x:v>detail</x:v>
      </x:c>
      <x:c r="E1349" s="69" t="str">
        <x:v>文件未載明</x:v>
      </x:c>
      <x:c r="F1349" s="71" t="str">
        <x:v>&lt;匯款帳號&gt;戶名:三發製網股份有限公司銀行:合作金庫銀行大雅分行帳號:342 賣方確認表單編號:FM03-1</x:v>
      </x:c>
      <x:c r="G1349" s="71" t="str">
        <x:v>&lt;匯款帳號&gt;戶名:三發製網股份有限公司銀行:合作金庫銀行大雅分行帳號:342 賣方確認表單編號:FM03-1</x:v>
      </x:c>
      <x:c r="H1349" s="71" t="str">
        <x:v>文件未載明</x:v>
      </x:c>
      <x:c r="I1349" s="72"/>
      <x:c r="J1349" s="69" t="str">
        <x:v>文件未載明</x:v>
      </x:c>
      <x:c r="K1349" s="70"/>
      <x:c r="L1349" s="69" t="str">
        <x:v>文件未載明</x:v>
      </x:c>
      <x:c r="M1349" s="70"/>
      <x:c r="N1349" s="69" t="str">
        <x:v>文件未載明</x:v>
      </x:c>
      <x:c r="O1349" s="71" t="str">
        <x:v>文件未載明</x:v>
      </x:c>
      <x:c r="P1349" s="71" t="str">
        <x:v>HTML table 1 row 21</x:v>
      </x:c>
      <x:c r="Q1349" s="71" t="str">
        <x:v>&lt;匯款帳號&gt;戶名:三發製網股份有限公司銀行:合作金庫銀行大雅分行帳號:342 賣方確認表單編號:FM03-1</x:v>
      </x:c>
      <x:c r="R1349" s="71" t="str">
        <x:v>各廠商合約&amp; 報價\MD檔案\20260603 三發圍籬網 加運費.md</x:v>
      </x:c>
    </x:row>
    <x:row r="1350">
      <x:c r="A1350" s="69" t="str">
        <x:v>ITEM01346</x:v>
      </x:c>
      <x:c r="B1350" s="69" t="str">
        <x:v>SRC086</x:v>
      </x:c>
      <x:c r="C1350" s="69" t="str">
        <x:v>未定日期／非MD</x:v>
      </x:c>
      <x:c r="D1350" s="69" t="str">
        <x:v>未標示</x:v>
      </x:c>
      <x:c r="E1350" s="69" t="str"/>
      <x:c r="F1350" s="71" t="str">
        <x:v>低壓配電盤設備工程</x:v>
      </x:c>
      <x:c r="G1350" s="71" t="str"/>
      <x:c r="H1350" s="71" t="str">
        <x:v>式</x:v>
      </x:c>
      <x:c r="I1350" s="72" t="n">
        <x:v>1</x:v>
      </x:c>
      <x:c r="J1350" s="69" t="str"/>
      <x:c r="K1350" s="70"/>
      <x:c r="L1350" s="69" t="str"/>
      <x:c r="M1350" s="70" t="n">
        <x:v>596841</x:v>
      </x:c>
      <x:c r="N1350" s="69" t="str">
        <x:v>596841</x:v>
      </x:c>
      <x:c r="O1350" s="71" t="str"/>
      <x:c r="P1350" s="71" t="str">
        <x:v>表格1第2列</x:v>
      </x:c>
      <x:c r="Q1350" s="71" t="str">
        <x:v>壹 | 低壓配電盤設備工程 | 式 | 1 | | $596,841 |</x:v>
      </x:c>
      <x:c r="R1350" s="71" t="str">
        <x:v>各廠商合約&amp; 報價\MD檔案\信興水電工程標單.md</x:v>
      </x:c>
    </x:row>
    <x:row r="1351">
      <x:c r="A1351" s="69" t="str">
        <x:v>ITEM01347</x:v>
      </x:c>
      <x:c r="B1351" s="69" t="str">
        <x:v>SRC086</x:v>
      </x:c>
      <x:c r="C1351" s="69" t="str">
        <x:v>未定日期／非MD</x:v>
      </x:c>
      <x:c r="D1351" s="69" t="str">
        <x:v>未標示</x:v>
      </x:c>
      <x:c r="E1351" s="69" t="str"/>
      <x:c r="F1351" s="71" t="str">
        <x:v>照明.插座.幹管線設備工程</x:v>
      </x:c>
      <x:c r="G1351" s="71" t="str"/>
      <x:c r="H1351" s="71" t="str">
        <x:v>式</x:v>
      </x:c>
      <x:c r="I1351" s="72" t="n">
        <x:v>1</x:v>
      </x:c>
      <x:c r="J1351" s="69" t="str"/>
      <x:c r="K1351" s="70"/>
      <x:c r="L1351" s="69" t="str"/>
      <x:c r="M1351" s="70" t="n">
        <x:v>3164055</x:v>
      </x:c>
      <x:c r="N1351" s="69" t="str">
        <x:v>3164055</x:v>
      </x:c>
      <x:c r="O1351" s="71" t="str"/>
      <x:c r="P1351" s="71" t="str">
        <x:v>表格1第3列</x:v>
      </x:c>
      <x:c r="Q1351" s="71" t="str">
        <x:v>貳 | 照明.插座.幹管線設備工程 | 式 | 1 | | $3,164,055 |</x:v>
      </x:c>
      <x:c r="R1351" s="71" t="str">
        <x:v>各廠商合約&amp; 報價\MD檔案\信興水電工程標單.md</x:v>
      </x:c>
    </x:row>
    <x:row r="1352">
      <x:c r="A1352" s="69" t="str">
        <x:v>ITEM01348</x:v>
      </x:c>
      <x:c r="B1352" s="69" t="str">
        <x:v>SRC086</x:v>
      </x:c>
      <x:c r="C1352" s="69" t="str">
        <x:v>未定日期／非MD</x:v>
      </x:c>
      <x:c r="D1352" s="69" t="str">
        <x:v>未標示</x:v>
      </x:c>
      <x:c r="E1352" s="69" t="str"/>
      <x:c r="F1352" s="71" t="str">
        <x:v>電信設備工程</x:v>
      </x:c>
      <x:c r="G1352" s="71" t="str"/>
      <x:c r="H1352" s="71" t="str">
        <x:v>式</x:v>
      </x:c>
      <x:c r="I1352" s="72" t="n">
        <x:v>1</x:v>
      </x:c>
      <x:c r="J1352" s="69" t="str"/>
      <x:c r="K1352" s="70"/>
      <x:c r="L1352" s="69" t="str"/>
      <x:c r="M1352" s="70" t="n">
        <x:v>539033</x:v>
      </x:c>
      <x:c r="N1352" s="69" t="str">
        <x:v>539033</x:v>
      </x:c>
      <x:c r="O1352" s="71" t="str"/>
      <x:c r="P1352" s="71" t="str">
        <x:v>表格1第4列</x:v>
      </x:c>
      <x:c r="Q1352" s="71" t="str">
        <x:v>參 | 電信設備工程 | 式 | 1 | | $539,033 |</x:v>
      </x:c>
      <x:c r="R1352" s="71" t="str">
        <x:v>各廠商合約&amp; 報價\MD檔案\信興水電工程標單.md</x:v>
      </x:c>
    </x:row>
    <x:row r="1353">
      <x:c r="A1353" s="69" t="str">
        <x:v>ITEM01349</x:v>
      </x:c>
      <x:c r="B1353" s="69" t="str">
        <x:v>SRC086</x:v>
      </x:c>
      <x:c r="C1353" s="69" t="str">
        <x:v>未定日期／非MD</x:v>
      </x:c>
      <x:c r="D1353" s="69" t="str">
        <x:v>未標示</x:v>
      </x:c>
      <x:c r="E1353" s="69" t="str"/>
      <x:c r="F1353" s="71" t="str">
        <x:v>共同電視天線監視設備工程</x:v>
      </x:c>
      <x:c r="G1353" s="71" t="str"/>
      <x:c r="H1353" s="71" t="str">
        <x:v>式</x:v>
      </x:c>
      <x:c r="I1353" s="72" t="n">
        <x:v>1</x:v>
      </x:c>
      <x:c r="J1353" s="69" t="str"/>
      <x:c r="K1353" s="70"/>
      <x:c r="L1353" s="69" t="str"/>
      <x:c r="M1353" s="70" t="n">
        <x:v>116896</x:v>
      </x:c>
      <x:c r="N1353" s="69" t="str">
        <x:v>116896</x:v>
      </x:c>
      <x:c r="O1353" s="71" t="str"/>
      <x:c r="P1353" s="71" t="str">
        <x:v>表格1第5列</x:v>
      </x:c>
      <x:c r="Q1353" s="71" t="str">
        <x:v>肆 | 共同電視天線監視設備工程 | 式 | 1 | | $116,896 |</x:v>
      </x:c>
      <x:c r="R1353" s="71" t="str">
        <x:v>各廠商合約&amp; 報價\MD檔案\信興水電工程標單.md</x:v>
      </x:c>
    </x:row>
    <x:row r="1354">
      <x:c r="A1354" s="69" t="str">
        <x:v>ITEM01350</x:v>
      </x:c>
      <x:c r="B1354" s="69" t="str">
        <x:v>SRC086</x:v>
      </x:c>
      <x:c r="C1354" s="69" t="str">
        <x:v>未定日期／非MD</x:v>
      </x:c>
      <x:c r="D1354" s="69" t="str">
        <x:v>未標示</x:v>
      </x:c>
      <x:c r="E1354" s="69" t="str"/>
      <x:c r="F1354" s="71" t="str">
        <x:v>避雷針設備工程</x:v>
      </x:c>
      <x:c r="G1354" s="71" t="str"/>
      <x:c r="H1354" s="71" t="str">
        <x:v>式</x:v>
      </x:c>
      <x:c r="I1354" s="72" t="n">
        <x:v>1</x:v>
      </x:c>
      <x:c r="J1354" s="69" t="str"/>
      <x:c r="K1354" s="70"/>
      <x:c r="L1354" s="69" t="str"/>
      <x:c r="M1354" s="70" t="n">
        <x:v>130770</x:v>
      </x:c>
      <x:c r="N1354" s="69" t="str">
        <x:v>130770</x:v>
      </x:c>
      <x:c r="O1354" s="71" t="str"/>
      <x:c r="P1354" s="71" t="str">
        <x:v>表格1第6列</x:v>
      </x:c>
      <x:c r="Q1354" s="71" t="str">
        <x:v>伍 | 避雷針設備工程 | 式 | 1 | | $130,770 |</x:v>
      </x:c>
      <x:c r="R1354" s="71" t="str">
        <x:v>各廠商合約&amp; 報價\MD檔案\信興水電工程標單.md</x:v>
      </x:c>
    </x:row>
    <x:row r="1355">
      <x:c r="A1355" s="69" t="str">
        <x:v>ITEM01351</x:v>
      </x:c>
      <x:c r="B1355" s="69" t="str">
        <x:v>SRC086</x:v>
      </x:c>
      <x:c r="C1355" s="69" t="str">
        <x:v>未定日期／非MD</x:v>
      </x:c>
      <x:c r="D1355" s="69" t="str">
        <x:v>未標示</x:v>
      </x:c>
      <x:c r="E1355" s="69" t="str"/>
      <x:c r="F1355" s="71" t="str">
        <x:v>發電機設備工程</x:v>
      </x:c>
      <x:c r="G1355" s="71" t="str"/>
      <x:c r="H1355" s="71" t="str">
        <x:v>式</x:v>
      </x:c>
      <x:c r="I1355" s="72" t="n">
        <x:v>1</x:v>
      </x:c>
      <x:c r="J1355" s="69" t="str"/>
      <x:c r="K1355" s="70"/>
      <x:c r="L1355" s="69" t="str"/>
      <x:c r="M1355" s="70" t="n">
        <x:v>801000</x:v>
      </x:c>
      <x:c r="N1355" s="69" t="str">
        <x:v>801000</x:v>
      </x:c>
      <x:c r="O1355" s="71" t="str"/>
      <x:c r="P1355" s="71" t="str">
        <x:v>表格1第7列</x:v>
      </x:c>
      <x:c r="Q1355" s="71" t="str">
        <x:v>陸 | 發電機設備工程 | 式 | 1 | | $801,000 |</x:v>
      </x:c>
      <x:c r="R1355" s="71" t="str">
        <x:v>各廠商合約&amp; 報價\MD檔案\信興水電工程標單.md</x:v>
      </x:c>
    </x:row>
    <x:row r="1356">
      <x:c r="A1356" s="69" t="str">
        <x:v>ITEM01352</x:v>
      </x:c>
      <x:c r="B1356" s="69" t="str">
        <x:v>SRC086</x:v>
      </x:c>
      <x:c r="C1356" s="69" t="str">
        <x:v>未定日期／非MD</x:v>
      </x:c>
      <x:c r="D1356" s="69" t="str">
        <x:v>未標示</x:v>
      </x:c>
      <x:c r="E1356" s="69" t="str"/>
      <x:c r="F1356" s="71" t="str">
        <x:v>給水衛浴設備工程</x:v>
      </x:c>
      <x:c r="G1356" s="71" t="str"/>
      <x:c r="H1356" s="71" t="str">
        <x:v>式</x:v>
      </x:c>
      <x:c r="I1356" s="72" t="n">
        <x:v>1</x:v>
      </x:c>
      <x:c r="J1356" s="69" t="str"/>
      <x:c r="K1356" s="70"/>
      <x:c r="L1356" s="69" t="str"/>
      <x:c r="M1356" s="70" t="n">
        <x:v>1548725</x:v>
      </x:c>
      <x:c r="N1356" s="69" t="str">
        <x:v>1548725</x:v>
      </x:c>
      <x:c r="O1356" s="71" t="str"/>
      <x:c r="P1356" s="71" t="str">
        <x:v>表格1第8列</x:v>
      </x:c>
      <x:c r="Q1356" s="71" t="str">
        <x:v>柒 | 給水衛浴設備工程 | 式 | 1 | | $1,548,725 |</x:v>
      </x:c>
      <x:c r="R1356" s="71" t="str">
        <x:v>各廠商合約&amp; 報價\MD檔案\信興水電工程標單.md</x:v>
      </x:c>
    </x:row>
    <x:row r="1357">
      <x:c r="A1357" s="69" t="str">
        <x:v>ITEM01353</x:v>
      </x:c>
      <x:c r="B1357" s="69" t="str">
        <x:v>SRC086</x:v>
      </x:c>
      <x:c r="C1357" s="69" t="str">
        <x:v>未定日期／非MD</x:v>
      </x:c>
      <x:c r="D1357" s="69" t="str">
        <x:v>未標示</x:v>
      </x:c>
      <x:c r="E1357" s="69" t="str"/>
      <x:c r="F1357" s="71" t="str">
        <x:v>排水衛浴設備工程</x:v>
      </x:c>
      <x:c r="G1357" s="71" t="str"/>
      <x:c r="H1357" s="71" t="str">
        <x:v>式</x:v>
      </x:c>
      <x:c r="I1357" s="72" t="n">
        <x:v>1</x:v>
      </x:c>
      <x:c r="J1357" s="69" t="str"/>
      <x:c r="K1357" s="70"/>
      <x:c r="L1357" s="69" t="str"/>
      <x:c r="M1357" s="70" t="n">
        <x:v>1443715</x:v>
      </x:c>
      <x:c r="N1357" s="69" t="str">
        <x:v>1443715</x:v>
      </x:c>
      <x:c r="O1357" s="71" t="str"/>
      <x:c r="P1357" s="71" t="str">
        <x:v>表格1第9列</x:v>
      </x:c>
      <x:c r="Q1357" s="71" t="str">
        <x:v>捌 | 排水衛浴設備工程 | 式 | 1 | | $1,443,715 |</x:v>
      </x:c>
      <x:c r="R1357" s="71" t="str">
        <x:v>各廠商合約&amp; 報價\MD檔案\信興水電工程標單.md</x:v>
      </x:c>
    </x:row>
    <x:row r="1358">
      <x:c r="A1358" s="69" t="str">
        <x:v>ITEM01354</x:v>
      </x:c>
      <x:c r="B1358" s="69" t="str">
        <x:v>SRC086</x:v>
      </x:c>
      <x:c r="C1358" s="69" t="str">
        <x:v>未定日期／非MD</x:v>
      </x:c>
      <x:c r="D1358" s="69" t="str">
        <x:v>未標示</x:v>
      </x:c>
      <x:c r="E1358" s="69" t="str"/>
      <x:c r="F1358" s="71" t="str">
        <x:v>污水外管設備工程</x:v>
      </x:c>
      <x:c r="G1358" s="71" t="str"/>
      <x:c r="H1358" s="71" t="str">
        <x:v>式</x:v>
      </x:c>
      <x:c r="I1358" s="72" t="n">
        <x:v>1</x:v>
      </x:c>
      <x:c r="J1358" s="69" t="str"/>
      <x:c r="K1358" s="70"/>
      <x:c r="L1358" s="69" t="str"/>
      <x:c r="M1358" s="70" t="n">
        <x:v>145000</x:v>
      </x:c>
      <x:c r="N1358" s="69" t="str">
        <x:v>145000</x:v>
      </x:c>
      <x:c r="O1358" s="71" t="str"/>
      <x:c r="P1358" s="71" t="str">
        <x:v>表格1第10列</x:v>
      </x:c>
      <x:c r="Q1358" s="71" t="str">
        <x:v>玖 | 污水外管設備工程 | 式 | 1 | | $145,000 |</x:v>
      </x:c>
      <x:c r="R1358" s="71" t="str">
        <x:v>各廠商合約&amp; 報價\MD檔案\信興水電工程標單.md</x:v>
      </x:c>
    </x:row>
    <x:row r="1359">
      <x:c r="A1359" s="69" t="str">
        <x:v>ITEM01355</x:v>
      </x:c>
      <x:c r="B1359" s="69" t="str">
        <x:v>SRC086</x:v>
      </x:c>
      <x:c r="C1359" s="69" t="str">
        <x:v>未定日期／非MD</x:v>
      </x:c>
      <x:c r="D1359" s="69" t="str">
        <x:v>未標示</x:v>
      </x:c>
      <x:c r="E1359" s="69" t="str"/>
      <x:c r="F1359" s="71" t="str">
        <x:v>消防設備工程</x:v>
      </x:c>
      <x:c r="G1359" s="71" t="str"/>
      <x:c r="H1359" s="71" t="str">
        <x:v>式</x:v>
      </x:c>
      <x:c r="I1359" s="72" t="n">
        <x:v>1</x:v>
      </x:c>
      <x:c r="J1359" s="69" t="str"/>
      <x:c r="K1359" s="70"/>
      <x:c r="L1359" s="69" t="str"/>
      <x:c r="M1359" s="70" t="n">
        <x:v>722329</x:v>
      </x:c>
      <x:c r="N1359" s="69" t="str">
        <x:v>722329</x:v>
      </x:c>
      <x:c r="O1359" s="71" t="str"/>
      <x:c r="P1359" s="71" t="str">
        <x:v>表格1第11列</x:v>
      </x:c>
      <x:c r="Q1359" s="71" t="str">
        <x:v>拾 | 消防設備工程 | 式 | 1 | | $722,329 |</x:v>
      </x:c>
      <x:c r="R1359" s="71" t="str">
        <x:v>各廠商合約&amp; 報價\MD檔案\信興水電工程標單.md</x:v>
      </x:c>
    </x:row>
    <x:row r="1360">
      <x:c r="A1360" s="69" t="str">
        <x:v>ITEM01356</x:v>
      </x:c>
      <x:c r="B1360" s="69" t="str">
        <x:v>SRC086</x:v>
      </x:c>
      <x:c r="C1360" s="69" t="str">
        <x:v>未定日期／非MD</x:v>
      </x:c>
      <x:c r="D1360" s="69" t="str">
        <x:v>未標示</x:v>
      </x:c>
      <x:c r="E1360" s="69" t="str"/>
      <x:c r="F1360" s="71" t="str">
        <x:v>通風設備工程</x:v>
      </x:c>
      <x:c r="G1360" s="71" t="str"/>
      <x:c r="H1360" s="71" t="str">
        <x:v>式</x:v>
      </x:c>
      <x:c r="I1360" s="72" t="n">
        <x:v>1</x:v>
      </x:c>
      <x:c r="J1360" s="69" t="str"/>
      <x:c r="K1360" s="70"/>
      <x:c r="L1360" s="69" t="str"/>
      <x:c r="M1360" s="70" t="n">
        <x:v>0</x:v>
      </x:c>
      <x:c r="N1360" s="69" t="str">
        <x:v>0</x:v>
      </x:c>
      <x:c r="O1360" s="71" t="str"/>
      <x:c r="P1360" s="71" t="str">
        <x:v>表格1第12列</x:v>
      </x:c>
      <x:c r="Q1360" s="71" t="str">
        <x:v>拾壹 | 通風設備工程 | 式 | 1 | | $0 |</x:v>
      </x:c>
      <x:c r="R1360" s="71" t="str">
        <x:v>各廠商合約&amp; 報價\MD檔案\信興水電工程標單.md</x:v>
      </x:c>
    </x:row>
    <x:row r="1361">
      <x:c r="A1361" s="69" t="str">
        <x:v>ITEM01357</x:v>
      </x:c>
      <x:c r="B1361" s="69" t="str">
        <x:v>SRC086</x:v>
      </x:c>
      <x:c r="C1361" s="69" t="str">
        <x:v>未定日期／非MD</x:v>
      </x:c>
      <x:c r="D1361" s="69" t="str">
        <x:v>未標示</x:v>
      </x:c>
      <x:c r="E1361" s="69" t="str"/>
      <x:c r="F1361" s="71" t="str">
        <x:v>光纖設備工程</x:v>
      </x:c>
      <x:c r="G1361" s="71" t="str"/>
      <x:c r="H1361" s="71" t="str">
        <x:v>式</x:v>
      </x:c>
      <x:c r="I1361" s="72" t="n">
        <x:v>1</x:v>
      </x:c>
      <x:c r="J1361" s="69" t="str"/>
      <x:c r="K1361" s="70"/>
      <x:c r="L1361" s="69" t="str"/>
      <x:c r="M1361" s="70" t="n">
        <x:v>114379</x:v>
      </x:c>
      <x:c r="N1361" s="69" t="str">
        <x:v>114379</x:v>
      </x:c>
      <x:c r="O1361" s="71" t="str">
        <x:v>扣除埋</x:v>
      </x:c>
      <x:c r="P1361" s="71" t="str">
        <x:v>表格1第13列</x:v>
      </x:c>
      <x:c r="Q1361" s="71" t="str">
        <x:v>拾貳 | 光纖設備工程 | 式 | 1 | | $114,379 | 扣除埋</x:v>
      </x:c>
      <x:c r="R1361" s="71" t="str">
        <x:v>各廠商合約&amp; 報價\MD檔案\信興水電工程標單.md</x:v>
      </x:c>
    </x:row>
    <x:row r="1362">
      <x:c r="A1362" s="69" t="str">
        <x:v>ITEM01358</x:v>
      </x:c>
      <x:c r="B1362" s="69" t="str">
        <x:v>SRC086</x:v>
      </x:c>
      <x:c r="C1362" s="69" t="str">
        <x:v>未定日期／非MD</x:v>
      </x:c>
      <x:c r="D1362" s="69" t="str">
        <x:v>未標示</x:v>
      </x:c>
      <x:c r="E1362" s="69" t="str"/>
      <x:c r="F1362" s="71" t="str">
        <x:v>監控配管設備工程</x:v>
      </x:c>
      <x:c r="G1362" s="71" t="str"/>
      <x:c r="H1362" s="71" t="str">
        <x:v>式</x:v>
      </x:c>
      <x:c r="I1362" s="72" t="n">
        <x:v>1</x:v>
      </x:c>
      <x:c r="J1362" s="69" t="str"/>
      <x:c r="K1362" s="70"/>
      <x:c r="L1362" s="69" t="str"/>
      <x:c r="M1362" s="70" t="n">
        <x:v>3975</x:v>
      </x:c>
      <x:c r="N1362" s="69" t="str">
        <x:v>3975</x:v>
      </x:c>
      <x:c r="O1362" s="71" t="str"/>
      <x:c r="P1362" s="71" t="str">
        <x:v>表格1第14列</x:v>
      </x:c>
      <x:c r="Q1362" s="71" t="str">
        <x:v>拾參 | 監控配管設備工程 | 式 | 1 | | $3,975 |</x:v>
      </x:c>
      <x:c r="R1362" s="71" t="str">
        <x:v>各廠商合約&amp; 報價\MD檔案\信興水電工程標單.md</x:v>
      </x:c>
    </x:row>
    <x:row r="1363">
      <x:c r="A1363" s="69" t="str">
        <x:v>ITEM01359</x:v>
      </x:c>
      <x:c r="B1363" s="69" t="str">
        <x:v>SRC086</x:v>
      </x:c>
      <x:c r="C1363" s="69" t="str">
        <x:v>未定日期／非MD</x:v>
      </x:c>
      <x:c r="D1363" s="69" t="str">
        <x:v>未標示</x:v>
      </x:c>
      <x:c r="E1363" s="69" t="str"/>
      <x:c r="F1363" s="71" t="str">
        <x:v>施工圖竣工圖繪製費</x:v>
      </x:c>
      <x:c r="G1363" s="71" t="str"/>
      <x:c r="H1363" s="71" t="str">
        <x:v>式</x:v>
      </x:c>
      <x:c r="I1363" s="72" t="n">
        <x:v>1</x:v>
      </x:c>
      <x:c r="J1363" s="69" t="str"/>
      <x:c r="K1363" s="70"/>
      <x:c r="L1363" s="69" t="str"/>
      <x:c r="M1363" s="70" t="n">
        <x:v>50000</x:v>
      </x:c>
      <x:c r="N1363" s="69" t="str">
        <x:v>50000</x:v>
      </x:c>
      <x:c r="O1363" s="71" t="str"/>
      <x:c r="P1363" s="71" t="str">
        <x:v>表格1第15列</x:v>
      </x:c>
      <x:c r="Q1363" s="71" t="str">
        <x:v>拾肆 | 施工圖竣工圖繪製費 | 式 | 1 | | $50,000 |</x:v>
      </x:c>
      <x:c r="R1363" s="71" t="str">
        <x:v>各廠商合約&amp; 報價\MD檔案\信興水電工程標單.md</x:v>
      </x:c>
    </x:row>
    <x:row r="1364">
      <x:c r="A1364" s="69" t="str">
        <x:v>ITEM01360</x:v>
      </x:c>
      <x:c r="B1364" s="69" t="str">
        <x:v>SRC086</x:v>
      </x:c>
      <x:c r="C1364" s="69" t="str">
        <x:v>未定日期／非MD</x:v>
      </x:c>
      <x:c r="D1364" s="69" t="str">
        <x:v>未標示</x:v>
      </x:c>
      <x:c r="E1364" s="69" t="str"/>
      <x:c r="F1364" s="71" t="str">
        <x:v>臨時水電工程(含申請臨時水電及建築物使用臨時水電設備)</x:v>
      </x:c>
      <x:c r="G1364" s="71" t="str"/>
      <x:c r="H1364" s="71" t="str">
        <x:v>式</x:v>
      </x:c>
      <x:c r="I1364" s="72" t="n">
        <x:v>1</x:v>
      </x:c>
      <x:c r="J1364" s="69" t="str"/>
      <x:c r="K1364" s="70"/>
      <x:c r="L1364" s="69" t="str"/>
      <x:c r="M1364" s="70" t="n">
        <x:v>147091</x:v>
      </x:c>
      <x:c r="N1364" s="69" t="str">
        <x:v>147091</x:v>
      </x:c>
      <x:c r="O1364" s="71" t="str">
        <x:v>新增(不含線補費+保證金)</x:v>
      </x:c>
      <x:c r="P1364" s="71" t="str">
        <x:v>表格1第16列</x:v>
      </x:c>
      <x:c r="Q1364" s="71" t="str">
        <x:v>拾伍 | 臨時水電工程(含申請臨時水電及建築物使用臨時水電設備) | 式 | 1 | | $147,091 | 新增(不含線補費+保證金)</x:v>
      </x:c>
      <x:c r="R1364" s="71" t="str">
        <x:v>各廠商合約&amp; 報價\MD檔案\信興水電工程標單.md</x:v>
      </x:c>
    </x:row>
    <x:row r="1365">
      <x:c r="A1365" s="69" t="str">
        <x:v>ITEM01361</x:v>
      </x:c>
      <x:c r="B1365" s="69" t="str">
        <x:v>SRC086</x:v>
      </x:c>
      <x:c r="C1365" s="69" t="str">
        <x:v>未定日期／非MD</x:v>
      </x:c>
      <x:c r="D1365" s="69" t="str">
        <x:v>未標示</x:v>
      </x:c>
      <x:c r="E1365" s="69" t="str"/>
      <x:c r="F1365" s="71" t="str">
        <x:v>工程保險費及勞工保險安全衛生管理費</x:v>
      </x:c>
      <x:c r="G1365" s="71" t="str"/>
      <x:c r="H1365" s="71" t="str">
        <x:v>式</x:v>
      </x:c>
      <x:c r="I1365" s="72" t="n">
        <x:v>1</x:v>
      </x:c>
      <x:c r="J1365" s="69" t="str"/>
      <x:c r="K1365" s="70"/>
      <x:c r="L1365" s="69" t="str"/>
      <x:c r="M1365" s="70"/>
      <x:c r="N1365" s="69" t="str"/>
      <x:c r="O1365" s="71" t="str">
        <x:v>配合現場需求</x:v>
      </x:c>
      <x:c r="P1365" s="71" t="str">
        <x:v>表格1第17列</x:v>
      </x:c>
      <x:c r="Q1365" s="71" t="str">
        <x:v>拾陸 | 工程保險費及勞工保險安全衛生管理費 | 式 | 1 | | | 配合現場需求</x:v>
      </x:c>
      <x:c r="R1365" s="71" t="str">
        <x:v>各廠商合約&amp; 報價\MD檔案\信興水電工程標單.md</x:v>
      </x:c>
    </x:row>
    <x:row r="1366">
      <x:c r="A1366" s="69" t="str">
        <x:v>ITEM01362</x:v>
      </x:c>
      <x:c r="B1366" s="69" t="str">
        <x:v>SRC086</x:v>
      </x:c>
      <x:c r="C1366" s="69" t="str">
        <x:v>未定日期／非MD</x:v>
      </x:c>
      <x:c r="D1366" s="69" t="str">
        <x:v>未標示</x:v>
      </x:c>
      <x:c r="E1366" s="69" t="str"/>
      <x:c r="F1366" s="71" t="str">
        <x:v>利潤及管理費5%</x:v>
      </x:c>
      <x:c r="G1366" s="71" t="str"/>
      <x:c r="H1366" s="71" t="str">
        <x:v>式</x:v>
      </x:c>
      <x:c r="I1366" s="72" t="n">
        <x:v>1</x:v>
      </x:c>
      <x:c r="J1366" s="69" t="str"/>
      <x:c r="K1366" s="70"/>
      <x:c r="L1366" s="69" t="str"/>
      <x:c r="M1366" s="70" t="n">
        <x:v>476192</x:v>
      </x:c>
      <x:c r="N1366" s="69" t="str">
        <x:v>476192</x:v>
      </x:c>
      <x:c r="O1366" s="71" t="str"/>
      <x:c r="P1366" s="71" t="str">
        <x:v>表格1第19列</x:v>
      </x:c>
      <x:c r="Q1366" s="71" t="str">
        <x:v>拾柒 | 利潤及管理費5% | 式 | 1 | | $476,192 |</x:v>
      </x:c>
      <x:c r="R1366" s="71" t="str">
        <x:v>各廠商合約&amp; 報價\MD檔案\信興水電工程標單.md</x:v>
      </x:c>
    </x:row>
    <x:row r="1367">
      <x:c r="A1367" s="69" t="str">
        <x:v>ITEM01363</x:v>
      </x:c>
      <x:c r="B1367" s="69" t="str">
        <x:v>SRC086</x:v>
      </x:c>
      <x:c r="C1367" s="69" t="str">
        <x:v>未定日期／非MD</x:v>
      </x:c>
      <x:c r="D1367" s="69" t="str">
        <x:v>未標示</x:v>
      </x:c>
      <x:c r="E1367" s="69" t="str"/>
      <x:c r="F1367" s="71" t="str">
        <x:v>本標單所列數量僅供參考,投標廠商依據設計圖面施工說明及親赴現場瞭解工地狀況後做詳細數量估算,數量如有增減請自</x:v>
      </x:c>
      <x:c r="G1367" s="71" t="str"/>
      <x:c r="H1367" s="71" t="str"/>
      <x:c r="I1367" s="72"/>
      <x:c r="J1367" s="69" t="str"/>
      <x:c r="K1367" s="70"/>
      <x:c r="L1367" s="69" t="str"/>
      <x:c r="M1367" s="70"/>
      <x:c r="N1367" s="69" t="str"/>
      <x:c r="O1367" s="71" t="str">
        <x:v>本標單所列數量僅供參考,投標廠商依據設計圖面施工說明及親赴現場瞭解工地狀況後做詳細數量估算,數量如有增減請自</x:v>
      </x:c>
      <x:c r="P1367" s="71" t="str">
        <x:v>表格1第24列</x:v>
      </x:c>
      <x:c r="Q1367" s="71" t="str">
        <x:v>1 | 本標單所列數量僅供參考,投標廠商依據設計圖面施工說明及親赴現場瞭解工地狀況後做詳細數量估算,數量如有增減請自</x:v>
      </x:c>
      <x:c r="R1367" s="71" t="str">
        <x:v>各廠商合約&amp; 報價\MD檔案\信興水電工程標單.md</x:v>
      </x:c>
    </x:row>
    <x:row r="1368">
      <x:c r="A1368" s="69" t="str">
        <x:v>ITEM01364</x:v>
      </x:c>
      <x:c r="B1368" s="69" t="str">
        <x:v>SRC086</x:v>
      </x:c>
      <x:c r="C1368" s="69" t="str">
        <x:v>未定日期／非MD</x:v>
      </x:c>
      <x:c r="D1368" s="69" t="str">
        <x:v>未標示</x:v>
      </x:c>
      <x:c r="E1368" s="69" t="str"/>
      <x:c r="F1368" s="71" t="str">
        <x:v>行於單價內調整,不得塗註本標單項目,廠牌規格,得標後視同全部估算完成,不得於工程進行中要求追加或變更廠牌及籍</x:v>
      </x:c>
      <x:c r="G1368" s="71" t="str"/>
      <x:c r="H1368" s="71" t="str"/>
      <x:c r="I1368" s="72"/>
      <x:c r="J1368" s="69" t="str"/>
      <x:c r="K1368" s="70"/>
      <x:c r="L1368" s="69" t="str"/>
      <x:c r="M1368" s="70"/>
      <x:c r="N1368" s="69" t="str"/>
      <x:c r="O1368" s="71" t="str">
        <x:v>行於單價內調整,不得塗註本標單項目,廠牌規格,得標後視同全部估算完成,不得於工程進行中要求追加或變更廠牌及籍</x:v>
      </x:c>
      <x:c r="P1368" s="71" t="str">
        <x:v>表格1第25列</x:v>
      </x:c>
      <x:c r="Q1368" s="71" t="str">
        <x:v>| 行於單價內調整,不得塗註本標單項目,廠牌規格,得標後視同全部估算完成,不得於工程進行中要求追加或變更廠牌及籍</x:v>
      </x:c>
      <x:c r="R1368" s="71" t="str">
        <x:v>各廠商合約&amp; 報價\MD檔案\信興水電工程標單.md</x:v>
      </x:c>
    </x:row>
    <x:row r="1369">
      <x:c r="A1369" s="69" t="str">
        <x:v>ITEM01365</x:v>
      </x:c>
      <x:c r="B1369" s="69" t="str">
        <x:v>SRC086</x:v>
      </x:c>
      <x:c r="C1369" s="69" t="str">
        <x:v>未定日期／非MD</x:v>
      </x:c>
      <x:c r="D1369" s="69" t="str">
        <x:v>未標示</x:v>
      </x:c>
      <x:c r="E1369" s="69" t="str"/>
      <x:c r="F1369" s="71" t="str">
        <x:v>得標廠商對設計圖說標單,如有疑問應於合約訂定前向業主及設計單位詢問,除合約完成理由外,不得藉故無法施工或增加</x:v>
      </x:c>
      <x:c r="G1369" s="71" t="str"/>
      <x:c r="H1369" s="71" t="str"/>
      <x:c r="I1369" s="72"/>
      <x:c r="J1369" s="69" t="str"/>
      <x:c r="K1369" s="70"/>
      <x:c r="L1369" s="69" t="str"/>
      <x:c r="M1369" s="70"/>
      <x:c r="N1369" s="69" t="str"/>
      <x:c r="O1369" s="71" t="str">
        <x:v>得標廠商對設計圖說標單,如有疑問應於合約訂定前向業主及設計單位詢問,除合約完成理由外,不得藉故無法施工或增加</x:v>
      </x:c>
      <x:c r="P1369" s="71" t="str">
        <x:v>表格1第27列</x:v>
      </x:c>
      <x:c r="Q1369" s="71" t="str">
        <x:v>2 | 得標廠商對設計圖說標單,如有疑問應於合約訂定前向業主及設計單位詢問,除合約完成理由外,不得藉故無法施工或增加</x:v>
      </x:c>
      <x:c r="R1369" s="71" t="str">
        <x:v>各廠商合約&amp; 報價\MD檔案\信興水電工程標單.md</x:v>
      </x:c>
    </x:row>
    <x:row r="1370">
      <x:c r="A1370" s="69" t="str">
        <x:v>ITEM01366</x:v>
      </x:c>
      <x:c r="B1370" s="69" t="str">
        <x:v>SRC086</x:v>
      </x:c>
      <x:c r="C1370" s="69" t="str">
        <x:v>未定日期／非MD</x:v>
      </x:c>
      <x:c r="D1370" s="69" t="str">
        <x:v>未標示</x:v>
      </x:c>
      <x:c r="E1370" s="69" t="str"/>
      <x:c r="F1370" s="71" t="str">
        <x:v>消防器材及發電機與消防相關泵浦,須符合各地消防主管機關認可與個別認可之合格產品,並負責完成消防檢查,不得要求追加。</x:v>
      </x:c>
      <x:c r="G1370" s="71" t="str"/>
      <x:c r="H1370" s="71" t="str"/>
      <x:c r="I1370" s="72"/>
      <x:c r="J1370" s="69" t="str"/>
      <x:c r="K1370" s="70"/>
      <x:c r="L1370" s="69" t="str"/>
      <x:c r="M1370" s="70"/>
      <x:c r="N1370" s="69" t="str"/>
      <x:c r="O1370" s="71" t="str">
        <x:v>消防器材及發電機與消防相關泵浦,須符合各地消防主管機關認可與個別認可之合格產品,並負責完成消防檢查,不得要求追加。</x:v>
      </x:c>
      <x:c r="P1370" s="71" t="str">
        <x:v>表格1第30列</x:v>
      </x:c>
      <x:c r="Q1370" s="71" t="str">
        <x:v>4 | 消防器材及發電機與消防相關泵浦,須符合各地消防主管機關認可與個別認可之合格產品,並負責完成消防檢查,不得要求追加。</x:v>
      </x:c>
      <x:c r="R1370" s="71" t="str">
        <x:v>各廠商合約&amp; 報價\MD檔案\信興水電工程標單.md</x:v>
      </x:c>
    </x:row>
    <x:row r="1371">
      <x:c r="A1371" s="69" t="str">
        <x:v>ITEM01367</x:v>
      </x:c>
      <x:c r="B1371" s="69" t="str">
        <x:v>SRC086</x:v>
      </x:c>
      <x:c r="C1371" s="69" t="str">
        <x:v>未定日期／非MD</x:v>
      </x:c>
      <x:c r="D1371" s="69" t="str">
        <x:v>未標示</x:v>
      </x:c>
      <x:c r="E1371" s="69" t="str"/>
      <x:c r="F1371" s="71" t="str">
        <x:v>本圖說標單應配合其它施工說明及合約條件,共為工程合約之一部份,承包商應遵從較嚴規定或依電技師會同業主指定辦理。</x:v>
      </x:c>
      <x:c r="G1371" s="71" t="str"/>
      <x:c r="H1371" s="71" t="str"/>
      <x:c r="I1371" s="72"/>
      <x:c r="J1371" s="69" t="str"/>
      <x:c r="K1371" s="70"/>
      <x:c r="L1371" s="69" t="str"/>
      <x:c r="M1371" s="70"/>
      <x:c r="N1371" s="69" t="str"/>
      <x:c r="O1371" s="71" t="str">
        <x:v>本圖說標單應配合其它施工說明及合約條件,共為工程合約之一部份,承包商應遵從較嚴規定或依電技師會同業主指定辦理。</x:v>
      </x:c>
      <x:c r="P1371" s="71" t="str">
        <x:v>表格1第31列</x:v>
      </x:c>
      <x:c r="Q1371" s="71" t="str">
        <x:v>5 | 本圖說標單應配合其它施工說明及合約條件,共為工程合約之一部份,承包商應遵從較嚴規定或依電技師會同業主指定辦理。</x:v>
      </x:c>
      <x:c r="R1371" s="71" t="str">
        <x:v>各廠商合約&amp; 報價\MD檔案\信興水電工程標單.md</x:v>
      </x:c>
    </x:row>
    <x:row r="1372">
      <x:c r="A1372" s="69" t="str">
        <x:v>ITEM01368</x:v>
      </x:c>
      <x:c r="B1372" s="69" t="str">
        <x:v>SRC086</x:v>
      </x:c>
      <x:c r="C1372" s="69" t="str">
        <x:v>未定日期／非MD</x:v>
      </x:c>
      <x:c r="D1372" s="69" t="str">
        <x:v>未標示</x:v>
      </x:c>
      <x:c r="E1372" s="69" t="str"/>
      <x:c r="F1372" s="71" t="str">
        <x:v>所有與BA監控系統連結介面,相關盤體內皆須設置CS切換開關、TB接線端子台及輸出入乾接點等皆屬水電工程。</x:v>
      </x:c>
      <x:c r="G1372" s="71" t="str"/>
      <x:c r="H1372" s="71" t="str"/>
      <x:c r="I1372" s="72"/>
      <x:c r="J1372" s="69" t="str"/>
      <x:c r="K1372" s="70"/>
      <x:c r="L1372" s="69" t="str"/>
      <x:c r="M1372" s="70"/>
      <x:c r="N1372" s="69" t="str"/>
      <x:c r="O1372" s="71" t="str">
        <x:v>所有與BA監控系統連結介面,相關盤體內皆須設置CS切換開關、TB接線端子台及輸出入乾接點等皆屬水電工程。</x:v>
      </x:c>
      <x:c r="P1372" s="71" t="str">
        <x:v>表格1第34列</x:v>
      </x:c>
      <x:c r="Q1372" s="71" t="str">
        <x:v>8 | 所有與BA監控系統連結介面,相關盤體內皆須設置CS切換開關、TB接線端子台及輸出入乾接點等皆屬水電工程。</x:v>
      </x:c>
      <x:c r="R1372" s="71" t="str">
        <x:v>各廠商合約&amp; 報價\MD檔案\信興水電工程標單.md</x:v>
      </x:c>
    </x:row>
    <x:row r="1373">
      <x:c r="A1373" s="69" t="str">
        <x:v>ITEM01369</x:v>
      </x:c>
      <x:c r="B1373" s="69" t="str">
        <x:v>SRC086</x:v>
      </x:c>
      <x:c r="C1373" s="69" t="str">
        <x:v>未定日期／非MD</x:v>
      </x:c>
      <x:c r="D1373" s="69" t="str">
        <x:v>未標示</x:v>
      </x:c>
      <x:c r="E1373" s="69" t="str"/>
      <x:c r="F1373" s="71" t="str">
        <x:v>本工程應包含下列項目:穿樑套管(含喇叭口或管帽),箱體名牌(電表箱),管路流向及管路標,公共設備移交清冊2本。</x:v>
      </x:c>
      <x:c r="G1373" s="71" t="str"/>
      <x:c r="H1373" s="71" t="str"/>
      <x:c r="I1373" s="72"/>
      <x:c r="J1373" s="69" t="str"/>
      <x:c r="K1373" s="70"/>
      <x:c r="L1373" s="69" t="str"/>
      <x:c r="M1373" s="70"/>
      <x:c r="N1373" s="69" t="str"/>
      <x:c r="O1373" s="71" t="str">
        <x:v>本工程應包含下列項目:穿樑套管(含喇叭口或管帽),箱體名牌(電表箱),管路流向及管路標,公共設備移交清冊2本。</x:v>
      </x:c>
      <x:c r="P1373" s="71" t="str">
        <x:v>表格1第35列</x:v>
      </x:c>
      <x:c r="Q1373" s="71" t="str">
        <x:v>9 | 本工程應包含下列項目:穿樑套管(含喇叭口或管帽),箱體名牌(電表箱),管路流向及管路標,公共設備移交清冊2本。</x:v>
      </x:c>
      <x:c r="R1373" s="71" t="str">
        <x:v>各廠商合約&amp; 報價\MD檔案\信興水電工程標單.md</x:v>
      </x:c>
    </x:row>
    <x:row r="1374">
      <x:c r="A1374" s="69" t="str">
        <x:v>ITEM01370</x:v>
      </x:c>
      <x:c r="B1374" s="69" t="str">
        <x:v>SRC086</x:v>
      </x:c>
      <x:c r="C1374" s="69" t="str">
        <x:v>未定日期／非MD</x:v>
      </x:c>
      <x:c r="D1374" s="69" t="str">
        <x:v>未標示</x:v>
      </x:c>
      <x:c r="E1374" s="69" t="str"/>
      <x:c r="F1374" s="71" t="str">
        <x:v>臨時水電工程包含項目:1.揚水泵1只,10KW變壓器2.各層臨時插座(110V) 220V NFB 3.各層1只水龍頭4.排水1處及附件圖各項。</x:v>
      </x:c>
      <x:c r="G1374" s="71" t="str"/>
      <x:c r="H1374" s="71" t="str"/>
      <x:c r="I1374" s="72"/>
      <x:c r="J1374" s="69" t="str"/>
      <x:c r="K1374" s="70"/>
      <x:c r="L1374" s="69" t="str"/>
      <x:c r="M1374" s="70"/>
      <x:c r="N1374" s="69" t="str"/>
      <x:c r="O1374" s="71" t="str">
        <x:v>臨時水電工程包含項目:1.揚水泵1只,10KW變壓器2.各層臨時插座(110V) 220V NFB 3.各層1只水龍頭4.排水1處及附件圖各項。</x:v>
      </x:c>
      <x:c r="P1374" s="71" t="str">
        <x:v>表格1第40列</x:v>
      </x:c>
      <x:c r="Q1374" s="71" t="str">
        <x:v>14 | 臨時水電工程包含項目:1.揚水泵1只,10KW變壓器2.各層臨時插座(110V) 220V NFB 3.各層1只水龍頭4.排水1處及附件圖各項。</x:v>
      </x:c>
      <x:c r="R1374" s="71" t="str">
        <x:v>各廠商合約&amp; 報價\MD檔案\信興水電工程標單.md</x:v>
      </x:c>
    </x:row>
    <x:row r="1375">
      <x:c r="A1375" s="69" t="str">
        <x:v>ITEM01371</x:v>
      </x:c>
      <x:c r="B1375" s="69" t="str">
        <x:v>SRC081</x:v>
      </x:c>
      <x:c r="C1375" s="69" t="str">
        <x:v>未定日期／非MD</x:v>
      </x:c>
      <x:c r="D1375" s="69" t="str">
        <x:v>未標示</x:v>
      </x:c>
      <x:c r="E1375" s="69" t="str"/>
      <x:c r="F1375" s="71" t="str">
        <x:v>菊水BR-15修補材整批+螺栓孔位,板模線位放樣+螺栓孔處理+板模線製作+依基面調整,多次押花,修飾+有機矽透明保護中塗+有機矽透明保護面塗</x:v>
      </x:c>
      <x:c r="G1375" s="71" t="str"/>
      <x:c r="H1375" s="71" t="str">
        <x:v>m2</x:v>
      </x:c>
      <x:c r="I1375" s="72" t="n">
        <x:v>457</x:v>
      </x:c>
      <x:c r="J1375" s="69" t="str"/>
      <x:c r="K1375" s="70"/>
      <x:c r="L1375" s="69" t="str"/>
      <x:c r="M1375" s="70"/>
      <x:c r="N1375" s="69" t="str"/>
      <x:c r="O1375" s="71" t="str">
        <x:v>依實際面積計算</x:v>
      </x:c>
      <x:c r="P1375" s="71" t="str">
        <x:v>表格1第3列</x:v>
      </x:c>
      <x:c r="Q1375" s="71" t="str">
        <x:v>a | 菊水BR-15修補材整批+螺栓孔位,板模線位放樣+螺栓孔處理+板模線製作+依基面調整,多次押花,修飾+有機矽透明保護中塗+有機矽透明保護面塗 | 457 | m2 | 1,350 | 616,950 | 依實際面積計算</x:v>
      </x:c>
      <x:c r="R1375" s="71" t="str">
        <x:v>各廠商合約&amp; 報價\MD檔案\台灣菊水合約.md</x:v>
      </x:c>
    </x:row>
    <x:row r="1376">
      <x:c r="A1376" s="69" t="str">
        <x:v>ITEM01372</x:v>
      </x:c>
      <x:c r="B1376" s="69" t="str">
        <x:v>SRC089</x:v>
      </x:c>
      <x:c r="C1376" s="69" t="str">
        <x:v>未定日期／非MD</x:v>
      </x:c>
      <x:c r="D1376" s="69" t="str">
        <x:v>未標示</x:v>
      </x:c>
      <x:c r="E1376" s="69" t="str"/>
      <x:c r="F1376" s="71" t="str">
        <x:v>外部1:2水泥砂漿粉光(1~2F外牆+露標露柱)</x:v>
      </x:c>
      <x:c r="G1376" s="71" t="str">
        <x:v>外部1:2水泥砂漿粉光(1~2F外牆+露標露柱)</x:v>
      </x:c>
      <x:c r="H1376" s="71" t="str">
        <x:v>M2</x:v>
      </x:c>
      <x:c r="I1376" s="72" t="n">
        <x:v>1161</x:v>
      </x:c>
      <x:c r="J1376" s="69" t="str"/>
      <x:c r="K1376" s="70" t="n">
        <x:v>680</x:v>
      </x:c>
      <x:c r="L1376" s="69" t="str"/>
      <x:c r="M1376" s="70" t="n">
        <x:v>789480</x:v>
      </x:c>
      <x:c r="N1376" s="69" t="str">
        <x:v>789480</x:v>
      </x:c>
      <x:c r="O1376" s="71" t="str">
        <x:v>含吊料</x:v>
      </x:c>
      <x:c r="P1376" s="71" t="str">
        <x:v>表格1第3列</x:v>
      </x:c>
      <x:c r="Q1376" s="71" t="str">
        <x:v>1 | 外部1:2水泥砂漿粉光(1~2F外牆+露標露柱) | M2 | 1,161 | 680 | | 含吊料</x:v>
      </x:c>
      <x:c r="R1376" s="71" t="str">
        <x:v>各廠商合約&amp; 報價\MD檔案\富謙工程合約 _泥座_.md</x:v>
      </x:c>
    </x:row>
    <x:row r="1377">
      <x:c r="A1377" s="69" t="str">
        <x:v>ITEM01373</x:v>
      </x:c>
      <x:c r="B1377" s="69" t="str">
        <x:v>SRC089</x:v>
      </x:c>
      <x:c r="C1377" s="69" t="str">
        <x:v>未定日期／非MD</x:v>
      </x:c>
      <x:c r="D1377" s="69" t="str">
        <x:v>未標示</x:v>
      </x:c>
      <x:c r="E1377" s="69" t="str"/>
      <x:c r="F1377" s="71" t="str">
        <x:v>內部1:2水泥砂漿粉光</x:v>
      </x:c>
      <x:c r="G1377" s="71" t="str">
        <x:v>內部1:2水泥砂漿粉光</x:v>
      </x:c>
      <x:c r="H1377" s="71" t="str">
        <x:v>M2</x:v>
      </x:c>
      <x:c r="I1377" s="72" t="n">
        <x:v>5315</x:v>
      </x:c>
      <x:c r="J1377" s="69" t="str"/>
      <x:c r="K1377" s="70" t="n">
        <x:v>480</x:v>
      </x:c>
      <x:c r="L1377" s="69" t="str"/>
      <x:c r="M1377" s="70" t="n">
        <x:v>2551200</x:v>
      </x:c>
      <x:c r="N1377" s="69" t="str">
        <x:v>2551200</x:v>
      </x:c>
      <x:c r="O1377" s="71" t="str">
        <x:v>含黏條子、吊料</x:v>
      </x:c>
      <x:c r="P1377" s="71" t="str">
        <x:v>表格1第4列</x:v>
      </x:c>
      <x:c r="Q1377" s="71" t="str">
        <x:v>2 | 內部1:2水泥砂漿粉光 | M2 | 5,315 | 480 | | 含黏條子、吊料</x:v>
      </x:c>
      <x:c r="R1377" s="71" t="str">
        <x:v>各廠商合約&amp; 報價\MD檔案\富謙工程合約 _泥座_.md</x:v>
      </x:c>
    </x:row>
    <x:row r="1378">
      <x:c r="A1378" s="69" t="str">
        <x:v>ITEM01374</x:v>
      </x:c>
      <x:c r="B1378" s="69" t="str">
        <x:v>SRC089</x:v>
      </x:c>
      <x:c r="C1378" s="69" t="str">
        <x:v>未定日期／非MD</x:v>
      </x:c>
      <x:c r="D1378" s="69" t="str">
        <x:v>未標示</x:v>
      </x:c>
      <x:c r="E1378" s="69" t="str"/>
      <x:c r="F1378" s="71" t="str">
        <x:v>砌磚工程</x:v>
      </x:c>
      <x:c r="G1378" s="71" t="str">
        <x:v>砌磚工程</x:v>
      </x:c>
      <x:c r="H1378" s="71" t="str">
        <x:v>M2</x:v>
      </x:c>
      <x:c r="I1378" s="72" t="n">
        <x:v>743</x:v>
      </x:c>
      <x:c r="J1378" s="69" t="str"/>
      <x:c r="K1378" s="70" t="n">
        <x:v>600</x:v>
      </x:c>
      <x:c r="L1378" s="69" t="str"/>
      <x:c r="M1378" s="70" t="n">
        <x:v>445800</x:v>
      </x:c>
      <x:c r="N1378" s="69" t="str">
        <x:v>445800</x:v>
      </x:c>
      <x:c r="O1378" s="71" t="str">
        <x:v>不含材料、含吊料</x:v>
      </x:c>
      <x:c r="P1378" s="71" t="str">
        <x:v>表格1第5列</x:v>
      </x:c>
      <x:c r="Q1378" s="71" t="str">
        <x:v>3 | 砌磚工程 | M2 | 743 | 600 | | 不含材料、含吊料</x:v>
      </x:c>
      <x:c r="R1378" s="71" t="str">
        <x:v>各廠商合約&amp; 報價\MD檔案\富謙工程合約 _泥座_.md</x:v>
      </x:c>
    </x:row>
    <x:row r="1379">
      <x:c r="A1379" s="69" t="str">
        <x:v>ITEM01375</x:v>
      </x:c>
      <x:c r="B1379" s="69" t="str">
        <x:v>SRC089</x:v>
      </x:c>
      <x:c r="C1379" s="69" t="str">
        <x:v>未定日期／非MD</x:v>
      </x:c>
      <x:c r="D1379" s="69" t="str">
        <x:v>未標示</x:v>
      </x:c>
      <x:c r="E1379" s="69" t="str"/>
      <x:c r="F1379" s="71" t="str">
        <x:v>外部1:3水泥砂漿粗底粉刷(1~RF)</x:v>
      </x:c>
      <x:c r="G1379" s="71" t="str">
        <x:v>外部1:3水泥砂漿粗底粉刷(1~RF)</x:v>
      </x:c>
      <x:c r="H1379" s="71" t="str">
        <x:v>M2</x:v>
      </x:c>
      <x:c r="I1379" s="72" t="n">
        <x:v>1643</x:v>
      </x:c>
      <x:c r="J1379" s="69" t="str"/>
      <x:c r="K1379" s="70" t="n">
        <x:v>500</x:v>
      </x:c>
      <x:c r="L1379" s="69" t="str"/>
      <x:c r="M1379" s="70" t="n">
        <x:v>821500</x:v>
      </x:c>
      <x:c r="N1379" s="69" t="str">
        <x:v>821500</x:v>
      </x:c>
      <x:c r="O1379" s="71" t="str">
        <x:v>含黏條子</x:v>
      </x:c>
      <x:c r="P1379" s="71" t="str">
        <x:v>表格1第6列</x:v>
      </x:c>
      <x:c r="Q1379" s="71" t="str">
        <x:v>4 | 外部1:3水泥砂漿粗底粉刷(1~RF) | M2 | 1,643 | 500 | | 含黏條子</x:v>
      </x:c>
      <x:c r="R1379" s="71" t="str">
        <x:v>各廠商合約&amp; 報價\MD檔案\富謙工程合約 _泥座_.md</x:v>
      </x:c>
    </x:row>
    <x:row r="1380">
      <x:c r="A1380" s="69" t="str">
        <x:v>ITEM01376</x:v>
      </x:c>
      <x:c r="B1380" s="69" t="str">
        <x:v>SRC089</x:v>
      </x:c>
      <x:c r="C1380" s="69" t="str">
        <x:v>未定日期／非MD</x:v>
      </x:c>
      <x:c r="D1380" s="69" t="str">
        <x:v>未標示</x:v>
      </x:c>
      <x:c r="E1380" s="69" t="str"/>
      <x:c r="F1380" s="71" t="str">
        <x:v>2至7F地坪地磚(梯間)</x:v>
      </x:c>
      <x:c r="G1380" s="71" t="str">
        <x:v>2至7F地坪地磚(梯間)</x:v>
      </x:c>
      <x:c r="H1380" s="71" t="str">
        <x:v>M2</x:v>
      </x:c>
      <x:c r="I1380" s="72" t="n">
        <x:v>30</x:v>
      </x:c>
      <x:c r="J1380" s="69" t="str"/>
      <x:c r="K1380" s="70" t="n">
        <x:v>500</x:v>
      </x:c>
      <x:c r="L1380" s="69" t="str"/>
      <x:c r="M1380" s="70" t="n">
        <x:v>15000</x:v>
      </x:c>
      <x:c r="N1380" s="69" t="str">
        <x:v>15000</x:v>
      </x:c>
      <x:c r="O1380" s="71" t="str">
        <x:v>含吊料</x:v>
      </x:c>
      <x:c r="P1380" s="71" t="str">
        <x:v>表格1第7列</x:v>
      </x:c>
      <x:c r="Q1380" s="71" t="str">
        <x:v>5 | 2至7F地坪地磚(梯間) | M2 | 30 | 500 | | 含吊料</x:v>
      </x:c>
      <x:c r="R1380" s="71" t="str">
        <x:v>各廠商合約&amp; 報價\MD檔案\富謙工程合約 _泥座_.md</x:v>
      </x:c>
    </x:row>
    <x:row r="1381">
      <x:c r="A1381" s="69" t="str">
        <x:v>ITEM01377</x:v>
      </x:c>
      <x:c r="B1381" s="69" t="str">
        <x:v>SRC089</x:v>
      </x:c>
      <x:c r="C1381" s="69" t="str">
        <x:v>未定日期／非MD</x:v>
      </x:c>
      <x:c r="D1381" s="69" t="str">
        <x:v>未標示</x:v>
      </x:c>
      <x:c r="E1381" s="69" t="str"/>
      <x:c r="F1381" s="71" t="str">
        <x:v>2至7F地坪打底</x:v>
      </x:c>
      <x:c r="G1381" s="71" t="str">
        <x:v>2至7F地坪打底</x:v>
      </x:c>
      <x:c r="H1381" s="71" t="str">
        <x:v>M2</x:v>
      </x:c>
      <x:c r="I1381" s="72" t="n">
        <x:v>670</x:v>
      </x:c>
      <x:c r="J1381" s="69" t="str"/>
      <x:c r="K1381" s="70" t="n">
        <x:v>400</x:v>
      </x:c>
      <x:c r="L1381" s="69" t="str"/>
      <x:c r="M1381" s="70" t="n">
        <x:v>268000</x:v>
      </x:c>
      <x:c r="N1381" s="69" t="str">
        <x:v>268000</x:v>
      </x:c>
      <x:c r="O1381" s="71" t="str">
        <x:v>含吊料</x:v>
      </x:c>
      <x:c r="P1381" s="71" t="str">
        <x:v>表格1第8列</x:v>
      </x:c>
      <x:c r="Q1381" s="71" t="str">
        <x:v>6 | 2至7F地坪打底 | M2 | 670 | 400 | | 含吊料</x:v>
      </x:c>
      <x:c r="R1381" s="71" t="str">
        <x:v>各廠商合約&amp; 報價\MD檔案\富謙工程合約 _泥座_.md</x:v>
      </x:c>
    </x:row>
    <x:row r="1382">
      <x:c r="A1382" s="69" t="str">
        <x:v>ITEM01378</x:v>
      </x:c>
      <x:c r="B1382" s="69" t="str">
        <x:v>SRC089</x:v>
      </x:c>
      <x:c r="C1382" s="69" t="str">
        <x:v>未定日期／非MD</x:v>
      </x:c>
      <x:c r="D1382" s="69" t="str">
        <x:v>未標示</x:v>
      </x:c>
      <x:c r="E1382" s="69" t="str"/>
      <x:c r="F1382" s="71" t="str">
        <x:v>陽台、浴室地坪地磚</x:v>
      </x:c>
      <x:c r="G1382" s="71" t="str">
        <x:v>陽台、浴室地坪地磚</x:v>
      </x:c>
      <x:c r="H1382" s="71" t="str">
        <x:v>處</x:v>
      </x:c>
      <x:c r="I1382" s="72" t="n">
        <x:v>50</x:v>
      </x:c>
      <x:c r="J1382" s="69" t="str"/>
      <x:c r="K1382" s="70" t="n">
        <x:v>4000</x:v>
      </x:c>
      <x:c r="L1382" s="69" t="str"/>
      <x:c r="M1382" s="70" t="n">
        <x:v>200000</x:v>
      </x:c>
      <x:c r="N1382" s="69" t="str">
        <x:v>200000</x:v>
      </x:c>
      <x:c r="O1382" s="71" t="str">
        <x:v>浴室22間;陽台28間</x:v>
      </x:c>
      <x:c r="P1382" s="71" t="str">
        <x:v>表格1第9列</x:v>
      </x:c>
      <x:c r="Q1382" s="71" t="str">
        <x:v>7 | 陽台、浴室地坪地磚 | 處 | 50 | 4,000 | | 浴室22間;陽台28間</x:v>
      </x:c>
      <x:c r="R1382" s="71" t="str">
        <x:v>各廠商合約&amp; 報價\MD檔案\富謙工程合約 _泥座_.md</x:v>
      </x:c>
    </x:row>
    <x:row r="1383">
      <x:c r="A1383" s="69" t="str">
        <x:v>ITEM01379</x:v>
      </x:c>
      <x:c r="B1383" s="69" t="str">
        <x:v>SRC089</x:v>
      </x:c>
      <x:c r="C1383" s="69" t="str">
        <x:v>未定日期／非MD</x:v>
      </x:c>
      <x:c r="D1383" s="69" t="str">
        <x:v>未標示</x:v>
      </x:c>
      <x:c r="E1383" s="69" t="str"/>
      <x:c r="F1383" s="71" t="str">
        <x:v>內牆水泥漆,一底二度</x:v>
      </x:c>
      <x:c r="G1383" s="71" t="str">
        <x:v>內牆水泥漆,一底二度</x:v>
      </x:c>
      <x:c r="H1383" s="71" t="str">
        <x:v>M2</x:v>
      </x:c>
      <x:c r="I1383" s="72" t="n">
        <x:v>5315</x:v>
      </x:c>
      <x:c r="J1383" s="69" t="str"/>
      <x:c r="K1383" s="70" t="n">
        <x:v>150</x:v>
      </x:c>
      <x:c r="L1383" s="69" t="str"/>
      <x:c r="M1383" s="70" t="n">
        <x:v>797250</x:v>
      </x:c>
      <x:c r="N1383" s="69" t="str">
        <x:v>797250</x:v>
      </x:c>
      <x:c r="O1383" s="71" t="str">
        <x:v>不含門窗框矽利康收邊</x:v>
      </x:c>
      <x:c r="P1383" s="71" t="str">
        <x:v>表格1第10列</x:v>
      </x:c>
      <x:c r="Q1383" s="71" t="str">
        <x:v>8 | 內牆水泥漆,一底二度 | M2 | 5,315 | 150 | | 不含門窗框矽利康收邊</x:v>
      </x:c>
      <x:c r="R1383" s="71" t="str">
        <x:v>各廠商合約&amp; 報價\MD檔案\富謙工程合約 _泥座_.md</x:v>
      </x:c>
    </x:row>
    <x:row r="1384">
      <x:c r="A1384" s="69" t="str">
        <x:v>ITEM01380</x:v>
      </x:c>
      <x:c r="B1384" s="69" t="str">
        <x:v>SRC089</x:v>
      </x:c>
      <x:c r="C1384" s="69" t="str">
        <x:v>未定日期／非MD</x:v>
      </x:c>
      <x:c r="D1384" s="69" t="str">
        <x:v>未標示</x:v>
      </x:c>
      <x:c r="E1384" s="69" t="str"/>
      <x:c r="F1384" s="71" t="str">
        <x:v>平頂批土刷水泥漆</x:v>
      </x:c>
      <x:c r="G1384" s="71" t="str">
        <x:v>平頂批土刷水泥漆</x:v>
      </x:c>
      <x:c r="H1384" s="71" t="str">
        <x:v>M2</x:v>
      </x:c>
      <x:c r="I1384" s="72" t="n">
        <x:v>1240</x:v>
      </x:c>
      <x:c r="J1384" s="69" t="str"/>
      <x:c r="K1384" s="70" t="n">
        <x:v>250</x:v>
      </x:c>
      <x:c r="L1384" s="69" t="str"/>
      <x:c r="M1384" s="70" t="n">
        <x:v>310000</x:v>
      </x:c>
      <x:c r="N1384" s="69" t="str">
        <x:v>310000</x:v>
      </x:c>
      <x:c r="O1384" s="71" t="str"/>
      <x:c r="P1384" s="71" t="str">
        <x:v>表格1第11列</x:v>
      </x:c>
      <x:c r="Q1384" s="71" t="str">
        <x:v>9 | 平頂批土刷水泥漆 | M2 | 1,240 | 250 | |</x:v>
      </x:c>
      <x:c r="R1384" s="71" t="str">
        <x:v>各廠商合約&amp; 報價\MD檔案\富謙工程合約 _泥座_.md</x:v>
      </x:c>
    </x:row>
    <x:row r="1385">
      <x:c r="A1385" s="69" t="str">
        <x:v>ITEM01381</x:v>
      </x:c>
      <x:c r="B1385" s="69" t="str">
        <x:v>SRC089</x:v>
      </x:c>
      <x:c r="C1385" s="69" t="str">
        <x:v>未定日期／非MD</x:v>
      </x:c>
      <x:c r="D1385" s="69" t="str">
        <x:v>未標示</x:v>
      </x:c>
      <x:c r="E1385" s="69" t="str"/>
      <x:c r="F1385" s="71" t="str">
        <x:v>樓梯粉刷打底+整體樓梯磚</x:v>
      </x:c>
      <x:c r="G1385" s="71" t="str">
        <x:v>樓梯粉刷打底+整體樓梯磚</x:v>
      </x:c>
      <x:c r="H1385" s="71" t="str">
        <x:v>座</x:v>
      </x:c>
      <x:c r="I1385" s="72" t="n">
        <x:v>8</x:v>
      </x:c>
      <x:c r="J1385" s="69" t="str"/>
      <x:c r="K1385" s="70" t="n">
        <x:v>16000</x:v>
      </x:c>
      <x:c r="L1385" s="69" t="str"/>
      <x:c r="M1385" s="70" t="n">
        <x:v>128000</x:v>
      </x:c>
      <x:c r="N1385" s="69" t="str">
        <x:v>128000</x:v>
      </x:c>
      <x:c r="O1385" s="71" t="str">
        <x:v>含吊料,不含加工水切費用</x:v>
      </x:c>
      <x:c r="P1385" s="71" t="str">
        <x:v>表格1第12列</x:v>
      </x:c>
      <x:c r="Q1385" s="71" t="str">
        <x:v>10 | 樓梯粉刷打底+整體樓梯磚 | 座 | 8 | 16,000 | | 含吊料,不含加工水切費用</x:v>
      </x:c>
      <x:c r="R1385" s="71" t="str">
        <x:v>各廠商合約&amp; 報價\MD檔案\富謙工程合約 _泥座_.md</x:v>
      </x:c>
    </x:row>
    <x:row r="1386">
      <x:c r="A1386" s="69" t="str">
        <x:v>ITEM01382</x:v>
      </x:c>
      <x:c r="B1386" s="69" t="str">
        <x:v>SRC089</x:v>
      </x:c>
      <x:c r="C1386" s="69" t="str">
        <x:v>未定日期／非MD</x:v>
      </x:c>
      <x:c r="D1386" s="69" t="str">
        <x:v>未標示</x:v>
      </x:c>
      <x:c r="E1386" s="69" t="str"/>
      <x:c r="F1386" s="71" t="str">
        <x:v>露臺地磚</x:v>
      </x:c>
      <x:c r="G1386" s="71" t="str">
        <x:v>露臺地磚</x:v>
      </x:c>
      <x:c r="H1386" s="71" t="str">
        <x:v>M2</x:v>
      </x:c>
      <x:c r="I1386" s="72" t="n">
        <x:v>146</x:v>
      </x:c>
      <x:c r="J1386" s="69" t="str"/>
      <x:c r="K1386" s="70" t="n">
        <x:v>500</x:v>
      </x:c>
      <x:c r="L1386" s="69" t="str"/>
      <x:c r="M1386" s="70" t="n">
        <x:v>73000</x:v>
      </x:c>
      <x:c r="N1386" s="69" t="str">
        <x:v>73000</x:v>
      </x:c>
      <x:c r="O1386" s="71" t="str">
        <x:v>不含PS隔熱板+鐵焊鋼絲網</x:v>
      </x:c>
      <x:c r="P1386" s="71" t="str">
        <x:v>表格1第13列</x:v>
      </x:c>
      <x:c r="Q1386" s="71" t="str">
        <x:v>11 | 露臺地磚 | M2 | 146 | 500 | | 不含PS隔熱板+鐵焊鋼絲網</x:v>
      </x:c>
      <x:c r="R1386" s="71" t="str">
        <x:v>各廠商合約&amp; 報價\MD檔案\富謙工程合約 _泥座_.md</x:v>
      </x:c>
    </x:row>
    <x:row r="1387">
      <x:c r="A1387" s="69" t="str">
        <x:v>ITEM01383</x:v>
      </x:c>
      <x:c r="B1387" s="69" t="str">
        <x:v>SRC089</x:v>
      </x:c>
      <x:c r="C1387" s="69" t="str">
        <x:v>未定日期／非MD</x:v>
      </x:c>
      <x:c r="D1387" s="69" t="str">
        <x:v>未標示</x:v>
      </x:c>
      <x:c r="E1387" s="69" t="str"/>
      <x:c r="F1387" s="71" t="str">
        <x:v>外牆防水,一底二度(彈泥)</x:v>
      </x:c>
      <x:c r="G1387" s="71" t="str">
        <x:v>外牆防水,一底二度(彈泥)</x:v>
      </x:c>
      <x:c r="H1387" s="71" t="str">
        <x:v>M2</x:v>
      </x:c>
      <x:c r="I1387" s="72" t="n">
        <x:v>1643</x:v>
      </x:c>
      <x:c r="J1387" s="69" t="str"/>
      <x:c r="K1387" s="70" t="n">
        <x:v>220</x:v>
      </x:c>
      <x:c r="L1387" s="69" t="str"/>
      <x:c r="M1387" s="70" t="n">
        <x:v>361460</x:v>
      </x:c>
      <x:c r="N1387" s="69" t="str">
        <x:v>361460</x:v>
      </x:c>
      <x:c r="O1387" s="71" t="str">
        <x:v>含浴室牆面</x:v>
      </x:c>
      <x:c r="P1387" s="71" t="str">
        <x:v>表格1第17列</x:v>
      </x:c>
      <x:c r="Q1387" s="71" t="str">
        <x:v>1 | 外牆防水,一底二度(彈泥) | M2 | 1,643 | 220 | 實作實算 | 含浴室牆面</x:v>
      </x:c>
      <x:c r="R1387" s="71" t="str">
        <x:v>各廠商合約&amp; 報價\MD檔案\富謙工程合約 _泥座_.md</x:v>
      </x:c>
    </x:row>
    <x:row r="1388">
      <x:c r="A1388" s="69" t="str">
        <x:v>ITEM01384</x:v>
      </x:c>
      <x:c r="B1388" s="69" t="str">
        <x:v>SRC089</x:v>
      </x:c>
      <x:c r="C1388" s="69" t="str">
        <x:v>未定日期／非MD</x:v>
      </x:c>
      <x:c r="D1388" s="69" t="str">
        <x:v>未標示</x:v>
      </x:c>
      <x:c r="E1388" s="69" t="str"/>
      <x:c r="F1388" s="71" t="str">
        <x:v>露臺、陽台、浴室、屋頂、地面、全面貼六角網含保護層</x:v>
      </x:c>
      <x:c r="G1388" s="71" t="str">
        <x:v>露臺、陽台、浴室、屋頂、地面、全面貼六角網含保護層</x:v>
      </x:c>
      <x:c r="H1388" s="71" t="str">
        <x:v>M2</x:v>
      </x:c>
      <x:c r="I1388" s="72" t="n">
        <x:v>214</x:v>
      </x:c>
      <x:c r="J1388" s="69" t="str"/>
      <x:c r="K1388" s="70" t="n">
        <x:v>550</x:v>
      </x:c>
      <x:c r="L1388" s="69" t="str"/>
      <x:c r="M1388" s="70" t="n">
        <x:v>117700</x:v>
      </x:c>
      <x:c r="N1388" s="69" t="str">
        <x:v>117700</x:v>
      </x:c>
      <x:c r="O1388" s="71" t="str"/>
      <x:c r="P1388" s="71" t="str">
        <x:v>表格1第18列</x:v>
      </x:c>
      <x:c r="Q1388" s="71" t="str">
        <x:v>2 | 露臺、陽台、浴室、屋頂、地面、全面貼六角網含保護層 | M2 | 214 | 550 | 實作實算 |</x:v>
      </x:c>
      <x:c r="R1388" s="71" t="str">
        <x:v>各廠商合約&amp; 報價\MD檔案\富謙工程合約 _泥座_.md</x:v>
      </x:c>
    </x:row>
    <x:row r="1389">
      <x:c r="A1389" s="69" t="str">
        <x:v>ITEM01385</x:v>
      </x:c>
      <x:c r="B1389" s="69" t="str">
        <x:v>SRC089</x:v>
      </x:c>
      <x:c r="C1389" s="69" t="str">
        <x:v>未定日期／非MD</x:v>
      </x:c>
      <x:c r="D1389" s="69" t="str">
        <x:v>未標示</x:v>
      </x:c>
      <x:c r="E1389" s="69" t="str"/>
      <x:c r="F1389" s="71" t="str">
        <x:v>L角貼六角網</x:v>
      </x:c>
      <x:c r="G1389" s="71" t="str">
        <x:v>L角貼六角網</x:v>
      </x:c>
      <x:c r="H1389" s="71" t="str">
        <x:v>慶</x:v>
      </x:c>
      <x:c r="I1389" s="72" t="n">
        <x:v>230</x:v>
      </x:c>
      <x:c r="J1389" s="69" t="str"/>
      <x:c r="K1389" s="70" t="n">
        <x:v>200</x:v>
      </x:c>
      <x:c r="L1389" s="69" t="str"/>
      <x:c r="M1389" s="70" t="n">
        <x:v>46000</x:v>
      </x:c>
      <x:c r="N1389" s="69" t="str">
        <x:v>46000</x:v>
      </x:c>
      <x:c r="O1389" s="71" t="str"/>
      <x:c r="P1389" s="71" t="str">
        <x:v>表格1第19列</x:v>
      </x:c>
      <x:c r="Q1389" s="71" t="str">
        <x:v>3 | L角貼六角網 | 慶 | 230 | 200 | 實作實算 |</x:v>
      </x:c>
      <x:c r="R1389" s="71" t="str">
        <x:v>各廠商合約&amp; 報價\MD檔案\富謙工程合約 _泥座_.md</x:v>
      </x:c>
    </x:row>
    <x:row r="1390">
      <x:c r="A1390" s="69" t="str">
        <x:v>ITEM01386</x:v>
      </x:c>
      <x:c r="B1390" s="69" t="str">
        <x:v>SRC087</x:v>
      </x:c>
      <x:c r="C1390" s="69" t="str">
        <x:v>未定日期／非MD</x:v>
      </x:c>
      <x:c r="D1390" s="69" t="str">
        <x:v>未標示</x:v>
      </x:c>
      <x:c r="E1390" s="69" t="str"/>
      <x:c r="F1390" s="71" t="str">
        <x:v>附註:1.全樓為寬斜型不銹鋼髮紋材質門框。2.全樓乘場門扇為彩妝鋼板材質製成。(色樣另選)3.車廂前側板為不鏽鋼材質,車廂內門及三側壁板為彩妝鋼板材質。(色樣另選)4.車廂地板為PVC塑膠材質地磚製成(色樣另選),或甲方自貼石材,乙方配合預留鋪設尺寸。5.附行動不便設備:專用車廂主操作盤、專用乘場按鈕盤、盲人點字板、圓…（詳原文索引）</x:v>
      </x:c>
      <x:c r="G1390" s="71" t="str"/>
      <x:c r="H1390" s="71" t="str"/>
      <x:c r="I1390" s="72"/>
      <x:c r="J1390" s="69" t="str"/>
      <x:c r="K1390" s="70"/>
      <x:c r="L1390" s="69" t="str"/>
      <x:c r="M1390" s="70"/>
      <x:c r="N1390" s="69" t="str"/>
      <x:c r="O1390" s="71" t="str">
        <x:v>附註:1.全樓為寬斜型不銹鋼髮紋材質門框。2.全樓乘場門扇為彩妝鋼板材質製成。(色樣另選)3.車廂前側板為不鏽鋼材質,車廂內門及三側壁板為彩妝鋼板材質。(色樣另選)4.車廂地板為PVC塑膠材質地磚製成(色樣另選),或甲方自貼石材,乙方配合預留鋪設尺寸。5.附行動不便設備:專用車廂主操作盤、專用乘場按…（詳原文索引）</x:v>
      </x:c>
      <x:c r="P1390" s="71" t="str">
        <x:v>表格1第19列</x:v>
      </x:c>
      <x:c r="Q1390" s="71" t="str">
        <x:v>附註:1.全樓為寬斜型不銹鋼髮紋材質門框。2.全樓乘場門扇為彩妝鋼板材質製成。(色樣另選)3.車廂前側板為不鏽鋼材質,車廂內門及三側壁板為彩妝鋼板材質。(色樣另選)4.車廂地板為PVC塑膠材質地磚製成(色樣另選),或甲方自貼石材,乙方配合預留鋪設尺寸。5.附行動不便設備:專用車廂主操作盤、專用乘場按鈕盤、盲人點字板、圓管型不銹鋼扶手貳支、自動水平修正功能、樓層浮凸標示、語音合成器、紅外線光幕、半身明鏡壹面。★各樓乘場之無障礙引導標誌屬甲方工程(升降機設有點字板之呼叫按鈕前方300mm處之地板,應作300mm*600mm之不同材質處理)。6.乙方配合CCTV拉線工程(甲方提供設備及線材)。7.附…（詳原文索引）</x:v>
      </x:c>
      <x:c r="R1390" s="71" t="str">
        <x:v>各廠商合約&amp; 報價\MD檔案\崇友實業合約_升降設備安裝承攬合約書_.md</x:v>
      </x:c>
    </x:row>
    <x:row r="1391">
      <x:c r="A1391" s="69" t="str">
        <x:v>ITEM01387</x:v>
      </x:c>
      <x:c r="B1391" s="69" t="str">
        <x:v>SRC087</x:v>
      </x:c>
      <x:c r="C1391" s="69" t="str">
        <x:v>未定日期／非MD</x:v>
      </x:c>
      <x:c r="D1391" s="69" t="str">
        <x:v>未標示</x:v>
      </x:c>
      <x:c r="E1391" s="69" t="str"/>
      <x:c r="F1391" s="71" t="str">
        <x:v>VVVF</x:v>
      </x:c>
      <x:c r="G1391" s="71" t="str">
        <x:v>SR9-2S90-8S</x:v>
      </x:c>
      <x:c r="H1391" s="71" t="str"/>
      <x:c r="I1391" s="72" t="n">
        <x:v>1</x:v>
      </x:c>
      <x:c r="J1391" s="69" t="str"/>
      <x:c r="K1391" s="70" t="n">
        <x:v>381000</x:v>
      </x:c>
      <x:c r="L1391" s="69" t="str"/>
      <x:c r="M1391" s="70" t="n">
        <x:v>381000</x:v>
      </x:c>
      <x:c r="N1391" s="69" t="str">
        <x:v>381000</x:v>
      </x:c>
      <x:c r="O1391" s="71" t="str">
        <x:v>兼行動不便用</x:v>
      </x:c>
      <x:c r="P1391" s="71" t="str">
        <x:v>表格2第2列</x:v>
      </x:c>
      <x:c r="Q1391" s="71" t="str">
        <x:v>1 | VVVF | SR9-2S90-8S | $381,000 | 1 | $381,000 | 兼行動不便用</x:v>
      </x:c>
      <x:c r="R1391" s="71" t="str">
        <x:v>各廠商合約&amp; 報價\MD檔案\崇友實業合約_升降設備安裝承攬合約書_.md</x:v>
      </x:c>
    </x:row>
    <x:row r="1392">
      <x:c r="A1392" s="69" t="str">
        <x:v>ITEM01388</x:v>
      </x:c>
      <x:c r="B1392" s="69" t="str">
        <x:v>SRC088</x:v>
      </x:c>
      <x:c r="C1392" s="69" t="str">
        <x:v>未定日期／非MD</x:v>
      </x:c>
      <x:c r="D1392" s="69" t="str">
        <x:v>未標示</x:v>
      </x:c>
      <x:c r="E1392" s="69" t="str"/>
      <x:c r="F1392" s="71" t="str">
        <x:v>註:全樓為寬斜型不銹鋼髮紋材質門框。全樓乘場門扇為彩妝鋼板材質製成。(色樣另選)車廂前側板為不鏽鋼材質,車廂內門及三側壁板為彩妝鋼板材質。(色樣另選)車廂地板為PVC塑膠材質地磚製成(色樣另選),或甲方自貼石材,乙方配合預留鋪設尺寸。附行動不便設備:專用車廂主操作盤、專用乘場按鈕盤、盲人點字板、圓管型不銹鋼扶手貳支、自…（詳原文索引）</x:v>
      </x:c>
      <x:c r="G1392" s="71" t="str"/>
      <x:c r="H1392" s="71" t="str"/>
      <x:c r="I1392" s="72"/>
      <x:c r="J1392" s="69" t="str"/>
      <x:c r="K1392" s="70"/>
      <x:c r="L1392" s="69" t="str"/>
      <x:c r="M1392" s="70"/>
      <x:c r="N1392" s="69" t="str"/>
      <x:c r="O1392" s="71" t="str">
        <x:v>註:全樓為寬斜型不銹鋼髮紋材質門框。全樓乘場門扇為彩妝鋼板材質製成。(色樣另選)車廂前側板為不鏽鋼材質,車廂內門及三側壁板為彩妝鋼板材質。(色樣另選)車廂地板為PVC塑膠材質地磚製成(色樣另選),或甲方自貼石材,乙方配合預留鋪設尺寸。附行動不便設備:專用車廂主操作盤、專用乘場按鈕盤、盲人點字板、圓管…（詳原文索引）</x:v>
      </x:c>
      <x:c r="P1392" s="71" t="str">
        <x:v>表格1第19列</x:v>
      </x:c>
      <x:c r="Q1392" s="71" t="str">
        <x:v>註:全樓為寬斜型不銹鋼髮紋材質門框。全樓乘場門扇為彩妝鋼板材質製成。(色樣另選)車廂前側板為不鏽鋼材質,車廂內門及三側壁板為彩妝鋼板材質。(色樣另選)車廂地板為PVC塑膠材質地磚製成(色樣另選),或甲方自貼石材,乙方配合預留鋪設尺寸。附行動不便設備:專用車廂主操作盤、專用乘場按鈕盤、盲人點字板、圓管型不銹鋼扶手貳支、自動水平修正功能、樓層浮凸標示、語音合成器、紅外線光幕、半身明鏡壹面。★各樓乘場之無障礙引導標誌屬甲方工程(升降機設有點字板之呼叫按鈕前方300mm處之地板,應作300mm*600mm之不同材質處理)。乙方配合CCTV拉線工程(甲方提供設備及線材)。附停電復歸就近樓層裝置。</x:v>
      </x:c>
      <x:c r="R1392" s="71" t="str">
        <x:v>各廠商合約&amp; 報價\MD檔案\崇友實業合約_升降設備買賣合約書_.md</x:v>
      </x:c>
    </x:row>
    <x:row r="1393">
      <x:c r="A1393" s="69" t="str">
        <x:v>ITEM01389</x:v>
      </x:c>
      <x:c r="B1393" s="69" t="str">
        <x:v>SRC088</x:v>
      </x:c>
      <x:c r="C1393" s="69" t="str">
        <x:v>未定日期／非MD</x:v>
      </x:c>
      <x:c r="D1393" s="69" t="str">
        <x:v>未標示</x:v>
      </x:c>
      <x:c r="E1393" s="69" t="str"/>
      <x:c r="F1393" s="71" t="str">
        <x:v>VVVF</x:v>
      </x:c>
      <x:c r="G1393" s="71" t="str">
        <x:v>SR9-2S90-8S</x:v>
      </x:c>
      <x:c r="H1393" s="71" t="str"/>
      <x:c r="I1393" s="72" t="n">
        <x:v>1</x:v>
      </x:c>
      <x:c r="J1393" s="69" t="str"/>
      <x:c r="K1393" s="70" t="n">
        <x:v>889000</x:v>
      </x:c>
      <x:c r="L1393" s="69" t="str"/>
      <x:c r="M1393" s="70" t="n">
        <x:v>889000</x:v>
      </x:c>
      <x:c r="N1393" s="69" t="str">
        <x:v>889000</x:v>
      </x:c>
      <x:c r="O1393" s="71" t="str">
        <x:v>兼行動不便用</x:v>
      </x:c>
      <x:c r="P1393" s="71" t="str">
        <x:v>表格2第2列</x:v>
      </x:c>
      <x:c r="Q1393" s="71" t="str">
        <x:v>1 | VVVF | SR9-2S90-8S | $889,000 | 1 | $889,000 | 兼行動不便用</x:v>
      </x:c>
      <x:c r="R1393" s="71" t="str">
        <x:v>各廠商合約&amp; 報價\MD檔案\崇友實業合約_升降設備買賣合約書_.md</x:v>
      </x:c>
    </x:row>
    <x:row r="1394">
      <x:c r="A1394" s="69" t="str">
        <x:v>ITEM01390</x:v>
      </x:c>
      <x:c r="B1394" s="69" t="str">
        <x:v>SRC082</x:v>
      </x:c>
      <x:c r="C1394" s="69" t="str">
        <x:v>未定日期／非MD</x:v>
      </x:c>
      <x:c r="D1394" s="69" t="str">
        <x:v>未標示</x:v>
      </x:c>
      <x:c r="E1394" s="69" t="str"/>
      <x:c r="F1394" s="71" t="str">
        <x:v>施工圍籬,h=180cm(含止水敦)</x:v>
      </x:c>
      <x:c r="G1394" s="71" t="str">
        <x:v>施工圍籬,h=180cm(含止水敦)</x:v>
      </x:c>
      <x:c r="H1394" s="71" t="str">
        <x:v>M</x:v>
      </x:c>
      <x:c r="I1394" s="72" t="n">
        <x:v>80</x:v>
      </x:c>
      <x:c r="J1394" s="69" t="str"/>
      <x:c r="K1394" s="70" t="n">
        <x:v>2000</x:v>
      </x:c>
      <x:c r="L1394" s="69" t="str"/>
      <x:c r="M1394" s="70" t="n">
        <x:v>160000</x:v>
      </x:c>
      <x:c r="N1394" s="69" t="str">
        <x:v>160000</x:v>
      </x:c>
      <x:c r="O1394" s="71" t="str">
        <x:v>舊品更新</x:v>
      </x:c>
      <x:c r="P1394" s="71" t="str">
        <x:v>表格2第3列</x:v>
      </x:c>
      <x:c r="Q1394" s="71" t="str">
        <x:v>1 | 施工圍籬,h=180cm(含止水敦) | M | 80 | 2,000 | $160,000 | 舊品更新</x:v>
      </x:c>
      <x:c r="R1394" s="71" t="str">
        <x:v>各廠商合約&amp; 報價\MD檔案\永豐餘工程合約.md</x:v>
      </x:c>
    </x:row>
    <x:row r="1395">
      <x:c r="A1395" s="69" t="str">
        <x:v>ITEM01391</x:v>
      </x:c>
      <x:c r="B1395" s="69" t="str">
        <x:v>SRC082</x:v>
      </x:c>
      <x:c r="C1395" s="69" t="str">
        <x:v>未定日期／非MD</x:v>
      </x:c>
      <x:c r="D1395" s="69" t="str">
        <x:v>未標示</x:v>
      </x:c>
      <x:c r="E1395" s="69" t="str"/>
      <x:c r="F1395" s="71" t="str">
        <x:v>8M施工大門</x:v>
      </x:c>
      <x:c r="G1395" s="71" t="str">
        <x:v>8M施工大門</x:v>
      </x:c>
      <x:c r="H1395" s="71" t="str">
        <x:v>座</x:v>
      </x:c>
      <x:c r="I1395" s="72"/>
      <x:c r="J1395" s="69" t="str"/>
      <x:c r="K1395" s="70"/>
      <x:c r="L1395" s="69" t="str"/>
      <x:c r="M1395" s="70" t="n">
        <x:v>0</x:v>
      </x:c>
      <x:c r="N1395" s="69" t="str">
        <x:v>0</x:v>
      </x:c>
      <x:c r="O1395" s="71" t="str">
        <x:v>業主已設置</x:v>
      </x:c>
      <x:c r="P1395" s="71" t="str">
        <x:v>表格2第4列</x:v>
      </x:c>
      <x:c r="Q1395" s="71" t="str">
        <x:v>2 | 8M施工大門 | 座 | | - | $0 | 業主已設置</x:v>
      </x:c>
      <x:c r="R1395" s="71" t="str">
        <x:v>各廠商合約&amp; 報價\MD檔案\永豐餘工程合約.md</x:v>
      </x:c>
    </x:row>
    <x:row r="1396">
      <x:c r="A1396" s="69" t="str">
        <x:v>ITEM01392</x:v>
      </x:c>
      <x:c r="B1396" s="69" t="str">
        <x:v>SRC082</x:v>
      </x:c>
      <x:c r="C1396" s="69" t="str">
        <x:v>未定日期／非MD</x:v>
      </x:c>
      <x:c r="D1396" s="69" t="str">
        <x:v>未標示</x:v>
      </x:c>
      <x:c r="E1396" s="69" t="str"/>
      <x:c r="F1396" s="71" t="str">
        <x:v>臨時水、臨時電申請工程費(線補費+保證金)</x:v>
      </x:c>
      <x:c r="G1396" s="71" t="str">
        <x:v>臨時水、臨時電申請工程費(線補費+保證金)</x:v>
      </x:c>
      <x:c r="H1396" s="71" t="str">
        <x:v>式</x:v>
      </x:c>
      <x:c r="I1396" s="72"/>
      <x:c r="J1396" s="69" t="str"/>
      <x:c r="K1396" s="70"/>
      <x:c r="L1396" s="69" t="str"/>
      <x:c r="M1396" s="70" t="n">
        <x:v>0</x:v>
      </x:c>
      <x:c r="N1396" s="69" t="str">
        <x:v>0</x:v>
      </x:c>
      <x:c r="O1396" s="71" t="str">
        <x:v>業主發包</x:v>
      </x:c>
      <x:c r="P1396" s="71" t="str">
        <x:v>表格2第5列</x:v>
      </x:c>
      <x:c r="Q1396" s="71" t="str">
        <x:v>3 | 臨時水、臨時電申請工程費(線補費+保證金) | 式 | | | $0 | 業主發包</x:v>
      </x:c>
      <x:c r="R1396" s="71" t="str">
        <x:v>各廠商合約&amp; 報價\MD檔案\永豐餘工程合約.md</x:v>
      </x:c>
    </x:row>
    <x:row r="1397">
      <x:c r="A1397" s="69" t="str">
        <x:v>ITEM01393</x:v>
      </x:c>
      <x:c r="B1397" s="69" t="str">
        <x:v>SRC082</x:v>
      </x:c>
      <x:c r="C1397" s="69" t="str">
        <x:v>未定日期／非MD</x:v>
      </x:c>
      <x:c r="D1397" s="69" t="str">
        <x:v>未標示</x:v>
      </x:c>
      <x:c r="E1397" s="69" t="str"/>
      <x:c r="F1397" s="71" t="str">
        <x:v>臨時水、臨時電使用費</x:v>
      </x:c>
      <x:c r="G1397" s="71" t="str">
        <x:v>臨時水、臨時電使用費</x:v>
      </x:c>
      <x:c r="H1397" s="71" t="str">
        <x:v>月</x:v>
      </x:c>
      <x:c r="I1397" s="72"/>
      <x:c r="J1397" s="69" t="str"/>
      <x:c r="K1397" s="70"/>
      <x:c r="L1397" s="69" t="str"/>
      <x:c r="M1397" s="70" t="n">
        <x:v>0</x:v>
      </x:c>
      <x:c r="N1397" s="69" t="str">
        <x:v>0</x:v>
      </x:c>
      <x:c r="O1397" s="71" t="str">
        <x:v>業主發包</x:v>
      </x:c>
      <x:c r="P1397" s="71" t="str">
        <x:v>表格2第6列</x:v>
      </x:c>
      <x:c r="Q1397" s="71" t="str">
        <x:v>4 | 臨時水、臨時電使用費 | 月 | | | $0 | 業主發包</x:v>
      </x:c>
      <x:c r="R1397" s="71" t="str">
        <x:v>各廠商合約&amp; 報價\MD檔案\永豐餘工程合約.md</x:v>
      </x:c>
    </x:row>
    <x:row r="1398">
      <x:c r="A1398" s="69" t="str">
        <x:v>ITEM01394</x:v>
      </x:c>
      <x:c r="B1398" s="69" t="str">
        <x:v>SRC082</x:v>
      </x:c>
      <x:c r="C1398" s="69" t="str">
        <x:v>未定日期／非MD</x:v>
      </x:c>
      <x:c r="D1398" s="69" t="str">
        <x:v>未標示</x:v>
      </x:c>
      <x:c r="E1398" s="69" t="str"/>
      <x:c r="F1398" s="71" t="str">
        <x:v>流動廁所1座</x:v>
      </x:c>
      <x:c r="G1398" s="71" t="str">
        <x:v>流動廁所1座</x:v>
      </x:c>
      <x:c r="H1398" s="71" t="str">
        <x:v>月</x:v>
      </x:c>
      <x:c r="I1398" s="72"/>
      <x:c r="J1398" s="69" t="str"/>
      <x:c r="K1398" s="70"/>
      <x:c r="L1398" s="69" t="str"/>
      <x:c r="M1398" s="70" t="n">
        <x:v>0</x:v>
      </x:c>
      <x:c r="N1398" s="69" t="str">
        <x:v>0</x:v>
      </x:c>
      <x:c r="O1398" s="71" t="str">
        <x:v>業主發包</x:v>
      </x:c>
      <x:c r="P1398" s="71" t="str">
        <x:v>表格2第7列</x:v>
      </x:c>
      <x:c r="Q1398" s="71" t="str">
        <x:v>5 | 流動廁所1座 | 月 | | | $0 | 業主發包</x:v>
      </x:c>
      <x:c r="R1398" s="71" t="str">
        <x:v>各廠商合約&amp; 報價\MD檔案\永豐餘工程合約.md</x:v>
      </x:c>
    </x:row>
    <x:row r="1399">
      <x:c r="A1399" s="69" t="str">
        <x:v>ITEM01395</x:v>
      </x:c>
      <x:c r="B1399" s="69" t="str">
        <x:v>SRC082</x:v>
      </x:c>
      <x:c r="C1399" s="69" t="str">
        <x:v>未定日期／非MD</x:v>
      </x:c>
      <x:c r="D1399" s="69" t="str">
        <x:v>未標示</x:v>
      </x:c>
      <x:c r="E1399" s="69" t="str"/>
      <x:c r="F1399" s="71" t="str">
        <x:v>民生垃圾處理費(每周1次)</x:v>
      </x:c>
      <x:c r="G1399" s="71" t="str">
        <x:v>民生垃圾處理費(每周1次)</x:v>
      </x:c>
      <x:c r="H1399" s="71" t="str">
        <x:v>月</x:v>
      </x:c>
      <x:c r="I1399" s="72"/>
      <x:c r="J1399" s="69" t="str"/>
      <x:c r="K1399" s="70"/>
      <x:c r="L1399" s="69" t="str"/>
      <x:c r="M1399" s="70" t="n">
        <x:v>0</x:v>
      </x:c>
      <x:c r="N1399" s="69" t="str">
        <x:v>0</x:v>
      </x:c>
      <x:c r="O1399" s="71" t="str">
        <x:v>業主發包</x:v>
      </x:c>
      <x:c r="P1399" s="71" t="str">
        <x:v>表格2第8列</x:v>
      </x:c>
      <x:c r="Q1399" s="71" t="str">
        <x:v>6 | 民生垃圾處理費(每周1次) | 月 | | | $0 | 業主發包</x:v>
      </x:c>
      <x:c r="R1399" s="71" t="str">
        <x:v>各廠商合約&amp; 報價\MD檔案\永豐餘工程合約.md</x:v>
      </x:c>
    </x:row>
    <x:row r="1400">
      <x:c r="A1400" s="69" t="str">
        <x:v>ITEM01396</x:v>
      </x:c>
      <x:c r="B1400" s="69" t="str">
        <x:v>SRC082</x:v>
      </x:c>
      <x:c r="C1400" s="69" t="str">
        <x:v>未定日期／非MD</x:v>
      </x:c>
      <x:c r="D1400" s="69" t="str">
        <x:v>未標示</x:v>
      </x:c>
      <x:c r="E1400" s="69" t="str"/>
      <x:c r="F1400" s="71" t="str">
        <x:v>營建廢棄物處理</x:v>
      </x:c>
      <x:c r="G1400" s="71" t="str">
        <x:v>營建廢棄物處理</x:v>
      </x:c>
      <x:c r="H1400" s="71" t="str">
        <x:v>式</x:v>
      </x:c>
      <x:c r="I1400" s="72"/>
      <x:c r="J1400" s="69" t="str"/>
      <x:c r="K1400" s="70"/>
      <x:c r="L1400" s="69" t="str"/>
      <x:c r="M1400" s="70" t="n">
        <x:v>0</x:v>
      </x:c>
      <x:c r="N1400" s="69" t="str">
        <x:v>0</x:v>
      </x:c>
      <x:c r="O1400" s="71" t="str">
        <x:v>業主發包</x:v>
      </x:c>
      <x:c r="P1400" s="71" t="str">
        <x:v>表格2第9列</x:v>
      </x:c>
      <x:c r="Q1400" s="71" t="str">
        <x:v>7 | 營建廢棄物處理 | 式 | - | - | $0 | 業主發包</x:v>
      </x:c>
      <x:c r="R1400" s="71" t="str">
        <x:v>各廠商合約&amp; 報價\MD檔案\永豐餘工程合約.md</x:v>
      </x:c>
    </x:row>
    <x:row r="1401">
      <x:c r="A1401" s="69" t="str">
        <x:v>ITEM01397</x:v>
      </x:c>
      <x:c r="B1401" s="69" t="str">
        <x:v>SRC082</x:v>
      </x:c>
      <x:c r="C1401" s="69" t="str">
        <x:v>未定日期／非MD</x:v>
      </x:c>
      <x:c r="D1401" s="69" t="str">
        <x:v>未標示</x:v>
      </x:c>
      <x:c r="E1401" s="69" t="str"/>
      <x:c r="F1401" s="71" t="str">
        <x:v>申報環保局空汙費</x:v>
      </x:c>
      <x:c r="G1401" s="71" t="str">
        <x:v>申報環保局空汙費</x:v>
      </x:c>
      <x:c r="H1401" s="71" t="str">
        <x:v>式</x:v>
      </x:c>
      <x:c r="I1401" s="72"/>
      <x:c r="J1401" s="69" t="str"/>
      <x:c r="K1401" s="70"/>
      <x:c r="L1401" s="69" t="str"/>
      <x:c r="M1401" s="70" t="n">
        <x:v>0</x:v>
      </x:c>
      <x:c r="N1401" s="69" t="str">
        <x:v>0</x:v>
      </x:c>
      <x:c r="O1401" s="71" t="str">
        <x:v>業主發包</x:v>
      </x:c>
      <x:c r="P1401" s="71" t="str">
        <x:v>表格2第10列</x:v>
      </x:c>
      <x:c r="Q1401" s="71" t="str">
        <x:v>8 | 申報環保局空汙費 | 式 | - | - | $0 | 業主發包</x:v>
      </x:c>
      <x:c r="R1401" s="71" t="str">
        <x:v>各廠商合約&amp; 報價\MD檔案\永豐餘工程合約.md</x:v>
      </x:c>
    </x:row>
    <x:row r="1402">
      <x:c r="A1402" s="69" t="str">
        <x:v>ITEM01398</x:v>
      </x:c>
      <x:c r="B1402" s="69" t="str">
        <x:v>SRC082</x:v>
      </x:c>
      <x:c r="C1402" s="69" t="str">
        <x:v>未定日期／非MD</x:v>
      </x:c>
      <x:c r="D1402" s="69" t="str">
        <x:v>未標示</x:v>
      </x:c>
      <x:c r="E1402" s="69" t="str"/>
      <x:c r="F1402" s="71" t="str">
        <x:v>公共排水溝清淤費</x:v>
      </x:c>
      <x:c r="G1402" s="71" t="str">
        <x:v>公共排水溝清淤費</x:v>
      </x:c>
      <x:c r="H1402" s="71" t="str">
        <x:v>式</x:v>
      </x:c>
      <x:c r="I1402" s="72"/>
      <x:c r="J1402" s="69" t="str"/>
      <x:c r="K1402" s="70"/>
      <x:c r="L1402" s="69" t="str"/>
      <x:c r="M1402" s="70" t="n">
        <x:v>0</x:v>
      </x:c>
      <x:c r="N1402" s="69" t="str">
        <x:v>0</x:v>
      </x:c>
      <x:c r="O1402" s="71" t="str">
        <x:v>另估於裝修工程</x:v>
      </x:c>
      <x:c r="P1402" s="71" t="str">
        <x:v>表格2第11列</x:v>
      </x:c>
      <x:c r="Q1402" s="71" t="str">
        <x:v>9 | 公共排水溝清淤費 | 式 | - | - | $0 | 另估於裝修工程</x:v>
      </x:c>
      <x:c r="R1402" s="71" t="str">
        <x:v>各廠商合約&amp; 報價\MD檔案\永豐餘工程合約.md</x:v>
      </x:c>
    </x:row>
    <x:row r="1403">
      <x:c r="A1403" s="69" t="str">
        <x:v>ITEM01399</x:v>
      </x:c>
      <x:c r="B1403" s="69" t="str">
        <x:v>SRC082</x:v>
      </x:c>
      <x:c r="C1403" s="69" t="str">
        <x:v>未定日期／非MD</x:v>
      </x:c>
      <x:c r="D1403" s="69" t="str">
        <x:v>未標示</x:v>
      </x:c>
      <x:c r="E1403" s="69" t="str"/>
      <x:c r="F1403" s="71" t="str">
        <x:v>半面道路AC半面刨鋪復原費</x:v>
      </x:c>
      <x:c r="G1403" s="71" t="str">
        <x:v>半面道路AC半面刨鋪復原費</x:v>
      </x:c>
      <x:c r="H1403" s="71" t="str">
        <x:v>式</x:v>
      </x:c>
      <x:c r="I1403" s="72"/>
      <x:c r="J1403" s="69" t="str"/>
      <x:c r="K1403" s="70"/>
      <x:c r="L1403" s="69" t="str"/>
      <x:c r="M1403" s="70" t="n">
        <x:v>0</x:v>
      </x:c>
      <x:c r="N1403" s="69" t="str">
        <x:v>0</x:v>
      </x:c>
      <x:c r="O1403" s="71" t="str">
        <x:v>另估於裝修工程</x:v>
      </x:c>
      <x:c r="P1403" s="71" t="str">
        <x:v>表格2第12列</x:v>
      </x:c>
      <x:c r="Q1403" s="71" t="str">
        <x:v>10 | 半面道路AC半面刨鋪復原費 | 式 | - | - | $0 | 另估於裝修工程</x:v>
      </x:c>
      <x:c r="R1403" s="71" t="str">
        <x:v>各廠商合約&amp; 報價\MD檔案\永豐餘工程合約.md</x:v>
      </x:c>
    </x:row>
    <x:row r="1404">
      <x:c r="A1404" s="69" t="str">
        <x:v>ITEM01400</x:v>
      </x:c>
      <x:c r="B1404" s="69" t="str">
        <x:v>SRC082</x:v>
      </x:c>
      <x:c r="C1404" s="69" t="str">
        <x:v>未定日期／非MD</x:v>
      </x:c>
      <x:c r="D1404" s="69" t="str">
        <x:v>未標示</x:v>
      </x:c>
      <x:c r="E1404" s="69" t="str"/>
      <x:c r="F1404" s="71" t="str">
        <x:v>外部施工架,符合CNS4750</x:v>
      </x:c>
      <x:c r="G1404" s="71" t="str">
        <x:v>外部施工架,符合CNS4750</x:v>
      </x:c>
      <x:c r="H1404" s="71" t="str">
        <x:v>$M^{2}$</x:v>
      </x:c>
      <x:c r="I1404" s="72" t="n">
        <x:v>1350</x:v>
      </x:c>
      <x:c r="J1404" s="69" t="str"/>
      <x:c r="K1404" s="70" t="n">
        <x:v>580</x:v>
      </x:c>
      <x:c r="L1404" s="69" t="str"/>
      <x:c r="M1404" s="70" t="n">
        <x:v>783000</x:v>
      </x:c>
      <x:c r="N1404" s="69" t="str">
        <x:v>783000</x:v>
      </x:c>
      <x:c r="O1404" s="71" t="str">
        <x:v>單邊水平、交叉及尼龍綢</x:v>
      </x:c>
      <x:c r="P1404" s="71" t="str">
        <x:v>表格2第13列</x:v>
      </x:c>
      <x:c r="Q1404" s="71" t="str">
        <x:v>11 | 外部施工架,符合CNS4750 | $M^{2}$ | 1,350 | 580 | $783,000 | 單邊水平、交叉及尼龍綢</x:v>
      </x:c>
      <x:c r="R1404" s="71" t="str">
        <x:v>各廠商合約&amp; 報價\MD檔案\永豐餘工程合約.md</x:v>
      </x:c>
    </x:row>
    <x:row r="1405">
      <x:c r="A1405" s="69" t="str">
        <x:v>ITEM01401</x:v>
      </x:c>
      <x:c r="B1405" s="69" t="str">
        <x:v>SRC082</x:v>
      </x:c>
      <x:c r="C1405" s="69" t="str">
        <x:v>未定日期／非MD</x:v>
      </x:c>
      <x:c r="D1405" s="69" t="str">
        <x:v>未標示</x:v>
      </x:c>
      <x:c r="E1405" s="69" t="str"/>
      <x:c r="F1405" s="71" t="str">
        <x:v>內部施工架,符合CNS4750</x:v>
      </x:c>
      <x:c r="G1405" s="71" t="str">
        <x:v>內部施工架,符合CNS4750</x:v>
      </x:c>
      <x:c r="H1405" s="71" t="str">
        <x:v>$M^{2}$</x:v>
      </x:c>
      <x:c r="I1405" s="72" t="n">
        <x:v>780</x:v>
      </x:c>
      <x:c r="J1405" s="69" t="str"/>
      <x:c r="K1405" s="70" t="n">
        <x:v>350</x:v>
      </x:c>
      <x:c r="L1405" s="69" t="str"/>
      <x:c r="M1405" s="70" t="n">
        <x:v>273000</x:v>
      </x:c>
      <x:c r="N1405" s="69" t="str">
        <x:v>273000</x:v>
      </x:c>
      <x:c r="O1405" s="71" t="str">
        <x:v>單邊水平、交叉</x:v>
      </x:c>
      <x:c r="P1405" s="71" t="str">
        <x:v>表格2第14列</x:v>
      </x:c>
      <x:c r="Q1405" s="71" t="str">
        <x:v>12 | 內部施工架,符合CNS4750 | $M^{2}$ | 780 | 350 | $273,000 | 單邊水平、交叉</x:v>
      </x:c>
      <x:c r="R1405" s="71" t="str">
        <x:v>各廠商合約&amp; 報價\MD檔案\永豐餘工程合約.md</x:v>
      </x:c>
    </x:row>
    <x:row r="1406">
      <x:c r="A1406" s="69" t="str">
        <x:v>ITEM01402</x:v>
      </x:c>
      <x:c r="B1406" s="69" t="str">
        <x:v>SRC082</x:v>
      </x:c>
      <x:c r="C1406" s="69" t="str">
        <x:v>未定日期／非MD</x:v>
      </x:c>
      <x:c r="D1406" s="69" t="str">
        <x:v>未標示</x:v>
      </x:c>
      <x:c r="E1406" s="69" t="str"/>
      <x:c r="F1406" s="71" t="str">
        <x:v>土方開挖</x:v>
      </x:c>
      <x:c r="G1406" s="71" t="str">
        <x:v>土方開挖</x:v>
      </x:c>
      <x:c r="H1406" s="71" t="str">
        <x:v>$M^{3}$</x:v>
      </x:c>
      <x:c r="I1406" s="72" t="n">
        <x:v>863</x:v>
      </x:c>
      <x:c r="J1406" s="69" t="str"/>
      <x:c r="K1406" s="70" t="n">
        <x:v>150</x:v>
      </x:c>
      <x:c r="L1406" s="69" t="str"/>
      <x:c r="M1406" s="70" t="n">
        <x:v>129450</x:v>
      </x:c>
      <x:c r="N1406" s="69" t="str">
        <x:v>129450</x:v>
      </x:c>
      <x:c r="O1406" s="71" t="str"/>
      <x:c r="P1406" s="71" t="str">
        <x:v>表格3第3列</x:v>
      </x:c>
      <x:c r="Q1406" s="71" t="str">
        <x:v>1 | 土方開挖 | $M^{3}$ | 863 | 150 | $129,450 |</x:v>
      </x:c>
      <x:c r="R1406" s="71" t="str">
        <x:v>各廠商合約&amp; 報價\MD檔案\永豐餘工程合約.md</x:v>
      </x:c>
    </x:row>
    <x:row r="1407">
      <x:c r="A1407" s="69" t="str">
        <x:v>ITEM01403</x:v>
      </x:c>
      <x:c r="B1407" s="69" t="str">
        <x:v>SRC082</x:v>
      </x:c>
      <x:c r="C1407" s="69" t="str">
        <x:v>未定日期／非MD</x:v>
      </x:c>
      <x:c r="D1407" s="69" t="str">
        <x:v>未標示</x:v>
      </x:c>
      <x:c r="E1407" s="69" t="str"/>
      <x:c r="F1407" s="71" t="str">
        <x:v>土方運棄,乾土</x:v>
      </x:c>
      <x:c r="G1407" s="71" t="str">
        <x:v>土方運棄,乾土</x:v>
      </x:c>
      <x:c r="H1407" s="71" t="str">
        <x:v>$M^{3}$</x:v>
      </x:c>
      <x:c r="I1407" s="72" t="n">
        <x:v>413</x:v>
      </x:c>
      <x:c r="J1407" s="69" t="str"/>
      <x:c r="K1407" s="70" t="n">
        <x:v>700</x:v>
      </x:c>
      <x:c r="L1407" s="69" t="str"/>
      <x:c r="M1407" s="70" t="n">
        <x:v>289100</x:v>
      </x:c>
      <x:c r="N1407" s="69" t="str">
        <x:v>289100</x:v>
      </x:c>
      <x:c r="O1407" s="71" t="str"/>
      <x:c r="P1407" s="71" t="str">
        <x:v>表格3第4列</x:v>
      </x:c>
      <x:c r="Q1407" s="71" t="str">
        <x:v>2 | 土方運棄,乾土 | $M^{3}$ | 413 | 700 | $289,100 |</x:v>
      </x:c>
      <x:c r="R1407" s="71" t="str">
        <x:v>各廠商合約&amp; 報價\MD檔案\永豐餘工程合約.md</x:v>
      </x:c>
    </x:row>
    <x:row r="1408">
      <x:c r="A1408" s="69" t="str">
        <x:v>ITEM01404</x:v>
      </x:c>
      <x:c r="B1408" s="69" t="str">
        <x:v>SRC082</x:v>
      </x:c>
      <x:c r="C1408" s="69" t="str">
        <x:v>未定日期／非MD</x:v>
      </x:c>
      <x:c r="D1408" s="69" t="str">
        <x:v>未標示</x:v>
      </x:c>
      <x:c r="E1408" s="69" t="str"/>
      <x:c r="F1408" s="71" t="str">
        <x:v>土方運棄,濕土/廢棄物磚塊類</x:v>
      </x:c>
      <x:c r="G1408" s="71" t="str">
        <x:v>土方運棄,濕土/廢棄物磚塊類</x:v>
      </x:c>
      <x:c r="H1408" s="71" t="str">
        <x:v>$M^{3}$</x:v>
      </x:c>
      <x:c r="I1408" s="72" t="n">
        <x:v>450</x:v>
      </x:c>
      <x:c r="J1408" s="69" t="str"/>
      <x:c r="K1408" s="70" t="n">
        <x:v>1300</x:v>
      </x:c>
      <x:c r="L1408" s="69" t="str"/>
      <x:c r="M1408" s="70" t="n">
        <x:v>585000</x:v>
      </x:c>
      <x:c r="N1408" s="69" t="str">
        <x:v>585000</x:v>
      </x:c>
      <x:c r="O1408" s="71" t="str">
        <x:v>面層0m-1.2m紅磚廢棄物</x:v>
      </x:c>
      <x:c r="P1408" s="71" t="str">
        <x:v>表格3第5列</x:v>
      </x:c>
      <x:c r="Q1408" s="71" t="str">
        <x:v>3 | 土方運棄,濕土/廢棄物磚塊類 | $M^{3}$ | 450 | 1,300 | $585,000 | 面層0m-1.2m紅磚廢棄物</x:v>
      </x:c>
      <x:c r="R1408" s="71" t="str">
        <x:v>各廠商合約&amp; 報價\MD檔案\永豐餘工程合約.md</x:v>
      </x:c>
    </x:row>
    <x:row r="1409">
      <x:c r="A1409" s="69" t="str">
        <x:v>ITEM01405</x:v>
      </x:c>
      <x:c r="B1409" s="69" t="str">
        <x:v>SRC082</x:v>
      </x:c>
      <x:c r="C1409" s="69" t="str">
        <x:v>未定日期／非MD</x:v>
      </x:c>
      <x:c r="D1409" s="69" t="str">
        <x:v>未標示</x:v>
      </x:c>
      <x:c r="E1409" s="69" t="str"/>
      <x:c r="F1409" s="71" t="str">
        <x:v>回填土方</x:v>
      </x:c>
      <x:c r="G1409" s="71" t="str">
        <x:v>回填土方</x:v>
      </x:c>
      <x:c r="H1409" s="71" t="str">
        <x:v>$M^{3}$</x:v>
      </x:c>
      <x:c r="I1409" s="72" t="n">
        <x:v>225</x:v>
      </x:c>
      <x:c r="J1409" s="69" t="str"/>
      <x:c r="K1409" s="70" t="n">
        <x:v>300</x:v>
      </x:c>
      <x:c r="L1409" s="69" t="str"/>
      <x:c r="M1409" s="70" t="n">
        <x:v>67500</x:v>
      </x:c>
      <x:c r="N1409" s="69" t="str">
        <x:v>67500</x:v>
      </x:c>
      <x:c r="O1409" s="71" t="str"/>
      <x:c r="P1409" s="71" t="str">
        <x:v>表格3第6列</x:v>
      </x:c>
      <x:c r="Q1409" s="71" t="str">
        <x:v>4 | 回填土方 | $M^{3}$ | 225 | 300 | $67,500 |</x:v>
      </x:c>
      <x:c r="R1409" s="71" t="str">
        <x:v>各廠商合約&amp; 報價\MD檔案\永豐餘工程合約.md</x:v>
      </x:c>
    </x:row>
    <x:row r="1410">
      <x:c r="A1410" s="69" t="str">
        <x:v>ITEM01406</x:v>
      </x:c>
      <x:c r="B1410" s="69" t="str">
        <x:v>SRC082</x:v>
      </x:c>
      <x:c r="C1410" s="69" t="str">
        <x:v>未定日期／非MD</x:v>
      </x:c>
      <x:c r="D1410" s="69" t="str">
        <x:v>未標示</x:v>
      </x:c>
      <x:c r="E1410" s="69" t="str"/>
      <x:c r="F1410" s="71" t="str">
        <x:v>土方零星工程(水車、鐵板...等)</x:v>
      </x:c>
      <x:c r="G1410" s="71" t="str">
        <x:v>土方零星工程(水車、鐵板...等)</x:v>
      </x:c>
      <x:c r="H1410" s="71" t="str">
        <x:v>式</x:v>
      </x:c>
      <x:c r="I1410" s="72" t="n">
        <x:v>1</x:v>
      </x:c>
      <x:c r="J1410" s="69" t="str"/>
      <x:c r="K1410" s="70" t="n">
        <x:v>50000</x:v>
      </x:c>
      <x:c r="L1410" s="69" t="str"/>
      <x:c r="M1410" s="70" t="n">
        <x:v>50000</x:v>
      </x:c>
      <x:c r="N1410" s="69" t="str">
        <x:v>50000</x:v>
      </x:c>
      <x:c r="O1410" s="71" t="str"/>
      <x:c r="P1410" s="71" t="str">
        <x:v>表格3第7列</x:v>
      </x:c>
      <x:c r="Q1410" s="71" t="str">
        <x:v>5 | 土方零星工程(水車、鐵板...等) | 式 | 1 | 50,000 | $50,000 |</x:v>
      </x:c>
      <x:c r="R1410" s="71" t="str">
        <x:v>各廠商合約&amp; 報價\MD檔案\永豐餘工程合約.md</x:v>
      </x:c>
    </x:row>
    <x:row r="1411">
      <x:c r="A1411" s="69" t="str">
        <x:v>ITEM01407</x:v>
      </x:c>
      <x:c r="B1411" s="69" t="str">
        <x:v>SRC082</x:v>
      </x:c>
      <x:c r="C1411" s="69" t="str">
        <x:v>未定日期／非MD</x:v>
      </x:c>
      <x:c r="D1411" s="69" t="str">
        <x:v>未標示</x:v>
      </x:c>
      <x:c r="E1411" s="69" t="str"/>
      <x:c r="F1411" s="71" t="str">
        <x:v>碎石級配回填</x:v>
      </x:c>
      <x:c r="G1411" s="71" t="str">
        <x:v>碎石級配回填</x:v>
      </x:c>
      <x:c r="H1411" s="71" t="str">
        <x:v>$M^{3}$</x:v>
      </x:c>
      <x:c r="I1411" s="72" t="n">
        <x:v>23</x:v>
      </x:c>
      <x:c r="J1411" s="69" t="str"/>
      <x:c r="K1411" s="70"/>
      <x:c r="L1411" s="69" t="str"/>
      <x:c r="M1411" s="70" t="n">
        <x:v>0</x:v>
      </x:c>
      <x:c r="N1411" s="69" t="str">
        <x:v>0</x:v>
      </x:c>
      <x:c r="O1411" s="71" t="str">
        <x:v>業主自理.暫不估價</x:v>
      </x:c>
      <x:c r="P1411" s="71" t="str">
        <x:v>表格3第8列</x:v>
      </x:c>
      <x:c r="Q1411" s="71" t="str">
        <x:v>6 | 碎石級配回填 | $M^{3}$ | 23 | - | $0 | 業主自理.暫不估價</x:v>
      </x:c>
      <x:c r="R1411" s="71" t="str">
        <x:v>各廠商合約&amp; 報價\MD檔案\永豐餘工程合約.md</x:v>
      </x:c>
    </x:row>
    <x:row r="1412">
      <x:c r="A1412" s="69" t="str">
        <x:v>ITEM01408</x:v>
      </x:c>
      <x:c r="B1412" s="69" t="str">
        <x:v>SRC082</x:v>
      </x:c>
      <x:c r="C1412" s="69" t="str">
        <x:v>未定日期／非MD</x:v>
      </x:c>
      <x:c r="D1412" s="69" t="str">
        <x:v>未標示</x:v>
      </x:c>
      <x:c r="E1412" s="69" t="str"/>
      <x:c r="F1412" s="71" t="str">
        <x:v>50kg/m鋼軌樁,L=5.05M</x:v>
      </x:c>
      <x:c r="G1412" s="71" t="str">
        <x:v>50kg/m鋼軌樁,L=5.05M</x:v>
      </x:c>
      <x:c r="H1412" s="71" t="str">
        <x:v>支</x:v>
      </x:c>
      <x:c r="I1412" s="72" t="n">
        <x:v>71</x:v>
      </x:c>
      <x:c r="J1412" s="69" t="str"/>
      <x:c r="K1412" s="70"/>
      <x:c r="L1412" s="69" t="str"/>
      <x:c r="M1412" s="70" t="n">
        <x:v>0</x:v>
      </x:c>
      <x:c r="N1412" s="69" t="str">
        <x:v>0</x:v>
      </x:c>
      <x:c r="O1412" s="71" t="str">
        <x:v>業主自理.暫不估價</x:v>
      </x:c>
      <x:c r="P1412" s="71" t="str">
        <x:v>表格3第9列</x:v>
      </x:c>
      <x:c r="Q1412" s="71" t="str">
        <x:v>7 | 50kg/m鋼軌樁,L=5.05M | 支 | 71 | - | $0 | 業主自理.暫不估價</x:v>
      </x:c>
      <x:c r="R1412" s="71" t="str">
        <x:v>各廠商合約&amp; 報價\MD檔案\永豐餘工程合約.md</x:v>
      </x:c>
    </x:row>
    <x:row r="1413">
      <x:c r="A1413" s="69" t="str">
        <x:v>ITEM01409</x:v>
      </x:c>
      <x:c r="B1413" s="69" t="str">
        <x:v>SRC082</x:v>
      </x:c>
      <x:c r="C1413" s="69" t="str">
        <x:v>未定日期／非MD</x:v>
      </x:c>
      <x:c r="D1413" s="69" t="str">
        <x:v>未標示</x:v>
      </x:c>
      <x:c r="E1413" s="69" t="str"/>
      <x:c r="F1413" s="71" t="str">
        <x:v>木襯板</x:v>
      </x:c>
      <x:c r="G1413" s="71" t="str">
        <x:v>木襯板</x:v>
      </x:c>
      <x:c r="H1413" s="71" t="str">
        <x:v>$M^{2}$</x:v>
      </x:c>
      <x:c r="I1413" s="72" t="n">
        <x:v>72</x:v>
      </x:c>
      <x:c r="J1413" s="69" t="str"/>
      <x:c r="K1413" s="70"/>
      <x:c r="L1413" s="69" t="str"/>
      <x:c r="M1413" s="70" t="n">
        <x:v>0</x:v>
      </x:c>
      <x:c r="N1413" s="69" t="str">
        <x:v>0</x:v>
      </x:c>
      <x:c r="O1413" s="71" t="str">
        <x:v>業主自理.暫不估價</x:v>
      </x:c>
      <x:c r="P1413" s="71" t="str">
        <x:v>表格3第10列</x:v>
      </x:c>
      <x:c r="Q1413" s="71" t="str">
        <x:v>8 | 木襯板 | $M^{2}$ | 72 | - | $0 | 業主自理.暫不估價</x:v>
      </x:c>
      <x:c r="R1413" s="71" t="str">
        <x:v>各廠商合約&amp; 報價\MD檔案\永豐餘工程合約.md</x:v>
      </x:c>
    </x:row>
    <x:row r="1414">
      <x:c r="A1414" s="69" t="str">
        <x:v>ITEM01410</x:v>
      </x:c>
      <x:c r="B1414" s="69" t="str">
        <x:v>SRC082</x:v>
      </x:c>
      <x:c r="C1414" s="69" t="str">
        <x:v>未定日期／非MD</x:v>
      </x:c>
      <x:c r="D1414" s="69" t="str">
        <x:v>未標示</x:v>
      </x:c>
      <x:c r="E1414" s="69" t="str"/>
      <x:c r="F1414" s="71" t="str">
        <x:v>放樣工程</x:v>
      </x:c>
      <x:c r="G1414" s="71" t="str">
        <x:v>放樣工程</x:v>
      </x:c>
      <x:c r="H1414" s="71" t="str">
        <x:v>M2</x:v>
      </x:c>
      <x:c r="I1414" s="72" t="n">
        <x:v>1272</x:v>
      </x:c>
      <x:c r="J1414" s="69" t="str"/>
      <x:c r="K1414" s="70" t="n">
        <x:v>200</x:v>
      </x:c>
      <x:c r="L1414" s="69" t="str"/>
      <x:c r="M1414" s="70" t="n">
        <x:v>254400</x:v>
      </x:c>
      <x:c r="N1414" s="69" t="str">
        <x:v>254400</x:v>
      </x:c>
      <x:c r="O1414" s="71" t="str"/>
      <x:c r="P1414" s="71" t="str">
        <x:v>表格4第3列</x:v>
      </x:c>
      <x:c r="Q1414" s="71" t="str">
        <x:v>1 | 放樣工程 | M2 | 1,272 | 200 | $254,400 |</x:v>
      </x:c>
      <x:c r="R1414" s="71" t="str">
        <x:v>各廠商合約&amp; 報價\MD檔案\永豐餘工程合約.md</x:v>
      </x:c>
    </x:row>
    <x:row r="1415">
      <x:c r="A1415" s="69" t="str">
        <x:v>ITEM01411</x:v>
      </x:c>
      <x:c r="B1415" s="69" t="str">
        <x:v>SRC082</x:v>
      </x:c>
      <x:c r="C1415" s="69" t="str">
        <x:v>未定日期／非MD</x:v>
      </x:c>
      <x:c r="D1415" s="69" t="str">
        <x:v>未標示</x:v>
      </x:c>
      <x:c r="E1415" s="69" t="str"/>
      <x:c r="F1415" s="71" t="str">
        <x:v>鋼筋材料Fy'=4200高拉力鋼筋(含#6以上)</x:v>
      </x:c>
      <x:c r="G1415" s="71" t="str">
        <x:v>鋼筋材料Fy'=4200高拉力鋼筋(含#6以上)</x:v>
      </x:c>
      <x:c r="H1415" s="71" t="str">
        <x:v>噸</x:v>
      </x:c>
      <x:c r="I1415" s="72" t="n">
        <x:v>152</x:v>
      </x:c>
      <x:c r="J1415" s="69" t="str"/>
      <x:c r="K1415" s="70" t="n">
        <x:v>22500</x:v>
      </x:c>
      <x:c r="L1415" s="69" t="str"/>
      <x:c r="M1415" s="70" t="n">
        <x:v>3420000</x:v>
      </x:c>
      <x:c r="N1415" s="69" t="str">
        <x:v>3420000</x:v>
      </x:c>
      <x:c r="O1415" s="71" t="str">
        <x:v>依當週時價簽訂</x:v>
      </x:c>
      <x:c r="P1415" s="71" t="str">
        <x:v>表格4第4列</x:v>
      </x:c>
      <x:c r="Q1415" s="71" t="str">
        <x:v>2 | 鋼筋材料Fy'=4200高拉力鋼筋(含#6以上) | 噸 | 152 | 22,500 | $3,420,000 | 依當週時價簽訂</x:v>
      </x:c>
      <x:c r="R1415" s="71" t="str">
        <x:v>各廠商合約&amp; 報價\MD檔案\永豐餘工程合約.md</x:v>
      </x:c>
    </x:row>
    <x:row r="1416">
      <x:c r="A1416" s="69" t="str">
        <x:v>ITEM01412</x:v>
      </x:c>
      <x:c r="B1416" s="69" t="str">
        <x:v>SRC082</x:v>
      </x:c>
      <x:c r="C1416" s="69" t="str">
        <x:v>未定日期／非MD</x:v>
      </x:c>
      <x:c r="D1416" s="69" t="str">
        <x:v>未標示</x:v>
      </x:c>
      <x:c r="E1416" s="69" t="str"/>
      <x:c r="F1416" s="71" t="str">
        <x:v>鋼筋材料Fy'=2800中拉力鋼筋(含#5以下)</x:v>
      </x:c>
      <x:c r="G1416" s="71" t="str">
        <x:v>鋼筋材料Fy'=2800中拉力鋼筋(含#5以下)</x:v>
      </x:c>
      <x:c r="H1416" s="71" t="str">
        <x:v>噸</x:v>
      </x:c>
      <x:c r="I1416" s="72" t="n">
        <x:v>110.94</x:v>
      </x:c>
      <x:c r="J1416" s="69" t="str"/>
      <x:c r="K1416" s="70" t="n">
        <x:v>21500</x:v>
      </x:c>
      <x:c r="L1416" s="69" t="str"/>
      <x:c r="M1416" s="70" t="n">
        <x:v>2385210</x:v>
      </x:c>
      <x:c r="N1416" s="69" t="str">
        <x:v>2385210</x:v>
      </x:c>
      <x:c r="O1416" s="71" t="str">
        <x:v>依當週時價簽訂(扣除隔間牆)</x:v>
      </x:c>
      <x:c r="P1416" s="71" t="str">
        <x:v>表格4第5列</x:v>
      </x:c>
      <x:c r="Q1416" s="71" t="str">
        <x:v>3 | 鋼筋材料Fy'=2800中拉力鋼筋(含#5以下) | 噸 | 110.94 | 21,500 | $2,385,210 | 依當週時價簽訂(扣除隔間牆)</x:v>
      </x:c>
      <x:c r="R1416" s="71" t="str">
        <x:v>各廠商合約&amp; 報價\MD檔案\永豐餘工程合約.md</x:v>
      </x:c>
    </x:row>
    <x:row r="1417">
      <x:c r="A1417" s="69" t="str">
        <x:v>ITEM01413</x:v>
      </x:c>
      <x:c r="B1417" s="69" t="str">
        <x:v>SRC082</x:v>
      </x:c>
      <x:c r="C1417" s="69" t="str">
        <x:v>未定日期／非MD</x:v>
      </x:c>
      <x:c r="D1417" s="69" t="str">
        <x:v>未標示</x:v>
      </x:c>
      <x:c r="E1417" s="69" t="str"/>
      <x:c r="F1417" s="71" t="str">
        <x:v>鋼筋綁紮、加工裁切及運送</x:v>
      </x:c>
      <x:c r="G1417" s="71" t="str">
        <x:v>鋼筋綁紮、加工裁切及運送</x:v>
      </x:c>
      <x:c r="H1417" s="71" t="str">
        <x:v>噸</x:v>
      </x:c>
      <x:c r="I1417" s="72" t="n">
        <x:v>262.94</x:v>
      </x:c>
      <x:c r="J1417" s="69" t="str"/>
      <x:c r="K1417" s="70" t="n">
        <x:v>8000</x:v>
      </x:c>
      <x:c r="L1417" s="69" t="str"/>
      <x:c r="M1417" s="70" t="n">
        <x:v>2103520</x:v>
      </x:c>
      <x:c r="N1417" s="69" t="str">
        <x:v>2103520</x:v>
      </x:c>
      <x:c r="O1417" s="71" t="str">
        <x:v>扣除隔間牆</x:v>
      </x:c>
      <x:c r="P1417" s="71" t="str">
        <x:v>表格4第6列</x:v>
      </x:c>
      <x:c r="Q1417" s="71" t="str">
        <x:v>4 | 鋼筋綁紮、加工裁切及運送 | 噸 | 262.94 | 8,000 | $2,103,520 | 扣除隔間牆</x:v>
      </x:c>
      <x:c r="R1417" s="71" t="str">
        <x:v>各廠商合約&amp; 報價\MD檔案\永豐餘工程合約.md</x:v>
      </x:c>
    </x:row>
    <x:row r="1418">
      <x:c r="A1418" s="69" t="str">
        <x:v>ITEM01414</x:v>
      </x:c>
      <x:c r="B1418" s="69" t="str">
        <x:v>SRC082</x:v>
      </x:c>
      <x:c r="C1418" s="69" t="str">
        <x:v>未定日期／非MD</x:v>
      </x:c>
      <x:c r="D1418" s="69" t="str">
        <x:v>未標示</x:v>
      </x:c>
      <x:c r="E1418" s="69" t="str"/>
      <x:c r="F1418" s="71" t="str">
        <x:v>2000PSI預拌混凝土</x:v>
      </x:c>
      <x:c r="G1418" s="71" t="str">
        <x:v>2000PSI預拌混凝土</x:v>
      </x:c>
      <x:c r="H1418" s="71" t="str">
        <x:v>M3</x:v>
      </x:c>
      <x:c r="I1418" s="72" t="n">
        <x:v>28</x:v>
      </x:c>
      <x:c r="J1418" s="69" t="str"/>
      <x:c r="K1418" s="70" t="n">
        <x:v>2700</x:v>
      </x:c>
      <x:c r="L1418" s="69" t="str"/>
      <x:c r="M1418" s="70" t="n">
        <x:v>75600</x:v>
      </x:c>
      <x:c r="N1418" s="69" t="str">
        <x:v>75600</x:v>
      </x:c>
      <x:c r="O1418" s="71" t="str"/>
      <x:c r="P1418" s="71" t="str">
        <x:v>表格4第7列</x:v>
      </x:c>
      <x:c r="Q1418" s="71" t="str">
        <x:v>5 | 2000PSI預拌混凝土 | M3 | 28 | 2,700 | $75,600 |</x:v>
      </x:c>
      <x:c r="R1418" s="71" t="str">
        <x:v>各廠商合約&amp; 報價\MD檔案\永豐餘工程合約.md</x:v>
      </x:c>
    </x:row>
    <x:row r="1419">
      <x:c r="A1419" s="69" t="str">
        <x:v>ITEM01415</x:v>
      </x:c>
      <x:c r="B1419" s="69" t="str">
        <x:v>SRC082</x:v>
      </x:c>
      <x:c r="C1419" s="69" t="str">
        <x:v>未定日期／非MD</x:v>
      </x:c>
      <x:c r="D1419" s="69" t="str">
        <x:v>未標示</x:v>
      </x:c>
      <x:c r="E1419" s="69" t="str"/>
      <x:c r="F1419" s="71" t="str">
        <x:v>4000PSI預拌混凝土</x:v>
      </x:c>
      <x:c r="G1419" s="71" t="str">
        <x:v>4000PSI預拌混凝土</x:v>
      </x:c>
      <x:c r="H1419" s="71" t="str">
        <x:v>M3</x:v>
      </x:c>
      <x:c r="I1419" s="72" t="n">
        <x:v>1358</x:v>
      </x:c>
      <x:c r="J1419" s="69" t="str"/>
      <x:c r="K1419" s="70" t="n">
        <x:v>2800</x:v>
      </x:c>
      <x:c r="L1419" s="69" t="str"/>
      <x:c r="M1419" s="70" t="n">
        <x:v>3802120</x:v>
      </x:c>
      <x:c r="N1419" s="69" t="str">
        <x:v>3802120</x:v>
      </x:c>
      <x:c r="O1419" s="71" t="str">
        <x:v>扣除隔間牆</x:v>
      </x:c>
      <x:c r="P1419" s="71" t="str">
        <x:v>表格4第8列</x:v>
      </x:c>
      <x:c r="Q1419" s="71" t="str">
        <x:v>6 | 4000PSI預拌混凝土 | M3 | 1,358 | 2,800 | $3,802,120 | 扣除隔間牆</x:v>
      </x:c>
      <x:c r="R1419" s="71" t="str">
        <x:v>各廠商合約&amp; 報價\MD檔案\永豐餘工程合約.md</x:v>
      </x:c>
    </x:row>
    <x:row r="1420">
      <x:c r="A1420" s="69" t="str">
        <x:v>ITEM01416</x:v>
      </x:c>
      <x:c r="B1420" s="69" t="str">
        <x:v>SRC082</x:v>
      </x:c>
      <x:c r="C1420" s="69" t="str">
        <x:v>未定日期／非MD</x:v>
      </x:c>
      <x:c r="D1420" s="69" t="str">
        <x:v>未標示</x:v>
      </x:c>
      <x:c r="E1420" s="69" t="str"/>
      <x:c r="F1420" s="71" t="str">
        <x:v>混凝土壓送費</x:v>
      </x:c>
      <x:c r="G1420" s="71" t="str">
        <x:v>混凝土壓送費</x:v>
      </x:c>
      <x:c r="H1420" s="71" t="str">
        <x:v>M3</x:v>
      </x:c>
      <x:c r="I1420" s="72" t="n">
        <x:v>1386</x:v>
      </x:c>
      <x:c r="J1420" s="69" t="str"/>
      <x:c r="K1420" s="70" t="n">
        <x:v>350</x:v>
      </x:c>
      <x:c r="L1420" s="69" t="str"/>
      <x:c r="M1420" s="70" t="n">
        <x:v>485065</x:v>
      </x:c>
      <x:c r="N1420" s="69" t="str">
        <x:v>485065</x:v>
      </x:c>
      <x:c r="O1420" s="71" t="str">
        <x:v>扣除隔間牆</x:v>
      </x:c>
      <x:c r="P1420" s="71" t="str">
        <x:v>表格4第9列</x:v>
      </x:c>
      <x:c r="Q1420" s="71" t="str">
        <x:v>7 | 混凝土壓送費 | M3 | 1,386 | 350 | $485,065 | 扣除隔間牆</x:v>
      </x:c>
      <x:c r="R1420" s="71" t="str">
        <x:v>各廠商合約&amp; 報價\MD檔案\永豐餘工程合約.md</x:v>
      </x:c>
    </x:row>
    <x:row r="1421">
      <x:c r="A1421" s="69" t="str">
        <x:v>ITEM01417</x:v>
      </x:c>
      <x:c r="B1421" s="69" t="str">
        <x:v>SRC082</x:v>
      </x:c>
      <x:c r="C1421" s="69" t="str">
        <x:v>未定日期／非MD</x:v>
      </x:c>
      <x:c r="D1421" s="69" t="str">
        <x:v>未標示</x:v>
      </x:c>
      <x:c r="E1421" s="69" t="str"/>
      <x:c r="F1421" s="71" t="str">
        <x:v>一般模板組立及消耗</x:v>
      </x:c>
      <x:c r="G1421" s="71" t="str">
        <x:v>一般模板組立及消耗</x:v>
      </x:c>
      <x:c r="H1421" s="71" t="str">
        <x:v>M2</x:v>
      </x:c>
      <x:c r="I1421" s="72" t="n">
        <x:v>6618</x:v>
      </x:c>
      <x:c r="J1421" s="69" t="str"/>
      <x:c r="K1421" s="70" t="n">
        <x:v>850</x:v>
      </x:c>
      <x:c r="L1421" s="69" t="str"/>
      <x:c r="M1421" s="70" t="n">
        <x:v>5625130</x:v>
      </x:c>
      <x:c r="N1421" s="69" t="str">
        <x:v>5625130</x:v>
      </x:c>
      <x:c r="O1421" s="71" t="str">
        <x:v>扣除隔間牆</x:v>
      </x:c>
      <x:c r="P1421" s="71" t="str">
        <x:v>表格4第10列</x:v>
      </x:c>
      <x:c r="Q1421" s="71" t="str">
        <x:v>8 | 一般模板組立及消耗 | M2 | 6,618 | 850 | $5,625,130 | 扣除隔間牆</x:v>
      </x:c>
      <x:c r="R1421" s="71" t="str">
        <x:v>各廠商合約&amp; 報價\MD檔案\永豐餘工程合約.md</x:v>
      </x:c>
    </x:row>
    <x:row r="1422">
      <x:c r="A1422" s="69" t="str">
        <x:v>ITEM01418</x:v>
      </x:c>
      <x:c r="B1422" s="69" t="str">
        <x:v>SRC082</x:v>
      </x:c>
      <x:c r="C1422" s="69" t="str">
        <x:v>未定日期／非MD</x:v>
      </x:c>
      <x:c r="D1422" s="69" t="str">
        <x:v>未標示</x:v>
      </x:c>
      <x:c r="E1422" s="69" t="str"/>
      <x:c r="F1422" s="71" t="str">
        <x:v>Φ=60cm,L=2.15m空打+2.5m攪拌樁施工費</x:v>
      </x:c>
      <x:c r="G1422" s="71" t="str">
        <x:v>Φ=60cm,L=2.15m空打+2.5m攪拌樁施工費</x:v>
      </x:c>
      <x:c r="H1422" s="71" t="str">
        <x:v>支</x:v>
      </x:c>
      <x:c r="I1422" s="72" t="n">
        <x:v>24</x:v>
      </x:c>
      <x:c r="J1422" s="69" t="str"/>
      <x:c r="K1422" s="70" t="n">
        <x:v>12000</x:v>
      </x:c>
      <x:c r="L1422" s="69" t="str"/>
      <x:c r="M1422" s="70" t="n">
        <x:v>288000</x:v>
      </x:c>
      <x:c r="N1422" s="69" t="str">
        <x:v>288000</x:v>
      </x:c>
      <x:c r="O1422" s="71" t="str"/>
      <x:c r="P1422" s="71" t="str">
        <x:v>表格4第11列</x:v>
      </x:c>
      <x:c r="Q1422" s="71" t="str">
        <x:v>9 | Φ=60cm,L=2.15m空打+2.5m攪拌樁施工費 | 支 | 24 | 12,000 | $288,000 |</x:v>
      </x:c>
      <x:c r="R1422" s="71" t="str">
        <x:v>各廠商合約&amp; 報價\MD檔案\永豐餘工程合約.md</x:v>
      </x:c>
    </x:row>
    <x:row r="1423">
      <x:c r="A1423" s="69" t="str">
        <x:v>ITEM01419</x:v>
      </x:c>
      <x:c r="B1423" s="69" t="str">
        <x:v>SRC082</x:v>
      </x:c>
      <x:c r="C1423" s="69" t="str">
        <x:v>未定日期／非MD</x:v>
      </x:c>
      <x:c r="D1423" s="69" t="str">
        <x:v>未標示</x:v>
      </x:c>
      <x:c r="E1423" s="69" t="str"/>
      <x:c r="F1423" s="71" t="str">
        <x:v>攪拌樁機具動員費</x:v>
      </x:c>
      <x:c r="G1423" s="71" t="str">
        <x:v>攪拌樁機具動員費</x:v>
      </x:c>
      <x:c r="H1423" s="71" t="str">
        <x:v>式</x:v>
      </x:c>
      <x:c r="I1423" s="72" t="n">
        <x:v>1</x:v>
      </x:c>
      <x:c r="J1423" s="69" t="str"/>
      <x:c r="K1423" s="70" t="n">
        <x:v>165000</x:v>
      </x:c>
      <x:c r="L1423" s="69" t="str"/>
      <x:c r="M1423" s="70" t="n">
        <x:v>165000</x:v>
      </x:c>
      <x:c r="N1423" s="69" t="str">
        <x:v>165000</x:v>
      </x:c>
      <x:c r="O1423" s="71" t="str"/>
      <x:c r="P1423" s="71" t="str">
        <x:v>表格4第12列</x:v>
      </x:c>
      <x:c r="Q1423" s="71" t="str">
        <x:v>10 | 攪拌樁機具動員費 | 式 | 1 | 165,000 | $165,000 |</x:v>
      </x:c>
      <x:c r="R1423" s="71" t="str">
        <x:v>各廠商合約&amp; 報價\MD檔案\永豐餘工程合約.md</x:v>
      </x:c>
    </x:row>
    <x:row r="1424">
      <x:c r="A1424" s="69" t="str">
        <x:v>ITEM01420</x:v>
      </x:c>
      <x:c r="B1424" s="69" t="str">
        <x:v>SRC082</x:v>
      </x:c>
      <x:c r="C1424" s="69" t="str">
        <x:v>未定日期／非MD</x:v>
      </x:c>
      <x:c r="D1424" s="69" t="str">
        <x:v>未標示</x:v>
      </x:c>
      <x:c r="E1424" s="69" t="str"/>
      <x:c r="F1424" s="71" t="str">
        <x:v>攪拌樁水泥(40kg裝)</x:v>
      </x:c>
      <x:c r="G1424" s="71" t="str">
        <x:v>攪拌樁水泥(40kg裝)</x:v>
      </x:c>
      <x:c r="H1424" s="71" t="str">
        <x:v>包</x:v>
      </x:c>
      <x:c r="I1424" s="72" t="n">
        <x:v>1280</x:v>
      </x:c>
      <x:c r="J1424" s="69" t="str"/>
      <x:c r="K1424" s="70" t="n">
        <x:v>170</x:v>
      </x:c>
      <x:c r="L1424" s="69" t="str"/>
      <x:c r="M1424" s="70" t="n">
        <x:v>217600</x:v>
      </x:c>
      <x:c r="N1424" s="69" t="str">
        <x:v>217600</x:v>
      </x:c>
      <x:c r="O1424" s="71" t="str"/>
      <x:c r="P1424" s="71" t="str">
        <x:v>表格4第13列</x:v>
      </x:c>
      <x:c r="Q1424" s="71" t="str">
        <x:v>11 | 攪拌樁水泥(40kg裝) | 包 | 1,280 | 170 | $217,600 |</x:v>
      </x:c>
      <x:c r="R1424" s="71" t="str">
        <x:v>各廠商合約&amp; 報價\MD檔案\永豐餘工程合約.md</x:v>
      </x:c>
    </x:row>
    <x:row r="1425">
      <x:c r="A1425" s="69" t="str">
        <x:v>ITEM01421</x:v>
      </x:c>
      <x:c r="B1425" s="69" t="str">
        <x:v>SRC082</x:v>
      </x:c>
      <x:c r="C1425" s="69" t="str">
        <x:v>未定日期／非MD</x:v>
      </x:c>
      <x:c r="D1425" s="69" t="str">
        <x:v>未標示</x:v>
      </x:c>
      <x:c r="E1425" s="69" t="str"/>
      <x:c r="F1425" s="71" t="str">
        <x:v>水電工程</x:v>
      </x:c>
      <x:c r="G1425" s="71" t="str">
        <x:v>水電工程</x:v>
      </x:c>
      <x:c r="H1425" s="71" t="str">
        <x:v>坪</x:v>
      </x:c>
      <x:c r="I1425" s="72" t="n">
        <x:v>385</x:v>
      </x:c>
      <x:c r="J1425" s="69" t="str"/>
      <x:c r="K1425" s="70"/>
      <x:c r="L1425" s="69" t="str"/>
      <x:c r="M1425" s="70" t="n">
        <x:v>0</x:v>
      </x:c>
      <x:c r="N1425" s="69" t="str">
        <x:v>0</x:v>
      </x:c>
      <x:c r="O1425" s="71" t="str"/>
      <x:c r="P1425" s="71" t="str">
        <x:v>表格5第3列</x:v>
      </x:c>
      <x:c r="Q1425" s="71" t="str">
        <x:v>1 | 水電工程 | 坪 | 385 | | $0 |</x:v>
      </x:c>
      <x:c r="R1425" s="71" t="str">
        <x:v>各廠商合約&amp; 報價\MD檔案\永豐餘工程合約.md</x:v>
      </x:c>
    </x:row>
    <x:row r="1426">
      <x:c r="A1426" s="69" t="str">
        <x:v>ITEM01422</x:v>
      </x:c>
      <x:c r="B1426" s="69" t="str">
        <x:v>SRC082</x:v>
      </x:c>
      <x:c r="C1426" s="69" t="str">
        <x:v>未定日期／非MD</x:v>
      </x:c>
      <x:c r="D1426" s="69" t="str">
        <x:v>未標示</x:v>
      </x:c>
      <x:c r="E1426" s="69" t="str"/>
      <x:c r="F1426" s="71" t="str">
        <x:v>化糞池(10人份)</x:v>
      </x:c>
      <x:c r="G1426" s="71" t="str">
        <x:v>化糞池(10人份)</x:v>
      </x:c>
      <x:c r="H1426" s="71" t="str">
        <x:v>座</x:v>
      </x:c>
      <x:c r="I1426" s="72" t="n">
        <x:v>3</x:v>
      </x:c>
      <x:c r="J1426" s="69" t="str"/>
      <x:c r="K1426" s="70" t="n">
        <x:v>48000</x:v>
      </x:c>
      <x:c r="L1426" s="69" t="str"/>
      <x:c r="M1426" s="70" t="n">
        <x:v>144000</x:v>
      </x:c>
      <x:c r="N1426" s="69" t="str">
        <x:v>144000</x:v>
      </x:c>
      <x:c r="O1426" s="71" t="str"/>
      <x:c r="P1426" s="71" t="str">
        <x:v>表格5第4列</x:v>
      </x:c>
      <x:c r="Q1426" s="71" t="str">
        <x:v>2 | 化糞池(10人份) | 座 | 3 | 48,000 | $144,000 |</x:v>
      </x:c>
      <x:c r="R1426" s="71" t="str">
        <x:v>各廠商合約&amp; 報價\MD檔案\永豐餘工程合約.md</x:v>
      </x:c>
    </x:row>
    <x:row r="1427">
      <x:c r="A1427" s="69" t="str">
        <x:v>ITEM01423</x:v>
      </x:c>
      <x:c r="B1427" s="69" t="str">
        <x:v>SRC082</x:v>
      </x:c>
      <x:c r="C1427" s="69" t="str">
        <x:v>未定日期／非MD</x:v>
      </x:c>
      <x:c r="D1427" s="69" t="str">
        <x:v>未標示</x:v>
      </x:c>
      <x:c r="E1427" s="69" t="str"/>
      <x:c r="F1427" s="71" t="str">
        <x:v>衛浴設備</x:v>
      </x:c>
      <x:c r="G1427" s="71" t="str">
        <x:v>衛浴設備</x:v>
      </x:c>
      <x:c r="H1427" s="71" t="str">
        <x:v>套</x:v>
      </x:c>
      <x:c r="I1427" s="72" t="n">
        <x:v>22</x:v>
      </x:c>
      <x:c r="J1427" s="69" t="str"/>
      <x:c r="K1427" s="70"/>
      <x:c r="L1427" s="69" t="str"/>
      <x:c r="M1427" s="70" t="n">
        <x:v>0</x:v>
      </x:c>
      <x:c r="N1427" s="69" t="str">
        <x:v>0</x:v>
      </x:c>
      <x:c r="O1427" s="71" t="str">
        <x:v>另估於裝修工程</x:v>
      </x:c>
      <x:c r="P1427" s="71" t="str">
        <x:v>表格5第5列</x:v>
      </x:c>
      <x:c r="Q1427" s="71" t="str">
        <x:v>3 | 衛浴設備 | 套 | 22 | - | $0 | 另估於裝修工程</x:v>
      </x:c>
      <x:c r="R1427" s="71" t="str">
        <x:v>各廠商合約&amp; 報價\MD檔案\永豐餘工程合約.md</x:v>
      </x:c>
    </x:row>
  </x:sheetData>
  <x:mergeCells>
    <x:mergeCell ref="A1:R2"/>
    <x:mergeCell ref="A3:R3"/>
  </x:mergeCells>
  <x:pageMargins left="0.7" right="0.7" top="0.75" bottom="0.75" header="0.3" footer="0.3"/>
  <x:tableParts count="1">
    <x:tablePart xmlns:r="http://schemas.openxmlformats.org/officeDocument/2006/relationships" r:id="Rf43dd5e0a0eb42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75" hidden="0" customWidth="1"/>
    <x:col min="2" max="2" width="8.130000114440918" hidden="0" customWidth="1"/>
    <x:col min="3" max="3" width="23.75" hidden="0" customWidth="1"/>
    <x:col min="4" max="4" width="13.75" hidden="0" customWidth="1"/>
    <x:col min="5" max="5" width="30" hidden="0" customWidth="1"/>
    <x:col min="6" max="6" width="15" hidden="0" customWidth="1"/>
    <x:col min="7" max="7" width="21.25" hidden="0" customWidth="1"/>
    <x:col min="8" max="8" width="25" hidden="0" customWidth="1"/>
    <x:col min="9" max="9" width="43.75" hidden="0" customWidth="1"/>
    <x:col min="10" max="10" width="12.5" hidden="0" customWidth="1"/>
    <x:col min="11" max="11" width="27.5" hidden="0" customWidth="1"/>
  </x:cols>
  <x:sheetData>
    <x:row r="1" ht="28" customHeight="1">
      <x:c r="A1" s="3" t="str">
        <x:v>廠商與統編｜文件原值與網站交叉比對分列</x:v>
      </x:c>
      <x:c r="B1" s="3" t="str">
        <x:v>廠商與統編｜文件原值與網站交叉比對分列</x:v>
      </x:c>
      <x:c r="C1" s="3" t="str">
        <x:v>廠商與統編｜文件原值與網站交叉比對分列</x:v>
      </x:c>
      <x:c r="D1" s="3" t="str">
        <x:v>廠商與統編｜文件原值與網站交叉比對分列</x:v>
      </x:c>
      <x:c r="E1" s="3" t="str">
        <x:v>廠商與統編｜文件原值與網站交叉比對分列</x:v>
      </x:c>
      <x:c r="F1" s="3" t="str">
        <x:v>廠商與統編｜文件原值與網站交叉比對分列</x:v>
      </x:c>
      <x:c r="G1" s="3" t="str">
        <x:v>廠商與統編｜文件原值與網站交叉比對分列</x:v>
      </x:c>
      <x:c r="H1" s="3" t="str">
        <x:v>廠商與統編｜文件原值與網站交叉比對分列</x:v>
      </x:c>
      <x:c r="I1" s="3" t="str">
        <x:v>廠商與統編｜文件原值與網站交叉比對分列</x:v>
      </x:c>
      <x:c r="J1" s="3" t="str">
        <x:v>廠商與統編｜文件原值與網站交叉比對分列</x:v>
      </x:c>
      <x:c r="K1" s="3" t="str">
        <x:v>廠商與統編｜文件原值與網站交叉比對分列</x:v>
      </x:c>
    </x:row>
    <x:row r="2" ht="28" customHeight="1">
      <x:c r="A2" s="3" t="str">
        <x:v>廠商與統編｜文件原值與網站交叉比對分列</x:v>
      </x:c>
      <x:c r="B2" s="3" t="str">
        <x:v>廠商與統編｜文件原值與網站交叉比對分列</x:v>
      </x:c>
      <x:c r="C2" s="3" t="str">
        <x:v>廠商與統編｜文件原值與網站交叉比對分列</x:v>
      </x:c>
      <x:c r="D2" s="3" t="str">
        <x:v>廠商與統編｜文件原值與網站交叉比對分列</x:v>
      </x:c>
      <x:c r="E2" s="3" t="str">
        <x:v>廠商與統編｜文件原值與網站交叉比對分列</x:v>
      </x:c>
      <x:c r="F2" s="3" t="str">
        <x:v>廠商與統編｜文件原值與網站交叉比對分列</x:v>
      </x:c>
      <x:c r="G2" s="3" t="str">
        <x:v>廠商與統編｜文件原值與網站交叉比對分列</x:v>
      </x:c>
      <x:c r="H2" s="3" t="str">
        <x:v>廠商與統編｜文件原值與網站交叉比對分列</x:v>
      </x:c>
      <x:c r="I2" s="3" t="str">
        <x:v>廠商與統編｜文件原值與網站交叉比對分列</x:v>
      </x:c>
      <x:c r="J2" s="3" t="str">
        <x:v>廠商與統編｜文件原值與網站交叉比對分列</x:v>
      </x:c>
      <x:c r="K2" s="3" t="str">
        <x:v>廠商與統編｜文件原值與網站交叉比對分列</x:v>
      </x:c>
    </x:row>
    <x:row r="3">
      <x:c r="A3" s="6" t="str">
        <x:v>網站候選統編僅用於交叉核對，絕不回寫或替換文件統編；無法排除同名公司時保持空白。</x:v>
      </x:c>
      <x:c r="B3" s="6" t="str">
        <x:v>網站候選統編僅用於交叉核對，絕不回寫或替換文件統編；無法排除同名公司時保持空白。</x:v>
      </x:c>
      <x:c r="C3" s="6" t="str">
        <x:v>網站候選統編僅用於交叉核對，絕不回寫或替換文件統編；無法排除同名公司時保持空白。</x:v>
      </x:c>
      <x:c r="D3" s="6" t="str">
        <x:v>網站候選統編僅用於交叉核對，絕不回寫或替換文件統編；無法排除同名公司時保持空白。</x:v>
      </x:c>
      <x:c r="E3" s="6" t="str">
        <x:v>網站候選統編僅用於交叉核對，絕不回寫或替換文件統編；無法排除同名公司時保持空白。</x:v>
      </x:c>
      <x:c r="F3" s="6" t="str">
        <x:v>網站候選統編僅用於交叉核對，絕不回寫或替換文件統編；無法排除同名公司時保持空白。</x:v>
      </x:c>
      <x:c r="G3" s="6" t="str">
        <x:v>網站候選統編僅用於交叉核對，絕不回寫或替換文件統編；無法排除同名公司時保持空白。</x:v>
      </x:c>
      <x:c r="H3" s="6" t="str">
        <x:v>網站候選統編僅用於交叉核對，絕不回寫或替換文件統編；無法排除同名公司時保持空白。</x:v>
      </x:c>
      <x:c r="I3" s="6" t="str">
        <x:v>網站候選統編僅用於交叉核對，絕不回寫或替換文件統編；無法排除同名公司時保持空白。</x:v>
      </x:c>
      <x:c r="J3" s="6" t="str">
        <x:v>網站候選統編僅用於交叉核對，絕不回寫或替換文件統編；無法排除同名公司時保持空白。</x:v>
      </x:c>
      <x:c r="K3" s="6" t="str">
        <x:v>網站候選統編僅用於交叉核對，絕不回寫或替換文件統編；無法排除同名公司時保持空白。</x:v>
      </x:c>
    </x:row>
    <x:row r="4">
      <x:c r="A4" s="66" t="str">
        <x:v>廠商ID</x:v>
      </x:c>
      <x:c r="B4" s="66" t="str">
        <x:v>來源ID</x:v>
      </x:c>
      <x:c r="C4" s="66" t="str">
        <x:v>賣方名稱（文件明載）</x:v>
      </x:c>
      <x:c r="D4" s="66" t="str">
        <x:v>文件統編</x:v>
      </x:c>
      <x:c r="E4" s="66" t="str">
        <x:v>文件地址</x:v>
      </x:c>
      <x:c r="F4" s="66" t="str">
        <x:v>網站候選統編</x:v>
      </x:c>
      <x:c r="G4" s="66" t="str">
        <x:v>網站比對結果</x:v>
      </x:c>
      <x:c r="H4" s="66" t="str">
        <x:v>網站比對說明</x:v>
      </x:c>
      <x:c r="I4" s="66" t="str">
        <x:v>網站來源</x:v>
      </x:c>
      <x:c r="J4" s="66" t="str">
        <x:v>文件位置</x:v>
      </x:c>
      <x:c r="K4" s="66" t="str">
        <x:v>文件註記</x:v>
      </x:c>
    </x:row>
    <x:row r="5">
      <x:c r="A5" s="69" t="str">
        <x:v>V0001</x:v>
      </x:c>
      <x:c r="B5" s="69" t="str">
        <x:v>SRC002</x:v>
      </x:c>
      <x:c r="C5" s="69" t="str">
        <x:v>文件未載明</x:v>
      </x:c>
      <x:c r="D5" s="69" t="str">
        <x:v>文件未載明</x:v>
      </x:c>
      <x:c r="E5" s="71" t="str">
        <x:v>文件未載明</x:v>
      </x:c>
      <x:c r="F5" s="71" t="str"/>
      <x:c r="G5" s="71" t="str">
        <x:v>尚未交叉比對</x:v>
      </x:c>
      <x:c r="H5" s="71" t="str">
        <x:v>尚未找到可排除歧義的公開資料</x:v>
      </x:c>
      <x:c r="I5" s="71" t="str"/>
      <x:c r="J5" s="71" t="str"/>
      <x:c r="K5" s="71" t="str"/>
    </x:row>
    <x:row r="6">
      <x:c r="A6" s="69" t="str">
        <x:v>V0002</x:v>
      </x:c>
      <x:c r="B6" s="69" t="str">
        <x:v>SRC002</x:v>
      </x:c>
      <x:c r="C6" s="69" t="str">
        <x:v>文件未載明</x:v>
      </x:c>
      <x:c r="D6" s="69" t="str">
        <x:v>文件未載明</x:v>
      </x:c>
      <x:c r="E6" s="71" t="str">
        <x:v>文件未載明</x:v>
      </x:c>
      <x:c r="F6" s="71" t="str"/>
      <x:c r="G6" s="71" t="str">
        <x:v>尚未交叉比對</x:v>
      </x:c>
      <x:c r="H6" s="71" t="str">
        <x:v>尚未找到可排除歧義的公開資料</x:v>
      </x:c>
      <x:c r="I6" s="71" t="str"/>
      <x:c r="J6" s="71" t="str"/>
      <x:c r="K6" s="71" t="str"/>
    </x:row>
    <x:row r="7">
      <x:c r="A7" s="69" t="str">
        <x:v>V0003</x:v>
      </x:c>
      <x:c r="B7" s="69" t="str">
        <x:v>SRC003</x:v>
      </x:c>
      <x:c r="C7" s="69" t="str">
        <x:v>文件未載明</x:v>
      </x:c>
      <x:c r="D7" s="69" t="str">
        <x:v>文件未載明</x:v>
      </x:c>
      <x:c r="E7" s="71" t="str">
        <x:v>文件未載明</x:v>
      </x:c>
      <x:c r="F7" s="71" t="str"/>
      <x:c r="G7" s="71" t="str">
        <x:v>尚未交叉比對</x:v>
      </x:c>
      <x:c r="H7" s="71" t="str">
        <x:v>尚未找到可排除歧義的公開資料</x:v>
      </x:c>
      <x:c r="I7" s="71" t="str"/>
      <x:c r="J7" s="71" t="str"/>
      <x:c r="K7" s="71" t="str"/>
    </x:row>
    <x:row r="8">
      <x:c r="A8" s="69" t="str">
        <x:v>V0004</x:v>
      </x:c>
      <x:c r="B8" s="69" t="str">
        <x:v>SRC004</x:v>
      </x:c>
      <x:c r="C8" s="69" t="str">
        <x:v>文件未載明</x:v>
      </x:c>
      <x:c r="D8" s="69" t="str">
        <x:v>文件未載明</x:v>
      </x:c>
      <x:c r="E8" s="71" t="str">
        <x:v>文件未載明</x:v>
      </x:c>
      <x:c r="F8" s="71" t="str"/>
      <x:c r="G8" s="71" t="str">
        <x:v>尚未交叉比對</x:v>
      </x:c>
      <x:c r="H8" s="71" t="str">
        <x:v>尚未找到可排除歧義的公開資料</x:v>
      </x:c>
      <x:c r="I8" s="71" t="str"/>
      <x:c r="J8" s="71" t="str"/>
      <x:c r="K8" s="71" t="str"/>
    </x:row>
    <x:row r="9">
      <x:c r="A9" s="69" t="str">
        <x:v>V0005</x:v>
      </x:c>
      <x:c r="B9" s="69" t="str">
        <x:v>SRC005</x:v>
      </x:c>
      <x:c r="C9" s="69" t="str">
        <x:v>文件未載明</x:v>
      </x:c>
      <x:c r="D9" s="69" t="str">
        <x:v>文件未載明</x:v>
      </x:c>
      <x:c r="E9" s="71" t="str">
        <x:v>文件未載明</x:v>
      </x:c>
      <x:c r="F9" s="71" t="str"/>
      <x:c r="G9" s="71" t="str">
        <x:v>尚未交叉比對</x:v>
      </x:c>
      <x:c r="H9" s="71" t="str">
        <x:v>尚未找到可排除歧義的公開資料</x:v>
      </x:c>
      <x:c r="I9" s="71" t="str"/>
      <x:c r="J9" s="71" t="str"/>
      <x:c r="K9" s="71" t="str"/>
    </x:row>
    <x:row r="10">
      <x:c r="A10" s="69" t="str">
        <x:v>V0006</x:v>
      </x:c>
      <x:c r="B10" s="69" t="str">
        <x:v>SRC005</x:v>
      </x:c>
      <x:c r="C10" s="69" t="str">
        <x:v>文件未載明</x:v>
      </x:c>
      <x:c r="D10" s="69" t="str">
        <x:v>文件未載明</x:v>
      </x:c>
      <x:c r="E10" s="71" t="str">
        <x:v>文件未載明</x:v>
      </x:c>
      <x:c r="F10" s="71" t="str"/>
      <x:c r="G10" s="71" t="str">
        <x:v>尚未交叉比對</x:v>
      </x:c>
      <x:c r="H10" s="71" t="str">
        <x:v>尚未找到可排除歧義的公開資料</x:v>
      </x:c>
      <x:c r="I10" s="71" t="str"/>
      <x:c r="J10" s="71" t="str"/>
      <x:c r="K10" s="71" t="str"/>
    </x:row>
    <x:row r="11">
      <x:c r="A11" s="69" t="str">
        <x:v>V0007</x:v>
      </x:c>
      <x:c r="B11" s="69" t="str">
        <x:v>SRC006</x:v>
      </x:c>
      <x:c r="C11" s="69" t="str">
        <x:v>文件未載明</x:v>
      </x:c>
      <x:c r="D11" s="69" t="str">
        <x:v>文件未載明</x:v>
      </x:c>
      <x:c r="E11" s="71" t="str">
        <x:v>文件未載明</x:v>
      </x:c>
      <x:c r="F11" s="71" t="str"/>
      <x:c r="G11" s="71" t="str">
        <x:v>尚未交叉比對</x:v>
      </x:c>
      <x:c r="H11" s="71" t="str">
        <x:v>尚未找到可排除歧義的公開資料</x:v>
      </x:c>
      <x:c r="I11" s="71" t="str"/>
      <x:c r="J11" s="71" t="str"/>
      <x:c r="K11" s="71" t="str"/>
    </x:row>
    <x:row r="12">
      <x:c r="A12" s="69" t="str">
        <x:v>V0008</x:v>
      </x:c>
      <x:c r="B12" s="69" t="str">
        <x:v>SRC007</x:v>
      </x:c>
      <x:c r="C12" s="69" t="str">
        <x:v>文件未載明</x:v>
      </x:c>
      <x:c r="D12" s="69" t="str">
        <x:v>文件未載明</x:v>
      </x:c>
      <x:c r="E12" s="71" t="str">
        <x:v>文件未載明</x:v>
      </x:c>
      <x:c r="F12" s="71" t="str"/>
      <x:c r="G12" s="71" t="str">
        <x:v>尚未交叉比對</x:v>
      </x:c>
      <x:c r="H12" s="71" t="str">
        <x:v>尚未找到可排除歧義的公開資料</x:v>
      </x:c>
      <x:c r="I12" s="71" t="str"/>
      <x:c r="J12" s="71" t="str"/>
      <x:c r="K12" s="71" t="str"/>
    </x:row>
    <x:row r="13">
      <x:c r="A13" s="69" t="str">
        <x:v>V0009</x:v>
      </x:c>
      <x:c r="B13" s="69" t="str">
        <x:v>SRC008</x:v>
      </x:c>
      <x:c r="C13" s="69" t="str">
        <x:v>文件未載明</x:v>
      </x:c>
      <x:c r="D13" s="69" t="str">
        <x:v>文件未載明</x:v>
      </x:c>
      <x:c r="E13" s="71" t="str">
        <x:v>文件未載明</x:v>
      </x:c>
      <x:c r="F13" s="71" t="str"/>
      <x:c r="G13" s="71" t="str">
        <x:v>尚未交叉比對</x:v>
      </x:c>
      <x:c r="H13" s="71" t="str">
        <x:v>尚未找到可排除歧義的公開資料</x:v>
      </x:c>
      <x:c r="I13" s="71" t="str"/>
      <x:c r="J13" s="71" t="str"/>
      <x:c r="K13" s="71" t="str"/>
    </x:row>
    <x:row r="14">
      <x:c r="A14" s="69" t="str">
        <x:v>V0010</x:v>
      </x:c>
      <x:c r="B14" s="69" t="str">
        <x:v>SRC009</x:v>
      </x:c>
      <x:c r="C14" s="69" t="str">
        <x:v>文件未載明</x:v>
      </x:c>
      <x:c r="D14" s="69" t="str">
        <x:v>文件未載明</x:v>
      </x:c>
      <x:c r="E14" s="71" t="str">
        <x:v>文件未載明</x:v>
      </x:c>
      <x:c r="F14" s="71" t="str"/>
      <x:c r="G14" s="71" t="str">
        <x:v>尚未交叉比對</x:v>
      </x:c>
      <x:c r="H14" s="71" t="str">
        <x:v>尚未找到可排除歧義的公開資料</x:v>
      </x:c>
      <x:c r="I14" s="71" t="str"/>
      <x:c r="J14" s="71" t="str"/>
      <x:c r="K14" s="71" t="str"/>
    </x:row>
    <x:row r="15">
      <x:c r="A15" s="69" t="str">
        <x:v>V0011</x:v>
      </x:c>
      <x:c r="B15" s="69" t="str">
        <x:v>SRC010</x:v>
      </x:c>
      <x:c r="C15" s="69" t="str">
        <x:v>文件未載明</x:v>
      </x:c>
      <x:c r="D15" s="69" t="str">
        <x:v>文件未載明</x:v>
      </x:c>
      <x:c r="E15" s="71" t="str">
        <x:v>文件未載明</x:v>
      </x:c>
      <x:c r="F15" s="71" t="str"/>
      <x:c r="G15" s="71" t="str">
        <x:v>尚未交叉比對</x:v>
      </x:c>
      <x:c r="H15" s="71" t="str">
        <x:v>尚未找到可排除歧義的公開資料</x:v>
      </x:c>
      <x:c r="I15" s="71" t="str"/>
      <x:c r="J15" s="71" t="str"/>
      <x:c r="K15" s="71" t="str"/>
    </x:row>
    <x:row r="16">
      <x:c r="A16" s="69" t="str">
        <x:v>V0012</x:v>
      </x:c>
      <x:c r="B16" s="69" t="str">
        <x:v>SRC011</x:v>
      </x:c>
      <x:c r="C16" s="69" t="str">
        <x:v>文件未載明</x:v>
      </x:c>
      <x:c r="D16" s="69" t="str">
        <x:v>文件未載明</x:v>
      </x:c>
      <x:c r="E16" s="71" t="str">
        <x:v>文件未載明</x:v>
      </x:c>
      <x:c r="F16" s="71" t="str"/>
      <x:c r="G16" s="71" t="str">
        <x:v>尚未交叉比對</x:v>
      </x:c>
      <x:c r="H16" s="71" t="str">
        <x:v>尚未找到可排除歧義的公開資料</x:v>
      </x:c>
      <x:c r="I16" s="71" t="str"/>
      <x:c r="J16" s="71" t="str"/>
      <x:c r="K16" s="71" t="str"/>
    </x:row>
    <x:row r="17">
      <x:c r="A17" s="69" t="str">
        <x:v>V0013</x:v>
      </x:c>
      <x:c r="B17" s="69" t="str">
        <x:v>SRC012</x:v>
      </x:c>
      <x:c r="C17" s="69" t="str">
        <x:v>文件未載明</x:v>
      </x:c>
      <x:c r="D17" s="69" t="str">
        <x:v>文件未載明</x:v>
      </x:c>
      <x:c r="E17" s="71" t="str">
        <x:v>文件未載明</x:v>
      </x:c>
      <x:c r="F17" s="71" t="str"/>
      <x:c r="G17" s="71" t="str">
        <x:v>尚未交叉比對</x:v>
      </x:c>
      <x:c r="H17" s="71" t="str">
        <x:v>尚未找到可排除歧義的公開資料</x:v>
      </x:c>
      <x:c r="I17" s="71" t="str"/>
      <x:c r="J17" s="71" t="str"/>
      <x:c r="K17" s="71" t="str"/>
    </x:row>
    <x:row r="18">
      <x:c r="A18" s="69" t="str">
        <x:v>V0014</x:v>
      </x:c>
      <x:c r="B18" s="69" t="str">
        <x:v>SRC012</x:v>
      </x:c>
      <x:c r="C18" s="69" t="str">
        <x:v>文件未載明</x:v>
      </x:c>
      <x:c r="D18" s="69" t="str">
        <x:v>文件未載明</x:v>
      </x:c>
      <x:c r="E18" s="71" t="str">
        <x:v>文件未載明</x:v>
      </x:c>
      <x:c r="F18" s="71" t="str"/>
      <x:c r="G18" s="71" t="str">
        <x:v>尚未交叉比對</x:v>
      </x:c>
      <x:c r="H18" s="71" t="str">
        <x:v>尚未找到可排除歧義的公開資料</x:v>
      </x:c>
      <x:c r="I18" s="71" t="str"/>
      <x:c r="J18" s="71" t="str"/>
      <x:c r="K18" s="71" t="str"/>
    </x:row>
    <x:row r="19">
      <x:c r="A19" s="69" t="str">
        <x:v>V0015</x:v>
      </x:c>
      <x:c r="B19" s="69" t="str">
        <x:v>SRC013</x:v>
      </x:c>
      <x:c r="C19" s="69" t="str">
        <x:v>文件未載明</x:v>
      </x:c>
      <x:c r="D19" s="69" t="str">
        <x:v>文件未載明</x:v>
      </x:c>
      <x:c r="E19" s="71" t="str">
        <x:v>文件未載明</x:v>
      </x:c>
      <x:c r="F19" s="71" t="str"/>
      <x:c r="G19" s="71" t="str">
        <x:v>尚未交叉比對</x:v>
      </x:c>
      <x:c r="H19" s="71" t="str">
        <x:v>尚未找到可排除歧義的公開資料</x:v>
      </x:c>
      <x:c r="I19" s="71" t="str"/>
      <x:c r="J19" s="71" t="str"/>
      <x:c r="K19" s="71" t="str"/>
    </x:row>
    <x:row r="20">
      <x:c r="A20" s="69" t="str">
        <x:v>V0016</x:v>
      </x:c>
      <x:c r="B20" s="69" t="str">
        <x:v>SRC014</x:v>
      </x:c>
      <x:c r="C20" s="69" t="str">
        <x:v>文件未載明</x:v>
      </x:c>
      <x:c r="D20" s="69" t="str">
        <x:v>文件未載明</x:v>
      </x:c>
      <x:c r="E20" s="71" t="str">
        <x:v>文件未載明</x:v>
      </x:c>
      <x:c r="F20" s="71" t="str"/>
      <x:c r="G20" s="71" t="str">
        <x:v>尚未交叉比對</x:v>
      </x:c>
      <x:c r="H20" s="71" t="str">
        <x:v>尚未找到可排除歧義的公開資料</x:v>
      </x:c>
      <x:c r="I20" s="71" t="str"/>
      <x:c r="J20" s="71" t="str"/>
      <x:c r="K20" s="71" t="str"/>
    </x:row>
    <x:row r="21">
      <x:c r="A21" s="69" t="str">
        <x:v>V0017</x:v>
      </x:c>
      <x:c r="B21" s="69" t="str">
        <x:v>SRC015</x:v>
      </x:c>
      <x:c r="C21" s="69" t="str">
        <x:v>文件未載明</x:v>
      </x:c>
      <x:c r="D21" s="69" t="str">
        <x:v>文件未載明</x:v>
      </x:c>
      <x:c r="E21" s="71" t="str">
        <x:v>文件未載明</x:v>
      </x:c>
      <x:c r="F21" s="71" t="str"/>
      <x:c r="G21" s="71" t="str">
        <x:v>尚未交叉比對</x:v>
      </x:c>
      <x:c r="H21" s="71" t="str">
        <x:v>尚未找到可排除歧義的公開資料</x:v>
      </x:c>
      <x:c r="I21" s="71" t="str"/>
      <x:c r="J21" s="71" t="str"/>
      <x:c r="K21" s="71" t="str"/>
    </x:row>
    <x:row r="22">
      <x:c r="A22" s="69" t="str">
        <x:v>V0018</x:v>
      </x:c>
      <x:c r="B22" s="69" t="str">
        <x:v>SRC016</x:v>
      </x:c>
      <x:c r="C22" s="69" t="str">
        <x:v>文件未載明</x:v>
      </x:c>
      <x:c r="D22" s="69" t="str">
        <x:v>文件未載明</x:v>
      </x:c>
      <x:c r="E22" s="71" t="str">
        <x:v>文件未載明</x:v>
      </x:c>
      <x:c r="F22" s="71" t="str"/>
      <x:c r="G22" s="71" t="str">
        <x:v>尚未交叉比對</x:v>
      </x:c>
      <x:c r="H22" s="71" t="str">
        <x:v>尚未找到可排除歧義的公開資料</x:v>
      </x:c>
      <x:c r="I22" s="71" t="str"/>
      <x:c r="J22" s="71" t="str"/>
      <x:c r="K22" s="71" t="str"/>
    </x:row>
    <x:row r="23">
      <x:c r="A23" s="69" t="str">
        <x:v>V0019</x:v>
      </x:c>
      <x:c r="B23" s="69" t="str">
        <x:v>SRC017</x:v>
      </x:c>
      <x:c r="C23" s="69" t="str">
        <x:v>文件未載明</x:v>
      </x:c>
      <x:c r="D23" s="69" t="str">
        <x:v>文件未載明</x:v>
      </x:c>
      <x:c r="E23" s="71" t="str">
        <x:v>文件未載明</x:v>
      </x:c>
      <x:c r="F23" s="71" t="str"/>
      <x:c r="G23" s="71" t="str">
        <x:v>尚未交叉比對</x:v>
      </x:c>
      <x:c r="H23" s="71" t="str">
        <x:v>尚未找到可排除歧義的公開資料</x:v>
      </x:c>
      <x:c r="I23" s="71" t="str"/>
      <x:c r="J23" s="71" t="str"/>
      <x:c r="K23" s="71" t="str"/>
    </x:row>
    <x:row r="24">
      <x:c r="A24" s="69" t="str">
        <x:v>V0020</x:v>
      </x:c>
      <x:c r="B24" s="69" t="str">
        <x:v>SRC018</x:v>
      </x:c>
      <x:c r="C24" s="69" t="str">
        <x:v>文件未載明</x:v>
      </x:c>
      <x:c r="D24" s="69" t="str">
        <x:v>文件未載明</x:v>
      </x:c>
      <x:c r="E24" s="71" t="str">
        <x:v>文件未載明</x:v>
      </x:c>
      <x:c r="F24" s="71" t="str"/>
      <x:c r="G24" s="71" t="str">
        <x:v>尚未交叉比對</x:v>
      </x:c>
      <x:c r="H24" s="71" t="str">
        <x:v>尚未找到可排除歧義的公開資料</x:v>
      </x:c>
      <x:c r="I24" s="71" t="str"/>
      <x:c r="J24" s="71" t="str"/>
      <x:c r="K24" s="71" t="str"/>
    </x:row>
    <x:row r="25">
      <x:c r="A25" s="69" t="str">
        <x:v>V0021</x:v>
      </x:c>
      <x:c r="B25" s="69" t="str">
        <x:v>SRC019</x:v>
      </x:c>
      <x:c r="C25" s="69" t="str">
        <x:v>文件未載明</x:v>
      </x:c>
      <x:c r="D25" s="69" t="str">
        <x:v>文件未載明</x:v>
      </x:c>
      <x:c r="E25" s="71" t="str">
        <x:v>文件未載明</x:v>
      </x:c>
      <x:c r="F25" s="71" t="str"/>
      <x:c r="G25" s="71" t="str">
        <x:v>尚未交叉比對</x:v>
      </x:c>
      <x:c r="H25" s="71" t="str">
        <x:v>尚未找到可排除歧義的公開資料</x:v>
      </x:c>
      <x:c r="I25" s="71" t="str"/>
      <x:c r="J25" s="71" t="str"/>
      <x:c r="K25" s="71" t="str"/>
    </x:row>
    <x:row r="26">
      <x:c r="A26" s="69" t="str">
        <x:v>V0022</x:v>
      </x:c>
      <x:c r="B26" s="69" t="str">
        <x:v>SRC020</x:v>
      </x:c>
      <x:c r="C26" s="69" t="str">
        <x:v>文件未載明</x:v>
      </x:c>
      <x:c r="D26" s="69" t="str">
        <x:v>文件未載明</x:v>
      </x:c>
      <x:c r="E26" s="71" t="str">
        <x:v>文件未載明</x:v>
      </x:c>
      <x:c r="F26" s="71" t="str"/>
      <x:c r="G26" s="71" t="str">
        <x:v>尚未交叉比對</x:v>
      </x:c>
      <x:c r="H26" s="71" t="str">
        <x:v>尚未找到可排除歧義的公開資料</x:v>
      </x:c>
      <x:c r="I26" s="71" t="str"/>
      <x:c r="J26" s="71" t="str"/>
      <x:c r="K26" s="71" t="str"/>
    </x:row>
    <x:row r="27">
      <x:c r="A27" s="69" t="str">
        <x:v>V0023</x:v>
      </x:c>
      <x:c r="B27" s="69" t="str">
        <x:v>SRC021</x:v>
      </x:c>
      <x:c r="C27" s="69" t="str">
        <x:v>文件未載明</x:v>
      </x:c>
      <x:c r="D27" s="69" t="str">
        <x:v>文件未載明</x:v>
      </x:c>
      <x:c r="E27" s="71" t="str">
        <x:v>文件未載明</x:v>
      </x:c>
      <x:c r="F27" s="71" t="str"/>
      <x:c r="G27" s="71" t="str">
        <x:v>尚未交叉比對</x:v>
      </x:c>
      <x:c r="H27" s="71" t="str">
        <x:v>尚未找到可排除歧義的公開資料</x:v>
      </x:c>
      <x:c r="I27" s="71" t="str"/>
      <x:c r="J27" s="71" t="str"/>
      <x:c r="K27" s="71" t="str"/>
    </x:row>
    <x:row r="28">
      <x:c r="A28" s="69" t="str">
        <x:v>V0024</x:v>
      </x:c>
      <x:c r="B28" s="69" t="str">
        <x:v>SRC022</x:v>
      </x:c>
      <x:c r="C28" s="69" t="str">
        <x:v>文件未載明</x:v>
      </x:c>
      <x:c r="D28" s="69" t="str">
        <x:v>文件未載明</x:v>
      </x:c>
      <x:c r="E28" s="71" t="str">
        <x:v>文件未載明</x:v>
      </x:c>
      <x:c r="F28" s="71" t="str"/>
      <x:c r="G28" s="71" t="str">
        <x:v>尚未交叉比對</x:v>
      </x:c>
      <x:c r="H28" s="71" t="str">
        <x:v>尚未找到可排除歧義的公開資料</x:v>
      </x:c>
      <x:c r="I28" s="71" t="str"/>
      <x:c r="J28" s="71" t="str"/>
      <x:c r="K28" s="71" t="str"/>
    </x:row>
    <x:row r="29">
      <x:c r="A29" s="69" t="str">
        <x:v>V0025</x:v>
      </x:c>
      <x:c r="B29" s="69" t="str">
        <x:v>SRC022</x:v>
      </x:c>
      <x:c r="C29" s="69" t="str">
        <x:v>文件未載明</x:v>
      </x:c>
      <x:c r="D29" s="69" t="str">
        <x:v>文件未載明</x:v>
      </x:c>
      <x:c r="E29" s="71" t="str">
        <x:v>文件未載明</x:v>
      </x:c>
      <x:c r="F29" s="71" t="str"/>
      <x:c r="G29" s="71" t="str">
        <x:v>尚未交叉比對</x:v>
      </x:c>
      <x:c r="H29" s="71" t="str">
        <x:v>尚未找到可排除歧義的公開資料</x:v>
      </x:c>
      <x:c r="I29" s="71" t="str"/>
      <x:c r="J29" s="71" t="str"/>
      <x:c r="K29" s="71" t="str"/>
    </x:row>
    <x:row r="30">
      <x:c r="A30" s="69" t="str">
        <x:v>V0026</x:v>
      </x:c>
      <x:c r="B30" s="69" t="str">
        <x:v>SRC023</x:v>
      </x:c>
      <x:c r="C30" s="69" t="str">
        <x:v>文件未載明</x:v>
      </x:c>
      <x:c r="D30" s="69" t="str">
        <x:v>文件未載明</x:v>
      </x:c>
      <x:c r="E30" s="71" t="str">
        <x:v>文件未載明</x:v>
      </x:c>
      <x:c r="F30" s="71" t="str"/>
      <x:c r="G30" s="71" t="str">
        <x:v>尚未交叉比對</x:v>
      </x:c>
      <x:c r="H30" s="71" t="str">
        <x:v>尚未找到可排除歧義的公開資料</x:v>
      </x:c>
      <x:c r="I30" s="71" t="str"/>
      <x:c r="J30" s="71" t="str"/>
      <x:c r="K30" s="71" t="str"/>
    </x:row>
    <x:row r="31">
      <x:c r="A31" s="69" t="str">
        <x:v>V0027</x:v>
      </x:c>
      <x:c r="B31" s="69" t="str">
        <x:v>SRC024</x:v>
      </x:c>
      <x:c r="C31" s="69" t="str">
        <x:v>文件未載明</x:v>
      </x:c>
      <x:c r="D31" s="69" t="str">
        <x:v>文件未載明</x:v>
      </x:c>
      <x:c r="E31" s="71" t="str">
        <x:v>文件未載明</x:v>
      </x:c>
      <x:c r="F31" s="71" t="str"/>
      <x:c r="G31" s="71" t="str">
        <x:v>尚未交叉比對</x:v>
      </x:c>
      <x:c r="H31" s="71" t="str">
        <x:v>尚未找到可排除歧義的公開資料</x:v>
      </x:c>
      <x:c r="I31" s="71" t="str"/>
      <x:c r="J31" s="71" t="str"/>
      <x:c r="K31" s="71" t="str"/>
    </x:row>
    <x:row r="32">
      <x:c r="A32" s="69" t="str">
        <x:v>V0028</x:v>
      </x:c>
      <x:c r="B32" s="69" t="str">
        <x:v>SRC025</x:v>
      </x:c>
      <x:c r="C32" s="69" t="str">
        <x:v>文件未載明</x:v>
      </x:c>
      <x:c r="D32" s="69" t="str">
        <x:v>文件未載明</x:v>
      </x:c>
      <x:c r="E32" s="71" t="str">
        <x:v>文件未載明</x:v>
      </x:c>
      <x:c r="F32" s="71" t="str"/>
      <x:c r="G32" s="71" t="str">
        <x:v>尚未交叉比對</x:v>
      </x:c>
      <x:c r="H32" s="71" t="str">
        <x:v>尚未找到可排除歧義的公開資料</x:v>
      </x:c>
      <x:c r="I32" s="71" t="str"/>
      <x:c r="J32" s="71" t="str"/>
      <x:c r="K32" s="71" t="str"/>
    </x:row>
    <x:row r="33">
      <x:c r="A33" s="69" t="str">
        <x:v>V0029</x:v>
      </x:c>
      <x:c r="B33" s="69" t="str">
        <x:v>SRC026</x:v>
      </x:c>
      <x:c r="C33" s="69" t="str">
        <x:v>文件未載明</x:v>
      </x:c>
      <x:c r="D33" s="69" t="str">
        <x:v>文件未載明</x:v>
      </x:c>
      <x:c r="E33" s="71" t="str">
        <x:v>文件未載明</x:v>
      </x:c>
      <x:c r="F33" s="71" t="str"/>
      <x:c r="G33" s="71" t="str">
        <x:v>尚未交叉比對</x:v>
      </x:c>
      <x:c r="H33" s="71" t="str">
        <x:v>尚未找到可排除歧義的公開資料</x:v>
      </x:c>
      <x:c r="I33" s="71" t="str"/>
      <x:c r="J33" s="71" t="str"/>
      <x:c r="K33" s="71" t="str"/>
    </x:row>
    <x:row r="34">
      <x:c r="A34" s="69" t="str">
        <x:v>V0030</x:v>
      </x:c>
      <x:c r="B34" s="69" t="str">
        <x:v>SRC027</x:v>
      </x:c>
      <x:c r="C34" s="69" t="str">
        <x:v>文件未載明</x:v>
      </x:c>
      <x:c r="D34" s="69" t="str">
        <x:v>文件未載明</x:v>
      </x:c>
      <x:c r="E34" s="71" t="str">
        <x:v>文件未載明</x:v>
      </x:c>
      <x:c r="F34" s="71" t="str"/>
      <x:c r="G34" s="71" t="str">
        <x:v>尚未交叉比對</x:v>
      </x:c>
      <x:c r="H34" s="71" t="str">
        <x:v>尚未找到可排除歧義的公開資料</x:v>
      </x:c>
      <x:c r="I34" s="71" t="str"/>
      <x:c r="J34" s="71" t="str"/>
      <x:c r="K34" s="71" t="str"/>
    </x:row>
    <x:row r="35">
      <x:c r="A35" s="69" t="str">
        <x:v>V0031</x:v>
      </x:c>
      <x:c r="B35" s="69" t="str">
        <x:v>SRC028</x:v>
      </x:c>
      <x:c r="C35" s="69" t="str">
        <x:v>文件未載明</x:v>
      </x:c>
      <x:c r="D35" s="69" t="str">
        <x:v>文件未載明</x:v>
      </x:c>
      <x:c r="E35" s="71" t="str">
        <x:v>文件未載明</x:v>
      </x:c>
      <x:c r="F35" s="71" t="str"/>
      <x:c r="G35" s="71" t="str">
        <x:v>尚未交叉比對</x:v>
      </x:c>
      <x:c r="H35" s="71" t="str">
        <x:v>尚未找到可排除歧義的公開資料</x:v>
      </x:c>
      <x:c r="I35" s="71" t="str"/>
      <x:c r="J35" s="71" t="str"/>
      <x:c r="K35" s="71" t="str"/>
    </x:row>
    <x:row r="36">
      <x:c r="A36" s="69" t="str">
        <x:v>V0032</x:v>
      </x:c>
      <x:c r="B36" s="69" t="str">
        <x:v>SRC029</x:v>
      </x:c>
      <x:c r="C36" s="69" t="str">
        <x:v>文件未載明</x:v>
      </x:c>
      <x:c r="D36" s="69" t="str">
        <x:v>文件未載明</x:v>
      </x:c>
      <x:c r="E36" s="71" t="str">
        <x:v>文件未載明</x:v>
      </x:c>
      <x:c r="F36" s="71" t="str"/>
      <x:c r="G36" s="71" t="str">
        <x:v>尚未交叉比對</x:v>
      </x:c>
      <x:c r="H36" s="71" t="str">
        <x:v>尚未找到可排除歧義的公開資料</x:v>
      </x:c>
      <x:c r="I36" s="71" t="str"/>
      <x:c r="J36" s="71" t="str"/>
      <x:c r="K36" s="71" t="str"/>
    </x:row>
    <x:row r="37">
      <x:c r="A37" s="69" t="str">
        <x:v>V0033</x:v>
      </x:c>
      <x:c r="B37" s="69" t="str">
        <x:v>SRC030</x:v>
      </x:c>
      <x:c r="C37" s="69" t="str">
        <x:v>文件未載明</x:v>
      </x:c>
      <x:c r="D37" s="69" t="str">
        <x:v>文件未載明</x:v>
      </x:c>
      <x:c r="E37" s="71" t="str">
        <x:v>文件未載明</x:v>
      </x:c>
      <x:c r="F37" s="71" t="str"/>
      <x:c r="G37" s="71" t="str">
        <x:v>尚未交叉比對</x:v>
      </x:c>
      <x:c r="H37" s="71" t="str">
        <x:v>尚未找到可排除歧義的公開資料</x:v>
      </x:c>
      <x:c r="I37" s="71" t="str"/>
      <x:c r="J37" s="71" t="str"/>
      <x:c r="K37" s="71" t="str"/>
    </x:row>
    <x:row r="38">
      <x:c r="A38" s="69" t="str">
        <x:v>V0034</x:v>
      </x:c>
      <x:c r="B38" s="69" t="str">
        <x:v>SRC031</x:v>
      </x:c>
      <x:c r="C38" s="69" t="str">
        <x:v>文件未載明</x:v>
      </x:c>
      <x:c r="D38" s="69" t="str">
        <x:v>文件未載明</x:v>
      </x:c>
      <x:c r="E38" s="71" t="str">
        <x:v>文件未載明</x:v>
      </x:c>
      <x:c r="F38" s="71" t="str"/>
      <x:c r="G38" s="71" t="str">
        <x:v>尚未交叉比對</x:v>
      </x:c>
      <x:c r="H38" s="71" t="str">
        <x:v>尚未找到可排除歧義的公開資料</x:v>
      </x:c>
      <x:c r="I38" s="71" t="str"/>
      <x:c r="J38" s="71" t="str"/>
      <x:c r="K38" s="71" t="str"/>
    </x:row>
    <x:row r="39">
      <x:c r="A39" s="69" t="str">
        <x:v>V0035</x:v>
      </x:c>
      <x:c r="B39" s="69" t="str">
        <x:v>SRC032</x:v>
      </x:c>
      <x:c r="C39" s="69" t="str">
        <x:v>智慧城企業有限公司</x:v>
      </x:c>
      <x:c r="D39" s="69" t="str">
        <x:v>文件未載明</x:v>
      </x:c>
      <x:c r="E39" s="71" t="str">
        <x:v>文件未載明</x:v>
      </x:c>
      <x:c r="F39" s="71" t="str">
        <x:v>86781412</x:v>
      </x:c>
      <x:c r="G39" s="71" t="str">
        <x:v>網站補得候選（未回填文件統編）</x:v>
      </x:c>
      <x:c r="H39" s="71" t="str">
        <x:v>公司名與統編一致</x:v>
      </x:c>
      <x:c r="I39" s="71" t="str">
        <x:v>https://info.technews.tw/company/86781412-%E6%99%BA%E6%85%A7%E5%9F%8E%E4%BC%81%E6%A5%AD%E6%9C%89%E9%99%90%E5%85%AC%E5%8F%B8</x:v>
      </x:c>
      <x:c r="J39" s="71" t="str">
        <x:v>文件擷取</x:v>
      </x:c>
      <x:c r="K39" s="71" t="str"/>
    </x:row>
    <x:row r="40">
      <x:c r="A40" s="69" t="str">
        <x:v>V0036</x:v>
      </x:c>
      <x:c r="B40" s="69" t="str">
        <x:v>SRC033</x:v>
      </x:c>
      <x:c r="C40" s="69" t="str">
        <x:v>文件未載明</x:v>
      </x:c>
      <x:c r="D40" s="69" t="str">
        <x:v>文件未載明</x:v>
      </x:c>
      <x:c r="E40" s="71" t="str">
        <x:v>文件未載明</x:v>
      </x:c>
      <x:c r="F40" s="71" t="str"/>
      <x:c r="G40" s="71" t="str">
        <x:v>尚未交叉比對</x:v>
      </x:c>
      <x:c r="H40" s="71" t="str">
        <x:v>尚未找到可排除歧義的公開資料</x:v>
      </x:c>
      <x:c r="I40" s="71" t="str"/>
      <x:c r="J40" s="71" t="str">
        <x:v>文件未載明</x:v>
      </x:c>
      <x:c r="K40" s="71" t="str"/>
    </x:row>
    <x:row r="41">
      <x:c r="A41" s="69" t="str">
        <x:v>V0037</x:v>
      </x:c>
      <x:c r="B41" s="69" t="str">
        <x:v>SRC034</x:v>
      </x:c>
      <x:c r="C41" s="69" t="str">
        <x:v>裕苗天然氣股份有限公司</x:v>
      </x:c>
      <x:c r="D41" s="69" t="str">
        <x:v>文件未載明</x:v>
      </x:c>
      <x:c r="E41" s="71" t="str">
        <x:v>文件未載明</x:v>
      </x:c>
      <x:c r="F41" s="71" t="str"/>
      <x:c r="G41" s="71" t="str">
        <x:v>尚未交叉比對</x:v>
      </x:c>
      <x:c r="H41" s="71" t="str">
        <x:v>尚未找到可排除歧義的公開資料</x:v>
      </x:c>
      <x:c r="I41" s="71" t="str"/>
      <x:c r="J41" s="71" t="str">
        <x:v>文件擷取</x:v>
      </x:c>
      <x:c r="K41" s="71" t="str"/>
    </x:row>
    <x:row r="42">
      <x:c r="A42" s="69" t="str">
        <x:v>V0038</x:v>
      </x:c>
      <x:c r="B42" s="69" t="str">
        <x:v>SRC035</x:v>
      </x:c>
      <x:c r="C42" s="69" t="str">
        <x:v>柏加企業股份有限公司</x:v>
      </x:c>
      <x:c r="D42" s="69" t="str">
        <x:v>文件未載明</x:v>
      </x:c>
      <x:c r="E42" s="71" t="str">
        <x:v>新竹縣竹北市文興路二段33號</x:v>
      </x:c>
      <x:c r="F42" s="71" t="str">
        <x:v>16651751</x:v>
      </x:c>
      <x:c r="G42" s="71" t="str">
        <x:v>網站補得候選（未回填文件統編）</x:v>
      </x:c>
      <x:c r="H42" s="71" t="str">
        <x:v>公司名與統編一致</x:v>
      </x:c>
      <x:c r="I42" s="71" t="str">
        <x:v>https://data.bznk.com/16651751</x:v>
      </x:c>
      <x:c r="J42" s="71" t="str">
        <x:v>文件擷取</x:v>
      </x:c>
      <x:c r="K42" s="71" t="str"/>
    </x:row>
    <x:row r="43">
      <x:c r="A43" s="69" t="str">
        <x:v>V0039</x:v>
      </x:c>
      <x:c r="B43" s="69" t="str">
        <x:v>SRC036</x:v>
      </x:c>
      <x:c r="C43" s="69" t="str">
        <x:v>柏加企業股份有限公司</x:v>
      </x:c>
      <x:c r="D43" s="69" t="str">
        <x:v>16651751</x:v>
      </x:c>
      <x:c r="E43" s="71" t="str">
        <x:v>文件未載明</x:v>
      </x:c>
      <x:c r="F43" s="71" t="str">
        <x:v>16651751</x:v>
      </x:c>
      <x:c r="G43" s="71" t="str">
        <x:v>文件與網站一致</x:v>
      </x:c>
      <x:c r="H43" s="71" t="str">
        <x:v>公司名與統編一致</x:v>
      </x:c>
      <x:c r="I43" s="71" t="str">
        <x:v>https://data.bznk.com/16651751</x:v>
      </x:c>
      <x:c r="J43" s="71" t="str">
        <x:v>文件擷取</x:v>
      </x:c>
      <x:c r="K43" s="71" t="str"/>
    </x:row>
    <x:row r="44">
      <x:c r="A44" s="69" t="str">
        <x:v>V0040</x:v>
      </x:c>
      <x:c r="B44" s="69" t="str">
        <x:v>SRC037</x:v>
      </x:c>
      <x:c r="C44" s="69" t="str">
        <x:v>建信自動化有限公司</x:v>
      </x:c>
      <x:c r="D44" s="69" t="str">
        <x:v>23968262</x:v>
      </x:c>
      <x:c r="E44" s="71" t="str">
        <x:v>新竹市公道五路三段538號</x:v>
      </x:c>
      <x:c r="F44" s="71" t="str">
        <x:v>23968262</x:v>
      </x:c>
      <x:c r="G44" s="71" t="str">
        <x:v>文件與網站一致</x:v>
      </x:c>
      <x:c r="H44" s="71" t="str">
        <x:v>公司名與統編一致</x:v>
      </x:c>
      <x:c r="I44" s="71" t="str">
        <x:v>https://www.findcompany.com.tw/%E5%BB%BA%E4%BF%A1%E8%87%AA%E5%8B%95%E5%8C%96%E6%9C%89%E9%99%90%E5%85%AC%E5%8F%B8</x:v>
      </x:c>
      <x:c r="J44" s="71" t="str">
        <x:v>文件擷取</x:v>
      </x:c>
      <x:c r="K44" s="71" t="str"/>
    </x:row>
    <x:row r="45">
      <x:c r="A45" s="69" t="str">
        <x:v>V0041</x:v>
      </x:c>
      <x:c r="B45" s="69" t="str">
        <x:v>SRC037</x:v>
      </x:c>
      <x:c r="C45" s="69" t="str">
        <x:v>護展股份有限公司</x:v>
      </x:c>
      <x:c r="D45" s="69" t="str">
        <x:v>23968262</x:v>
      </x:c>
      <x:c r="E45" s="71" t="str">
        <x:v>新竹市公道五路三段538號</x:v>
      </x:c>
      <x:c r="F45" s="71" t="str">
        <x:v>建信自動化有限公司</x:v>
      </x:c>
      <x:c r="G45" s="71" t="str">
        <x:v>文件統編與賣方名稱不一致</x:v>
      </x:c>
      <x:c r="H45" s="71" t="str">
        <x:v>文件統編對應其他已驗證名稱</x:v>
      </x:c>
      <x:c r="I45" s="71" t="str"/>
      <x:c r="J45" s="71" t="str">
        <x:v>文件擷取</x:v>
      </x:c>
      <x:c r="K45" s="71" t="str"/>
    </x:row>
    <x:row r="46">
      <x:c r="A46" s="69" t="str">
        <x:v>V0042</x:v>
      </x:c>
      <x:c r="B46" s="69" t="str">
        <x:v>SRC037</x:v>
      </x:c>
      <x:c r="C46" s="69" t="str">
        <x:v>晉展股份有限公司</x:v>
      </x:c>
      <x:c r="D46" s="69" t="str">
        <x:v>23968262</x:v>
      </x:c>
      <x:c r="E46" s="71" t="str">
        <x:v>新竹市公道五路三段538號</x:v>
      </x:c>
      <x:c r="F46" s="71" t="str">
        <x:v>89359135</x:v>
      </x:c>
      <x:c r="G46" s="71" t="str">
        <x:v>文件統編與網站不一致</x:v>
      </x:c>
      <x:c r="H46" s="71" t="str">
        <x:v>公司名與統編一致</x:v>
      </x:c>
      <x:c r="I46" s="71" t="str">
        <x:v>https://info.technews.tw/company/89359135-%E6%99%89%E5%B1%95%E8%82%A1%E4%BB%BD%E6%9C%89%E9%99%90%E5%85%AC%E5%8F%B8</x:v>
      </x:c>
      <x:c r="J46" s="71" t="str">
        <x:v>文件擷取</x:v>
      </x:c>
      <x:c r="K46" s="71" t="str"/>
    </x:row>
    <x:row r="47">
      <x:c r="A47" s="69" t="str">
        <x:v>V0043</x:v>
      </x:c>
      <x:c r="B47" s="69" t="str">
        <x:v>SRC038</x:v>
      </x:c>
      <x:c r="C47" s="69" t="str">
        <x:v>順靖企業有限公司</x:v>
      </x:c>
      <x:c r="D47" s="69" t="str">
        <x:v>文件未載明</x:v>
      </x:c>
      <x:c r="E47" s="71" t="str">
        <x:v>文件未載明</x:v>
      </x:c>
      <x:c r="F47" s="71" t="str">
        <x:v>28562277</x:v>
      </x:c>
      <x:c r="G47" s="71" t="str">
        <x:v>網站補得候選（未回填文件統編）</x:v>
      </x:c>
      <x:c r="H47" s="71" t="str">
        <x:v>公司名與統編一致</x:v>
      </x:c>
      <x:c r="I47" s="71" t="str">
        <x:v>https://info.technews.tw/company/28562277-%E9%A0%86%E9%9D%96%E4%BC%81%E6%A5%AD%E6%9C%89%E9%99%90%E5%85%AC%E5%8F%B8</x:v>
      </x:c>
      <x:c r="J47" s="71" t="str">
        <x:v>文件擷取</x:v>
      </x:c>
      <x:c r="K47" s="71" t="str"/>
    </x:row>
    <x:row r="48">
      <x:c r="A48" s="69" t="str">
        <x:v>V0044</x:v>
      </x:c>
      <x:c r="B48" s="69" t="str">
        <x:v>SRC039</x:v>
      </x:c>
      <x:c r="C48" s="69" t="str">
        <x:v>宇勝工程行</x:v>
      </x:c>
      <x:c r="D48" s="69" t="str">
        <x:v>文件未載明</x:v>
      </x:c>
      <x:c r="E48" s="71" t="str">
        <x:v>文件未載明</x:v>
      </x:c>
      <x:c r="F48" s="71" t="str"/>
      <x:c r="G48" s="71" t="str">
        <x:v>尚未交叉比對</x:v>
      </x:c>
      <x:c r="H48" s="71" t="str">
        <x:v>尚未找到可排除歧義的公開資料</x:v>
      </x:c>
      <x:c r="I48" s="71" t="str"/>
      <x:c r="J48" s="71" t="str">
        <x:v>文件擷取</x:v>
      </x:c>
      <x:c r="K48" s="71" t="str"/>
    </x:row>
    <x:row r="49">
      <x:c r="A49" s="69" t="str">
        <x:v>V0045</x:v>
      </x:c>
      <x:c r="B49" s="69" t="str">
        <x:v>SRC040</x:v>
      </x:c>
      <x:c r="C49" s="69" t="str">
        <x:v>晶鼎鐳射工業股份有限公司</x:v>
      </x:c>
      <x:c r="D49" s="69" t="str">
        <x:v>文件未載明</x:v>
      </x:c>
      <x:c r="E49" s="71" t="str">
        <x:v>台中市豐原區三豐路二段549巷331弄102號</x:v>
      </x:c>
      <x:c r="F49" s="71" t="str">
        <x:v>91056559</x:v>
      </x:c>
      <x:c r="G49" s="71" t="str">
        <x:v>網站補得候選（未回填文件統編）</x:v>
      </x:c>
      <x:c r="H49" s="71" t="str">
        <x:v>名稱與文件地址一致</x:v>
      </x:c>
      <x:c r="I49" s="71" t="str">
        <x:v>https://findbiz.nat.gov.tw/fts/factory/17/11166000600872</x:v>
      </x:c>
      <x:c r="J49" s="71" t="str">
        <x:v>文件擷取</x:v>
      </x:c>
      <x:c r="K49" s="71" t="str"/>
    </x:row>
    <x:row r="50">
      <x:c r="A50" s="69" t="str">
        <x:v>V0046</x:v>
      </x:c>
      <x:c r="B50" s="69" t="str">
        <x:v>SRC041</x:v>
      </x:c>
      <x:c r="C50" s="69" t="str">
        <x:v>山源工程行</x:v>
      </x:c>
      <x:c r="D50" s="69" t="str">
        <x:v>文件未載明</x:v>
      </x:c>
      <x:c r="E50" s="71" t="str">
        <x:v>文件未載明</x:v>
      </x:c>
      <x:c r="F50" s="71" t="str"/>
      <x:c r="G50" s="71" t="str">
        <x:v>尚未交叉比對</x:v>
      </x:c>
      <x:c r="H50" s="71" t="str">
        <x:v>尚未找到可排除歧義的公開資料</x:v>
      </x:c>
      <x:c r="I50" s="71" t="str"/>
      <x:c r="J50" s="71" t="str">
        <x:v>文件擷取</x:v>
      </x:c>
      <x:c r="K50" s="71" t="str"/>
    </x:row>
    <x:row r="51">
      <x:c r="A51" s="69" t="str">
        <x:v>V0047</x:v>
      </x:c>
      <x:c r="B51" s="69" t="str">
        <x:v>SRC042</x:v>
      </x:c>
      <x:c r="C51" s="69" t="str">
        <x:v>偉茗盛有限公司</x:v>
      </x:c>
      <x:c r="D51" s="69" t="str">
        <x:v>文件未載明</x:v>
      </x:c>
      <x:c r="E51" s="71" t="str">
        <x:v>新竹縣竹北市泰和里中和街191巷11號</x:v>
      </x:c>
      <x:c r="F51" s="71" t="str"/>
      <x:c r="G51" s="71" t="str">
        <x:v>尚未交叉比對</x:v>
      </x:c>
      <x:c r="H51" s="71" t="str">
        <x:v>尚未找到可排除歧義的公開資料</x:v>
      </x:c>
      <x:c r="I51" s="71" t="str"/>
      <x:c r="J51" s="71" t="str">
        <x:v>文件擷取</x:v>
      </x:c>
      <x:c r="K51" s="71" t="str"/>
    </x:row>
    <x:row r="52">
      <x:c r="A52" s="69" t="str">
        <x:v>V0048</x:v>
      </x:c>
      <x:c r="B52" s="69" t="str">
        <x:v>SRC043</x:v>
      </x:c>
      <x:c r="C52" s="69" t="str">
        <x:v>達成鑫鋼鐵股份有限公司</x:v>
      </x:c>
      <x:c r="D52" s="69" t="str">
        <x:v>文件未載明</x:v>
      </x:c>
      <x:c r="E52" s="71" t="str">
        <x:v>苗栗縣後龍鎮中華路712號</x:v>
      </x:c>
      <x:c r="F52" s="71" t="str"/>
      <x:c r="G52" s="71" t="str">
        <x:v>尚未交叉比對</x:v>
      </x:c>
      <x:c r="H52" s="71" t="str">
        <x:v>尚未找到可排除歧義的公開資料</x:v>
      </x:c>
      <x:c r="I52" s="71" t="str"/>
      <x:c r="J52" s="71" t="str">
        <x:v>文件擷取</x:v>
      </x:c>
      <x:c r="K52" s="71" t="str"/>
    </x:row>
    <x:row r="53">
      <x:c r="A53" s="69" t="str">
        <x:v>V0049</x:v>
      </x:c>
      <x:c r="B53" s="69" t="str">
        <x:v>SRC044</x:v>
      </x:c>
      <x:c r="C53" s="69" t="str">
        <x:v>台灣吉田智能科技衛浴有限公司</x:v>
      </x:c>
      <x:c r="D53" s="69" t="str">
        <x:v>文件未載明</x:v>
      </x:c>
      <x:c r="E53" s="71" t="str">
        <x:v>文件未載明</x:v>
      </x:c>
      <x:c r="F53" s="71" t="str">
        <x:v>27504291</x:v>
      </x:c>
      <x:c r="G53" s="71" t="str">
        <x:v>網站補得候選（未回填文件統編）</x:v>
      </x:c>
      <x:c r="H53" s="71" t="str">
        <x:v>公司官網名稱一致；統編另見公開資料</x:v>
      </x:c>
      <x:c r="I53" s="71" t="str">
        <x:v>https://www.jt-accord.com/</x:v>
      </x:c>
      <x:c r="J53" s="71" t="str">
        <x:v>文件擷取</x:v>
      </x:c>
      <x:c r="K53" s="71" t="str"/>
    </x:row>
    <x:row r="54">
      <x:c r="A54" s="69" t="str">
        <x:v>V0050</x:v>
      </x:c>
      <x:c r="B54" s="69" t="str">
        <x:v>SRC046</x:v>
      </x:c>
      <x:c r="C54" s="69" t="str">
        <x:v>菊水利諾工程股份有限公司</x:v>
      </x:c>
      <x:c r="D54" s="69" t="str">
        <x:v>60680548</x:v>
      </x:c>
      <x:c r="E54" s="71" t="str">
        <x:v>文件未載明</x:v>
      </x:c>
      <x:c r="F54" s="71" t="str">
        <x:v>60680548</x:v>
      </x:c>
      <x:c r="G54" s="71" t="str">
        <x:v>文件與網站一致</x:v>
      </x:c>
      <x:c r="H54" s="71" t="str">
        <x:v>公司名與統編一致</x:v>
      </x:c>
      <x:c r="I54" s="71" t="str">
        <x:v>https://info.technews.tw/company/60680548-%E8%8F%8A%E6%B0%B4%E5%88%A9%E8%AB%BE%E5%B7%A5%E7%A8%8B%E8%82%A1%E4%BB%BD%E6%9C%89%E9%99%90%E5%85%AC%E5%8F%B8</x:v>
      </x:c>
      <x:c r="J54" s="71" t="str">
        <x:v>文件擷取</x:v>
      </x:c>
      <x:c r="K54" s="71" t="str"/>
    </x:row>
    <x:row r="55">
      <x:c r="A55" s="69" t="str">
        <x:v>V0051</x:v>
      </x:c>
      <x:c r="B55" s="69" t="str">
        <x:v>SRC045</x:v>
      </x:c>
      <x:c r="C55" s="69" t="str">
        <x:v>文件未載明</x:v>
      </x:c>
      <x:c r="D55" s="69" t="str">
        <x:v>文件未載明</x:v>
      </x:c>
      <x:c r="E55" s="71" t="str">
        <x:v>文件未載明</x:v>
      </x:c>
      <x:c r="F55" s="71" t="str"/>
      <x:c r="G55" s="71" t="str">
        <x:v>尚未交叉比對</x:v>
      </x:c>
      <x:c r="H55" s="71" t="str">
        <x:v>尚未找到可排除歧義的公開資料</x:v>
      </x:c>
      <x:c r="I55" s="71" t="str"/>
      <x:c r="J55" s="71" t="str">
        <x:v>文件未載明</x:v>
      </x:c>
      <x:c r="K55" s="71" t="str"/>
    </x:row>
    <x:row r="56">
      <x:c r="A56" s="69" t="str">
        <x:v>V0052</x:v>
      </x:c>
      <x:c r="B56" s="69" t="str">
        <x:v>SRC047</x:v>
      </x:c>
      <x:c r="C56" s="69" t="str">
        <x:v>升駿工程行</x:v>
      </x:c>
      <x:c r="D56" s="69" t="str">
        <x:v>88487267</x:v>
      </x:c>
      <x:c r="E56" s="71" t="str">
        <x:v>文件未載明</x:v>
      </x:c>
      <x:c r="F56" s="71" t="str">
        <x:v>88487267</x:v>
      </x:c>
      <x:c r="G56" s="71" t="str">
        <x:v>文件與網站一致</x:v>
      </x:c>
      <x:c r="H56" s="71" t="str">
        <x:v>公司名與統編一致</x:v>
      </x:c>
      <x:c r="I56" s="71" t="str">
        <x:v>https://thaubing.gcaa.org.tw/corp/88487267</x:v>
      </x:c>
      <x:c r="J56" s="71" t="str">
        <x:v>文件擷取</x:v>
      </x:c>
      <x:c r="K56" s="71" t="str"/>
    </x:row>
    <x:row r="57">
      <x:c r="A57" s="69" t="str">
        <x:v>V0053</x:v>
      </x:c>
      <x:c r="B57" s="69" t="str">
        <x:v>SRC048</x:v>
      </x:c>
      <x:c r="C57" s="69" t="str">
        <x:v>山源工程行</x:v>
      </x:c>
      <x:c r="D57" s="69" t="str">
        <x:v>文件未載明</x:v>
      </x:c>
      <x:c r="E57" s="71" t="str">
        <x:v>文件未載明</x:v>
      </x:c>
      <x:c r="F57" s="71" t="str"/>
      <x:c r="G57" s="71" t="str">
        <x:v>尚未交叉比對</x:v>
      </x:c>
      <x:c r="H57" s="71" t="str">
        <x:v>尚未找到可排除歧義的公開資料</x:v>
      </x:c>
      <x:c r="I57" s="71" t="str"/>
      <x:c r="J57" s="71" t="str">
        <x:v>文件擷取</x:v>
      </x:c>
      <x:c r="K57" s="71" t="str"/>
    </x:row>
    <x:row r="58">
      <x:c r="A58" s="69" t="str">
        <x:v>V0054</x:v>
      </x:c>
      <x:c r="B58" s="69" t="str">
        <x:v>SRC049</x:v>
      </x:c>
      <x:c r="C58" s="69" t="str">
        <x:v>昶盛製網有限公司</x:v>
      </x:c>
      <x:c r="D58" s="69" t="str">
        <x:v>文件未載明</x:v>
      </x:c>
      <x:c r="E58" s="71" t="str">
        <x:v>桃園市新屋區望間里13鄰十五間13-5號</x:v>
      </x:c>
      <x:c r="F58" s="71" t="str"/>
      <x:c r="G58" s="71" t="str">
        <x:v>尚未交叉比對</x:v>
      </x:c>
      <x:c r="H58" s="71" t="str">
        <x:v>尚未找到可排除歧義的公開資料</x:v>
      </x:c>
      <x:c r="I58" s="71" t="str"/>
      <x:c r="J58" s="71" t="str">
        <x:v>文件擷取</x:v>
      </x:c>
      <x:c r="K58" s="71" t="str"/>
    </x:row>
    <x:row r="59">
      <x:c r="A59" s="69" t="str">
        <x:v>V0055</x:v>
      </x:c>
      <x:c r="B59" s="69" t="str">
        <x:v>SRC050</x:v>
      </x:c>
      <x:c r="C59" s="69" t="str">
        <x:v>晏成工程有限公司</x:v>
      </x:c>
      <x:c r="D59" s="69" t="str">
        <x:v>文件未載明</x:v>
      </x:c>
      <x:c r="E59" s="71" t="str">
        <x:v>文件未載明</x:v>
      </x:c>
      <x:c r="F59" s="71" t="str"/>
      <x:c r="G59" s="71" t="str">
        <x:v>尚未交叉比對</x:v>
      </x:c>
      <x:c r="H59" s="71" t="str">
        <x:v>尚未找到可排除歧義的公開資料</x:v>
      </x:c>
      <x:c r="I59" s="71" t="str"/>
      <x:c r="J59" s="71" t="str">
        <x:v>文件擷取</x:v>
      </x:c>
      <x:c r="K59" s="71" t="str"/>
    </x:row>
    <x:row r="60">
      <x:c r="A60" s="69" t="str">
        <x:v>V0056</x:v>
      </x:c>
      <x:c r="B60" s="69" t="str">
        <x:v>SRC051</x:v>
      </x:c>
      <x:c r="C60" s="69" t="str">
        <x:v>卉鄉景觀工程有限公司</x:v>
      </x:c>
      <x:c r="D60" s="69" t="str">
        <x:v>12981767</x:v>
      </x:c>
      <x:c r="E60" s="71" t="str">
        <x:v>新竹市寶山路452巷12弄25號 展售園址:新竹市寶山路220號景觀工程·灌溉系統·設計·施工·</x:v>
      </x:c>
      <x:c r="F60" s="71" t="str">
        <x:v>12981767</x:v>
      </x:c>
      <x:c r="G60" s="71" t="str">
        <x:v>文件與網站一致</x:v>
      </x:c>
      <x:c r="H60" s="71" t="str">
        <x:v>公司名與統編一致</x:v>
      </x:c>
      <x:c r="I60" s="71" t="str">
        <x:v>https://www.findcompany.com.tw/%E5%8D%89%E9%84%89%E6%99%AF%E8%A7%80%E5%B7%A5%E7%A8%8B%E6%9C%89%E9%99%90%E5%85%AC%E5%8F%B8</x:v>
      </x:c>
      <x:c r="J60" s="71" t="str">
        <x:v>文件擷取</x:v>
      </x:c>
      <x:c r="K60" s="71" t="str"/>
    </x:row>
    <x:row r="61">
      <x:c r="A61" s="69" t="str">
        <x:v>V0057</x:v>
      </x:c>
      <x:c r="B61" s="69" t="str">
        <x:v>SRC053</x:v>
      </x:c>
      <x:c r="C61" s="69" t="str">
        <x:v>錦祥工程行</x:v>
      </x:c>
      <x:c r="D61" s="69" t="str">
        <x:v>文件未載明</x:v>
      </x:c>
      <x:c r="E61" s="71" t="str">
        <x:v>文件未載明</x:v>
      </x:c>
      <x:c r="F61" s="71" t="str"/>
      <x:c r="G61" s="71" t="str">
        <x:v>尚未交叉比對</x:v>
      </x:c>
      <x:c r="H61" s="71" t="str">
        <x:v>尚未找到可排除歧義的公開資料</x:v>
      </x:c>
      <x:c r="I61" s="71" t="str"/>
      <x:c r="J61" s="71" t="str">
        <x:v>文件擷取</x:v>
      </x:c>
      <x:c r="K61" s="71" t="str"/>
    </x:row>
    <x:row r="62">
      <x:c r="A62" s="69" t="str">
        <x:v>V0058</x:v>
      </x:c>
      <x:c r="B62" s="69" t="str">
        <x:v>SRC052</x:v>
      </x:c>
      <x:c r="C62" s="69" t="str">
        <x:v>長陽企業社</x:v>
      </x:c>
      <x:c r="D62" s="69" t="str">
        <x:v>文件未載明</x:v>
      </x:c>
      <x:c r="E62" s="71" t="str">
        <x:v>文件未載明</x:v>
      </x:c>
      <x:c r="F62" s="71" t="str">
        <x:v>73838835</x:v>
      </x:c>
      <x:c r="G62" s="71" t="str">
        <x:v>網站補得候選（未回填文件統編）</x:v>
      </x:c>
      <x:c r="H62" s="71" t="str">
        <x:v>公司名與統編一致</x:v>
      </x:c>
      <x:c r="I62" s="71" t="str">
        <x:v>https://www.archi.net.tw/tw/company/104372/index.html</x:v>
      </x:c>
      <x:c r="J62" s="71" t="str">
        <x:v>文件擷取</x:v>
      </x:c>
      <x:c r="K62" s="71" t="str"/>
    </x:row>
    <x:row r="63">
      <x:c r="A63" s="69" t="str">
        <x:v>V0059</x:v>
      </x:c>
      <x:c r="B63" s="69" t="str">
        <x:v>SRC054</x:v>
      </x:c>
      <x:c r="C63" s="69" t="str">
        <x:v>百鴻工程行</x:v>
      </x:c>
      <x:c r="D63" s="69" t="str">
        <x:v>文件未載明</x:v>
      </x:c>
      <x:c r="E63" s="71" t="str">
        <x:v>文件未載明</x:v>
      </x:c>
      <x:c r="F63" s="71" t="str"/>
      <x:c r="G63" s="71" t="str">
        <x:v>尚未交叉比對</x:v>
      </x:c>
      <x:c r="H63" s="71" t="str">
        <x:v>尚未找到可排除歧義的公開資料</x:v>
      </x:c>
      <x:c r="I63" s="71" t="str"/>
      <x:c r="J63" s="71" t="str">
        <x:v>文件擷取</x:v>
      </x:c>
      <x:c r="K63" s="71" t="str"/>
    </x:row>
    <x:row r="64">
      <x:c r="A64" s="69" t="str">
        <x:v>V0060</x:v>
      </x:c>
      <x:c r="B64" s="69" t="str">
        <x:v>SRC057</x:v>
      </x:c>
      <x:c r="C64" s="69" t="str">
        <x:v>晉展股份有限公司</x:v>
      </x:c>
      <x:c r="D64" s="69" t="str">
        <x:v>文件未載明</x:v>
      </x:c>
      <x:c r="E64" s="71" t="str">
        <x:v>文件未載明</x:v>
      </x:c>
      <x:c r="F64" s="71" t="str">
        <x:v>89359135</x:v>
      </x:c>
      <x:c r="G64" s="71" t="str">
        <x:v>網站補得候選（未回填文件統編）</x:v>
      </x:c>
      <x:c r="H64" s="71" t="str">
        <x:v>公司名與統編一致</x:v>
      </x:c>
      <x:c r="I64" s="71" t="str">
        <x:v>https://info.technews.tw/company/89359135-%E6%99%89%E5%B1%95%E8%82%A1%E4%BB%BD%E6%9C%89%E9%99%90%E5%85%AC%E5%8F%B8</x:v>
      </x:c>
      <x:c r="J64" s="71" t="str">
        <x:v>文件擷取</x:v>
      </x:c>
      <x:c r="K64" s="71" t="str"/>
    </x:row>
    <x:row r="65">
      <x:c r="A65" s="69" t="str">
        <x:v>V0061</x:v>
      </x:c>
      <x:c r="B65" s="69" t="str">
        <x:v>SRC057</x:v>
      </x:c>
      <x:c r="C65" s="69" t="str">
        <x:v>建信自動化有限公司</x:v>
      </x:c>
      <x:c r="D65" s="69" t="str">
        <x:v>文件未載明</x:v>
      </x:c>
      <x:c r="E65" s="71" t="str">
        <x:v>文件未載明</x:v>
      </x:c>
      <x:c r="F65" s="71" t="str">
        <x:v>23968262</x:v>
      </x:c>
      <x:c r="G65" s="71" t="str">
        <x:v>網站補得候選（未回填文件統編）</x:v>
      </x:c>
      <x:c r="H65" s="71" t="str">
        <x:v>公司名與統編一致</x:v>
      </x:c>
      <x:c r="I65" s="71" t="str">
        <x:v>https://www.findcompany.com.tw/%E5%BB%BA%E4%BF%A1%E8%87%AA%E5%8B%95%E5%8C%96%E6%9C%89%E9%99%90%E5%85%AC%E5%8F%B8</x:v>
      </x:c>
      <x:c r="J65" s="71" t="str">
        <x:v>文件擷取</x:v>
      </x:c>
      <x:c r="K65" s="71" t="str"/>
    </x:row>
    <x:row r="66">
      <x:c r="A66" s="69" t="str">
        <x:v>V0062</x:v>
      </x:c>
      <x:c r="B66" s="69" t="str">
        <x:v>SRC057</x:v>
      </x:c>
      <x:c r="C66" s="69" t="str">
        <x:v>畏展股份有限公司</x:v>
      </x:c>
      <x:c r="D66" s="69" t="str">
        <x:v>文件未載明</x:v>
      </x:c>
      <x:c r="E66" s="71" t="str">
        <x:v>文件未載明</x:v>
      </x:c>
      <x:c r="F66" s="71" t="str"/>
      <x:c r="G66" s="71" t="str">
        <x:v>尚未交叉比對</x:v>
      </x:c>
      <x:c r="H66" s="71" t="str">
        <x:v>尚未找到可排除歧義的公開資料</x:v>
      </x:c>
      <x:c r="I66" s="71" t="str"/>
      <x:c r="J66" s="71" t="str">
        <x:v>文件擷取</x:v>
      </x:c>
      <x:c r="K66" s="71" t="str"/>
    </x:row>
    <x:row r="67">
      <x:c r="A67" s="69" t="str">
        <x:v>V0063</x:v>
      </x:c>
      <x:c r="B67" s="69" t="str">
        <x:v>SRC055</x:v>
      </x:c>
      <x:c r="C67" s="69" t="str">
        <x:v>安翊企業股份有限公司</x:v>
      </x:c>
      <x:c r="D67" s="69" t="str">
        <x:v>文件未載明</x:v>
      </x:c>
      <x:c r="E67" s="71" t="str">
        <x:v>文件未載明</x:v>
      </x:c>
      <x:c r="F67" s="71" t="str"/>
      <x:c r="G67" s="71" t="str">
        <x:v>尚未交叉比對</x:v>
      </x:c>
      <x:c r="H67" s="71" t="str">
        <x:v>尚未找到可排除歧義的公開資料</x:v>
      </x:c>
      <x:c r="I67" s="71" t="str"/>
      <x:c r="J67" s="71" t="str">
        <x:v>文件擷取</x:v>
      </x:c>
      <x:c r="K67" s="71" t="str"/>
    </x:row>
    <x:row r="68">
      <x:c r="A68" s="69" t="str">
        <x:v>V0064</x:v>
      </x:c>
      <x:c r="B68" s="69" t="str">
        <x:v>SRC056</x:v>
      </x:c>
      <x:c r="C68" s="69" t="str">
        <x:v>長陽企業社</x:v>
      </x:c>
      <x:c r="D68" s="69" t="str">
        <x:v>文件未載明</x:v>
      </x:c>
      <x:c r="E68" s="71" t="str">
        <x:v>文件未載明</x:v>
      </x:c>
      <x:c r="F68" s="71" t="str">
        <x:v>73838835</x:v>
      </x:c>
      <x:c r="G68" s="71" t="str">
        <x:v>網站補得候選（未回填文件統編）</x:v>
      </x:c>
      <x:c r="H68" s="71" t="str">
        <x:v>公司名與統編一致</x:v>
      </x:c>
      <x:c r="I68" s="71" t="str">
        <x:v>https://www.archi.net.tw/tw/company/104372/index.html</x:v>
      </x:c>
      <x:c r="J68" s="71" t="str">
        <x:v>文件擷取</x:v>
      </x:c>
      <x:c r="K68" s="71" t="str"/>
    </x:row>
    <x:row r="69">
      <x:c r="A69" s="69" t="str">
        <x:v>V0065</x:v>
      </x:c>
      <x:c r="B69" s="69" t="str">
        <x:v>SRC058</x:v>
      </x:c>
      <x:c r="C69" s="69" t="str">
        <x:v>長陽企業社</x:v>
      </x:c>
      <x:c r="D69" s="69" t="str">
        <x:v>文件未載明</x:v>
      </x:c>
      <x:c r="E69" s="71" t="str">
        <x:v>新竹縣芎林鄉文明路57號</x:v>
      </x:c>
      <x:c r="F69" s="71" t="str">
        <x:v>73838835</x:v>
      </x:c>
      <x:c r="G69" s="71" t="str">
        <x:v>網站補得候選（未回填文件統編）</x:v>
      </x:c>
      <x:c r="H69" s="71" t="str">
        <x:v>公司名與統編一致</x:v>
      </x:c>
      <x:c r="I69" s="71" t="str">
        <x:v>https://www.archi.net.tw/tw/company/104372/index.html</x:v>
      </x:c>
      <x:c r="J69" s="71" t="str">
        <x:v>文件擷取</x:v>
      </x:c>
      <x:c r="K69" s="71" t="str"/>
    </x:row>
    <x:row r="70">
      <x:c r="A70" s="69" t="str">
        <x:v>V0066</x:v>
      </x:c>
      <x:c r="B70" s="69" t="str">
        <x:v>SRC059</x:v>
      </x:c>
      <x:c r="C70" s="69" t="str">
        <x:v>文件未載明</x:v>
      </x:c>
      <x:c r="D70" s="69" t="str">
        <x:v>文件未載明</x:v>
      </x:c>
      <x:c r="E70" s="71" t="str">
        <x:v>文件未載明</x:v>
      </x:c>
      <x:c r="F70" s="71" t="str"/>
      <x:c r="G70" s="71" t="str">
        <x:v>尚未交叉比對</x:v>
      </x:c>
      <x:c r="H70" s="71" t="str">
        <x:v>尚未找到可排除歧義的公開資料</x:v>
      </x:c>
      <x:c r="I70" s="71" t="str"/>
      <x:c r="J70" s="71" t="str">
        <x:v>文件未載明</x:v>
      </x:c>
      <x:c r="K70" s="71" t="str"/>
    </x:row>
    <x:row r="71">
      <x:c r="A71" s="69" t="str">
        <x:v>V0067</x:v>
      </x:c>
      <x:c r="B71" s="69" t="str">
        <x:v>SRC060</x:v>
      </x:c>
      <x:c r="C71" s="69" t="str">
        <x:v>浩森專業清潔工作室</x:v>
      </x:c>
      <x:c r="D71" s="69" t="str">
        <x:v>94480447</x:v>
      </x:c>
      <x:c r="E71" s="71" t="str">
        <x:v>文件未載明</x:v>
      </x:c>
      <x:c r="F71" s="71" t="str">
        <x:v>94480447</x:v>
      </x:c>
      <x:c r="G71" s="71" t="str">
        <x:v>文件與網站一致</x:v>
      </x:c>
      <x:c r="H71" s="71" t="str">
        <x:v>公司名與統編一致</x:v>
      </x:c>
      <x:c r="I71" s="71" t="str">
        <x:v>https://www.findcompany.com.tw/%E6%B5%A9%E6%A3%AE%E5%B0%88%E6%A5%AD%E6%B8%85%E6%BD%94%E5%B7%A5%E4%BD%9C%E5%AE%A4</x:v>
      </x:c>
      <x:c r="J71" s="71" t="str">
        <x:v>文件擷取</x:v>
      </x:c>
      <x:c r="K71" s="71" t="str"/>
    </x:row>
    <x:row r="72">
      <x:c r="A72" s="69" t="str">
        <x:v>V0068</x:v>
      </x:c>
      <x:c r="B72" s="69" t="str">
        <x:v>SRC061</x:v>
      </x:c>
      <x:c r="C72" s="69" t="str">
        <x:v>建信自動化有限公司</x:v>
      </x:c>
      <x:c r="D72" s="69" t="str">
        <x:v>23968262</x:v>
      </x:c>
      <x:c r="E72" s="71" t="str">
        <x:v>新竹市公道五路三段538號</x:v>
      </x:c>
      <x:c r="F72" s="71" t="str">
        <x:v>23968262</x:v>
      </x:c>
      <x:c r="G72" s="71" t="str">
        <x:v>文件與網站一致</x:v>
      </x:c>
      <x:c r="H72" s="71" t="str">
        <x:v>公司名與統編一致</x:v>
      </x:c>
      <x:c r="I72" s="71" t="str">
        <x:v>https://www.findcompany.com.tw/%E5%BB%BA%E4%BF%A1%E8%87%AA%E5%8B%95%E5%8C%96%E6%9C%89%E9%99%90%E5%85%AC%E5%8F%B8</x:v>
      </x:c>
      <x:c r="J72" s="71" t="str">
        <x:v>文件擷取</x:v>
      </x:c>
      <x:c r="K72" s="71" t="str"/>
    </x:row>
    <x:row r="73">
      <x:c r="A73" s="69" t="str">
        <x:v>V0069</x:v>
      </x:c>
      <x:c r="B73" s="69" t="str">
        <x:v>SRC061</x:v>
      </x:c>
      <x:c r="C73" s="69" t="str">
        <x:v>番展股份有限公司</x:v>
      </x:c>
      <x:c r="D73" s="69" t="str">
        <x:v>23968262</x:v>
      </x:c>
      <x:c r="E73" s="71" t="str">
        <x:v>新竹市公道五路三段538號</x:v>
      </x:c>
      <x:c r="F73" s="71" t="str">
        <x:v>建信自動化有限公司</x:v>
      </x:c>
      <x:c r="G73" s="71" t="str">
        <x:v>文件統編與賣方名稱不一致</x:v>
      </x:c>
      <x:c r="H73" s="71" t="str">
        <x:v>文件統編對應其他已驗證名稱</x:v>
      </x:c>
      <x:c r="I73" s="71" t="str"/>
      <x:c r="J73" s="71" t="str">
        <x:v>文件擷取</x:v>
      </x:c>
      <x:c r="K73" s="71" t="str"/>
    </x:row>
    <x:row r="74">
      <x:c r="A74" s="69" t="str">
        <x:v>V0070</x:v>
      </x:c>
      <x:c r="B74" s="69" t="str">
        <x:v>SRC061</x:v>
      </x:c>
      <x:c r="C74" s="69" t="str">
        <x:v>晉展股份有限公司</x:v>
      </x:c>
      <x:c r="D74" s="69" t="str">
        <x:v>23968262</x:v>
      </x:c>
      <x:c r="E74" s="71" t="str">
        <x:v>新竹市公道五路三段538號</x:v>
      </x:c>
      <x:c r="F74" s="71" t="str">
        <x:v>89359135</x:v>
      </x:c>
      <x:c r="G74" s="71" t="str">
        <x:v>文件統編與網站不一致</x:v>
      </x:c>
      <x:c r="H74" s="71" t="str">
        <x:v>公司名與統編一致</x:v>
      </x:c>
      <x:c r="I74" s="71" t="str">
        <x:v>https://info.technews.tw/company/89359135-%E6%99%89%E5%B1%95%E8%82%A1%E4%BB%BD%E6%9C%89%E9%99%90%E5%85%AC%E5%8F%B8</x:v>
      </x:c>
      <x:c r="J74" s="71" t="str">
        <x:v>文件擷取</x:v>
      </x:c>
      <x:c r="K74" s="71" t="str"/>
    </x:row>
    <x:row r="75">
      <x:c r="A75" s="69" t="str">
        <x:v>V0071</x:v>
      </x:c>
      <x:c r="B75" s="69" t="str">
        <x:v>SRC062</x:v>
      </x:c>
      <x:c r="C75" s="69" t="str">
        <x:v>塑豐實業股份有限公司</x:v>
      </x:c>
      <x:c r="D75" s="69" t="str">
        <x:v>22665579</x:v>
      </x:c>
      <x:c r="E75" s="71" t="str">
        <x:v>文件未載明</x:v>
      </x:c>
      <x:c r="F75" s="71" t="str">
        <x:v>22665579</x:v>
      </x:c>
      <x:c r="G75" s="71" t="str">
        <x:v>文件與網站一致</x:v>
      </x:c>
      <x:c r="H75" s="71" t="str">
        <x:v>公司名與統編一致</x:v>
      </x:c>
      <x:c r="I75" s="71" t="str">
        <x:v>https://findbiz.nat.gov.tw/fts/company/22665579</x:v>
      </x:c>
      <x:c r="J75" s="71" t="str">
        <x:v>文件擷取</x:v>
      </x:c>
      <x:c r="K75" s="71" t="str"/>
    </x:row>
    <x:row r="76">
      <x:c r="A76" s="69" t="str">
        <x:v>V0072</x:v>
      </x:c>
      <x:c r="B76" s="69" t="str">
        <x:v>SRC063</x:v>
      </x:c>
      <x:c r="C76" s="69" t="str">
        <x:v>全鑫企業社</x:v>
      </x:c>
      <x:c r="D76" s="69" t="str">
        <x:v>文件未載明</x:v>
      </x:c>
      <x:c r="E76" s="71" t="str">
        <x:v>文件未載明</x:v>
      </x:c>
      <x:c r="F76" s="71" t="str"/>
      <x:c r="G76" s="71" t="str">
        <x:v>尚未交叉比對</x:v>
      </x:c>
      <x:c r="H76" s="71" t="str">
        <x:v>尚未找到可排除歧義的公開資料</x:v>
      </x:c>
      <x:c r="I76" s="71" t="str"/>
      <x:c r="J76" s="71" t="str">
        <x:v>文件擷取</x:v>
      </x:c>
      <x:c r="K76" s="71" t="str"/>
    </x:row>
    <x:row r="77">
      <x:c r="A77" s="69" t="str">
        <x:v>V0073</x:v>
      </x:c>
      <x:c r="B77" s="69" t="str">
        <x:v>SRC064</x:v>
      </x:c>
      <x:c r="C77" s="69" t="str">
        <x:v>塑豐實業股份有限公司</x:v>
      </x:c>
      <x:c r="D77" s="69" t="str">
        <x:v>文件未載明</x:v>
      </x:c>
      <x:c r="E77" s="71" t="str">
        <x:v>文件未載明</x:v>
      </x:c>
      <x:c r="F77" s="71" t="str">
        <x:v>22665579</x:v>
      </x:c>
      <x:c r="G77" s="71" t="str">
        <x:v>網站補得候選（未回填文件統編）</x:v>
      </x:c>
      <x:c r="H77" s="71" t="str">
        <x:v>公司名與統編一致</x:v>
      </x:c>
      <x:c r="I77" s="71" t="str">
        <x:v>https://findbiz.nat.gov.tw/fts/company/22665579</x:v>
      </x:c>
      <x:c r="J77" s="71" t="str">
        <x:v>文件擷取</x:v>
      </x:c>
      <x:c r="K77" s="71" t="str"/>
    </x:row>
    <x:row r="78">
      <x:c r="A78" s="69" t="str">
        <x:v>V0074</x:v>
      </x:c>
      <x:c r="B78" s="69" t="str">
        <x:v>SRC065</x:v>
      </x:c>
      <x:c r="C78" s="69" t="str">
        <x:v>墨砌實業有限公司</x:v>
      </x:c>
      <x:c r="D78" s="69" t="str">
        <x:v>文件未載明</x:v>
      </x:c>
      <x:c r="E78" s="71" t="str">
        <x:v>文件未載明</x:v>
      </x:c>
      <x:c r="F78" s="71" t="str"/>
      <x:c r="G78" s="71" t="str">
        <x:v>尚未交叉比對</x:v>
      </x:c>
      <x:c r="H78" s="71" t="str">
        <x:v>尚未找到可排除歧義的公開資料</x:v>
      </x:c>
      <x:c r="I78" s="71" t="str"/>
      <x:c r="J78" s="71" t="str">
        <x:v>文件擷取</x:v>
      </x:c>
      <x:c r="K78" s="71" t="str"/>
    </x:row>
    <x:row r="79">
      <x:c r="A79" s="69" t="str">
        <x:v>V0075</x:v>
      </x:c>
      <x:c r="B79" s="69" t="str">
        <x:v>SRC066</x:v>
      </x:c>
      <x:c r="C79" s="69" t="str">
        <x:v>山城裝潢工程行</x:v>
      </x:c>
      <x:c r="D79" s="69" t="str">
        <x:v>文件未載明</x:v>
      </x:c>
      <x:c r="E79" s="71" t="str">
        <x:v>文件未載明</x:v>
      </x:c>
      <x:c r="F79" s="71" t="str"/>
      <x:c r="G79" s="71" t="str">
        <x:v>尚未交叉比對</x:v>
      </x:c>
      <x:c r="H79" s="71" t="str">
        <x:v>尚未找到可排除歧義的公開資料</x:v>
      </x:c>
      <x:c r="I79" s="71" t="str"/>
      <x:c r="J79" s="71" t="str">
        <x:v>文件擷取</x:v>
      </x:c>
      <x:c r="K79" s="71" t="str"/>
    </x:row>
    <x:row r="80">
      <x:c r="A80" s="69" t="str">
        <x:v>V0076</x:v>
      </x:c>
      <x:c r="B80" s="69" t="str">
        <x:v>SRC068</x:v>
      </x:c>
      <x:c r="C80" s="69" t="str">
        <x:v>全鑫企業社</x:v>
      </x:c>
      <x:c r="D80" s="69" t="str">
        <x:v>文件未載明</x:v>
      </x:c>
      <x:c r="E80" s="71" t="str">
        <x:v>文件未載明</x:v>
      </x:c>
      <x:c r="F80" s="71" t="str"/>
      <x:c r="G80" s="71" t="str">
        <x:v>尚未交叉比對</x:v>
      </x:c>
      <x:c r="H80" s="71" t="str">
        <x:v>尚未找到可排除歧義的公開資料</x:v>
      </x:c>
      <x:c r="I80" s="71" t="str"/>
      <x:c r="J80" s="71" t="str">
        <x:v>文件擷取</x:v>
      </x:c>
      <x:c r="K80" s="71" t="str"/>
    </x:row>
    <x:row r="81">
      <x:c r="A81" s="69" t="str">
        <x:v>V0077</x:v>
      </x:c>
      <x:c r="B81" s="69" t="str">
        <x:v>SRC067</x:v>
      </x:c>
      <x:c r="C81" s="69" t="str">
        <x:v>全鑫企業社</x:v>
      </x:c>
      <x:c r="D81" s="69" t="str">
        <x:v>文件未載明</x:v>
      </x:c>
      <x:c r="E81" s="71" t="str">
        <x:v>文件未載明</x:v>
      </x:c>
      <x:c r="F81" s="71" t="str"/>
      <x:c r="G81" s="71" t="str">
        <x:v>尚未交叉比對</x:v>
      </x:c>
      <x:c r="H81" s="71" t="str">
        <x:v>尚未找到可排除歧義的公開資料</x:v>
      </x:c>
      <x:c r="I81" s="71" t="str"/>
      <x:c r="J81" s="71" t="str">
        <x:v>文件擷取</x:v>
      </x:c>
      <x:c r="K81" s="71" t="str"/>
    </x:row>
    <x:row r="82">
      <x:c r="A82" s="69" t="str">
        <x:v>V0078</x:v>
      </x:c>
      <x:c r="B82" s="69" t="str">
        <x:v>SRC069</x:v>
      </x:c>
      <x:c r="C82" s="69" t="str">
        <x:v>塑豐實業股份有限公司</x:v>
      </x:c>
      <x:c r="D82" s="69" t="str">
        <x:v>文件未載明</x:v>
      </x:c>
      <x:c r="E82" s="71" t="str">
        <x:v>苗栗縣頭份市自強路二段477號</x:v>
      </x:c>
      <x:c r="F82" s="71" t="str">
        <x:v>22665579</x:v>
      </x:c>
      <x:c r="G82" s="71" t="str">
        <x:v>網站補得候選（未回填文件統編）</x:v>
      </x:c>
      <x:c r="H82" s="71" t="str">
        <x:v>公司名與統編一致</x:v>
      </x:c>
      <x:c r="I82" s="71" t="str">
        <x:v>https://findbiz.nat.gov.tw/fts/company/22665579</x:v>
      </x:c>
      <x:c r="J82" s="71" t="str">
        <x:v>文件擷取</x:v>
      </x:c>
      <x:c r="K82" s="71" t="str"/>
    </x:row>
    <x:row r="83">
      <x:c r="A83" s="69" t="str">
        <x:v>V0079</x:v>
      </x:c>
      <x:c r="B83" s="69" t="str">
        <x:v>SRC070</x:v>
      </x:c>
      <x:c r="C83" s="69" t="str">
        <x:v>文件未載明</x:v>
      </x:c>
      <x:c r="D83" s="69" t="str">
        <x:v>文件未載明</x:v>
      </x:c>
      <x:c r="E83" s="71" t="str">
        <x:v>文件未載明</x:v>
      </x:c>
      <x:c r="F83" s="71" t="str"/>
      <x:c r="G83" s="71" t="str">
        <x:v>尚未交叉比對</x:v>
      </x:c>
      <x:c r="H83" s="71" t="str">
        <x:v>尚未找到可排除歧義的公開資料</x:v>
      </x:c>
      <x:c r="I83" s="71" t="str"/>
      <x:c r="J83" s="71" t="str">
        <x:v>文件未載明</x:v>
      </x:c>
      <x:c r="K83" s="71" t="str"/>
    </x:row>
    <x:row r="84">
      <x:c r="A84" s="69" t="str">
        <x:v>V0080</x:v>
      </x:c>
      <x:c r="B84" s="69" t="str">
        <x:v>SRC071</x:v>
      </x:c>
      <x:c r="C84" s="69" t="str">
        <x:v>全鑫企業社</x:v>
      </x:c>
      <x:c r="D84" s="69" t="str">
        <x:v>文件未載明</x:v>
      </x:c>
      <x:c r="E84" s="71" t="str">
        <x:v>文件未載明</x:v>
      </x:c>
      <x:c r="F84" s="71" t="str"/>
      <x:c r="G84" s="71" t="str">
        <x:v>尚未交叉比對</x:v>
      </x:c>
      <x:c r="H84" s="71" t="str">
        <x:v>尚未找到可排除歧義的公開資料</x:v>
      </x:c>
      <x:c r="I84" s="71" t="str"/>
      <x:c r="J84" s="71" t="str">
        <x:v>文件擷取</x:v>
      </x:c>
      <x:c r="K84" s="71" t="str"/>
    </x:row>
    <x:row r="85">
      <x:c r="A85" s="69" t="str">
        <x:v>V0081</x:v>
      </x:c>
      <x:c r="B85" s="69" t="str">
        <x:v>SRC072</x:v>
      </x:c>
      <x:c r="C85" s="69" t="str">
        <x:v>智慧城企業有限公司</x:v>
      </x:c>
      <x:c r="D85" s="69" t="str">
        <x:v>86781412</x:v>
      </x:c>
      <x:c r="E85" s="71" t="str">
        <x:v>苗栗縣後龍鎮校椅里造豐路345號(苗栗往造橋新蓮寺前)</x:v>
      </x:c>
      <x:c r="F85" s="71" t="str">
        <x:v>86781412</x:v>
      </x:c>
      <x:c r="G85" s="71" t="str">
        <x:v>文件與網站一致</x:v>
      </x:c>
      <x:c r="H85" s="71" t="str">
        <x:v>公司名與統編一致</x:v>
      </x:c>
      <x:c r="I85" s="71" t="str">
        <x:v>https://info.technews.tw/company/86781412-%E6%99%BA%E6%85%A7%E5%9F%8E%E4%BC%81%E6%A5%AD%E6%9C%89%E9%99%90%E5%85%AC%E5%8F%B8</x:v>
      </x:c>
      <x:c r="J85" s="71" t="str">
        <x:v>文件擷取</x:v>
      </x:c>
      <x:c r="K85" s="71" t="str"/>
    </x:row>
    <x:row r="86">
      <x:c r="A86" s="69" t="str">
        <x:v>V0082</x:v>
      </x:c>
      <x:c r="B86" s="69" t="str">
        <x:v>SRC073</x:v>
      </x:c>
      <x:c r="C86" s="69" t="str">
        <x:v>智慧城企業有限公司</x:v>
      </x:c>
      <x:c r="D86" s="69" t="str">
        <x:v>文件未載明</x:v>
      </x:c>
      <x:c r="E86" s="71" t="str">
        <x:v>苗栗縣後龍鎮校椅里造豐路345號(苗栗往造橋新蓮寺前)</x:v>
      </x:c>
      <x:c r="F86" s="71" t="str">
        <x:v>86781412</x:v>
      </x:c>
      <x:c r="G86" s="71" t="str">
        <x:v>網站補得候選（未回填文件統編）</x:v>
      </x:c>
      <x:c r="H86" s="71" t="str">
        <x:v>公司名與統編一致</x:v>
      </x:c>
      <x:c r="I86" s="71" t="str">
        <x:v>https://info.technews.tw/company/86781412-%E6%99%BA%E6%85%A7%E5%9F%8E%E4%BC%81%E6%A5%AD%E6%9C%89%E9%99%90%E5%85%AC%E5%8F%B8</x:v>
      </x:c>
      <x:c r="J86" s="71" t="str">
        <x:v>文件擷取</x:v>
      </x:c>
      <x:c r="K86" s="71" t="str"/>
    </x:row>
    <x:row r="87">
      <x:c r="A87" s="69" t="str">
        <x:v>V0083</x:v>
      </x:c>
      <x:c r="B87" s="69" t="str">
        <x:v>SRC074</x:v>
      </x:c>
      <x:c r="C87" s="69" t="str">
        <x:v>茗匠空間設計</x:v>
      </x:c>
      <x:c r="D87" s="69" t="str">
        <x:v>文件未載明</x:v>
      </x:c>
      <x:c r="E87" s="71" t="str">
        <x:v>文件未載明</x:v>
      </x:c>
      <x:c r="F87" s="71" t="str"/>
      <x:c r="G87" s="71" t="str">
        <x:v>尚未交叉比對</x:v>
      </x:c>
      <x:c r="H87" s="71" t="str">
        <x:v>尚未找到可排除歧義的公開資料</x:v>
      </x:c>
      <x:c r="I87" s="71" t="str"/>
      <x:c r="J87" s="71" t="str">
        <x:v>文件擷取</x:v>
      </x:c>
      <x:c r="K87" s="71" t="str"/>
    </x:row>
    <x:row r="88">
      <x:c r="A88" s="69" t="str">
        <x:v>V0084</x:v>
      </x:c>
      <x:c r="B88" s="69" t="str">
        <x:v>SRC074</x:v>
      </x:c>
      <x:c r="C88" s="69" t="str">
        <x:v>茗匠有限公司</x:v>
      </x:c>
      <x:c r="D88" s="69" t="str">
        <x:v>文件未載明</x:v>
      </x:c>
      <x:c r="E88" s="71" t="str">
        <x:v>文件未載明</x:v>
      </x:c>
      <x:c r="F88" s="71" t="str"/>
      <x:c r="G88" s="71" t="str">
        <x:v>尚未交叉比對</x:v>
      </x:c>
      <x:c r="H88" s="71" t="str">
        <x:v>尚未找到可排除歧義的公開資料</x:v>
      </x:c>
      <x:c r="I88" s="71" t="str"/>
      <x:c r="J88" s="71" t="str">
        <x:v>文件擷取</x:v>
      </x:c>
      <x:c r="K88" s="71" t="str"/>
    </x:row>
    <x:row r="89">
      <x:c r="A89" s="69" t="str">
        <x:v>V0085</x:v>
      </x:c>
      <x:c r="B89" s="69" t="str">
        <x:v>SRC075</x:v>
      </x:c>
      <x:c r="C89" s="69" t="str">
        <x:v>全鑫企業社</x:v>
      </x:c>
      <x:c r="D89" s="69" t="str">
        <x:v>文件未載明</x:v>
      </x:c>
      <x:c r="E89" s="71" t="str">
        <x:v>文件未載明</x:v>
      </x:c>
      <x:c r="F89" s="71" t="str"/>
      <x:c r="G89" s="71" t="str">
        <x:v>尚未交叉比對</x:v>
      </x:c>
      <x:c r="H89" s="71" t="str">
        <x:v>尚未找到可排除歧義的公開資料</x:v>
      </x:c>
      <x:c r="I89" s="71" t="str"/>
      <x:c r="J89" s="71" t="str">
        <x:v>文件擷取</x:v>
      </x:c>
      <x:c r="K89" s="71" t="str"/>
    </x:row>
    <x:row r="90">
      <x:c r="A90" s="69" t="str">
        <x:v>V0086</x:v>
      </x:c>
      <x:c r="B90" s="69" t="str">
        <x:v>SRC076</x:v>
      </x:c>
      <x:c r="C90" s="69" t="str">
        <x:v>塑豐實業股份有限公司</x:v>
      </x:c>
      <x:c r="D90" s="69" t="str">
        <x:v>文件未載明</x:v>
      </x:c>
      <x:c r="E90" s="71" t="str">
        <x:v>苗栗縣頭份市自強路二段477號</x:v>
      </x:c>
      <x:c r="F90" s="71" t="str">
        <x:v>22665579</x:v>
      </x:c>
      <x:c r="G90" s="71" t="str">
        <x:v>網站補得候選（未回填文件統編）</x:v>
      </x:c>
      <x:c r="H90" s="71" t="str">
        <x:v>公司名與統編一致</x:v>
      </x:c>
      <x:c r="I90" s="71" t="str">
        <x:v>https://findbiz.nat.gov.tw/fts/company/22665579</x:v>
      </x:c>
      <x:c r="J90" s="71" t="str">
        <x:v>文件擷取</x:v>
      </x:c>
      <x:c r="K90" s="71" t="str"/>
    </x:row>
    <x:row r="91">
      <x:c r="A91" s="69" t="str">
        <x:v>V0087</x:v>
      </x:c>
      <x:c r="B91" s="69" t="str">
        <x:v>SRC077</x:v>
      </x:c>
      <x:c r="C91" s="69" t="str">
        <x:v>三發製網股份有限公司</x:v>
      </x:c>
      <x:c r="D91" s="69" t="str">
        <x:v>文件未載明</x:v>
      </x:c>
      <x:c r="E91" s="71" t="str">
        <x:v>台中市大雅區民生路一段264號</x:v>
      </x:c>
      <x:c r="F91" s="71" t="str">
        <x:v>55978642</x:v>
      </x:c>
      <x:c r="G91" s="71" t="str">
        <x:v>網站補得候選（未回填文件統編）</x:v>
      </x:c>
      <x:c r="H91" s="71" t="str">
        <x:v>名稱與文件地址一致</x:v>
      </x:c>
      <x:c r="I91" s="71" t="str">
        <x:v>https://ji.zhupiter.com/p-354418-%E4%B8%89%E7%99%BC%E8%A3%BD%E7%B6%B2%E8%82%A1%E4%BB%BD%E6%9C%89%E9%99%90%E5%85%AC%E5%8F%B8.html</x:v>
      </x:c>
      <x:c r="J91" s="71" t="str">
        <x:v>文件擷取</x:v>
      </x:c>
      <x:c r="K91" s="71" t="str"/>
    </x:row>
    <x:row r="92">
      <x:c r="A92" s="69" t="str">
        <x:v>V0088</x:v>
      </x:c>
      <x:c r="B92" s="69" t="str">
        <x:v>SRC078</x:v>
      </x:c>
      <x:c r="C92" s="69" t="str">
        <x:v>班朋寶閣有限公司</x:v>
      </x:c>
      <x:c r="D92" s="69" t="str">
        <x:v>文件未載明</x:v>
      </x:c>
      <x:c r="E92" s="71" t="str">
        <x:v>106001 台北市大安區金山南路二段18號5樓</x:v>
      </x:c>
      <x:c r="F92" s="71" t="str"/>
      <x:c r="G92" s="71" t="str">
        <x:v>尚未交叉比對</x:v>
      </x:c>
      <x:c r="H92" s="71" t="str">
        <x:v>尚未找到可排除歧義的公開資料</x:v>
      </x:c>
      <x:c r="I92" s="71" t="str"/>
      <x:c r="J92" s="71" t="str">
        <x:v>文件擷取</x:v>
      </x:c>
      <x:c r="K92" s="71" t="str"/>
    </x:row>
    <x:row r="93">
      <x:c r="A93" s="69" t="str">
        <x:v>V0089</x:v>
      </x:c>
      <x:c r="B93" s="69" t="str">
        <x:v>SRC079</x:v>
      </x:c>
      <x:c r="C93" s="69" t="str">
        <x:v>三發製網股份有限公司</x:v>
      </x:c>
      <x:c r="D93" s="69" t="str">
        <x:v>文件未載明</x:v>
      </x:c>
      <x:c r="E93" s="71" t="str">
        <x:v>台中市大雅區民生路一段264號</x:v>
      </x:c>
      <x:c r="F93" s="71" t="str">
        <x:v>55978642</x:v>
      </x:c>
      <x:c r="G93" s="71" t="str">
        <x:v>網站補得候選（未回填文件統編）</x:v>
      </x:c>
      <x:c r="H93" s="71" t="str">
        <x:v>名稱與文件地址一致</x:v>
      </x:c>
      <x:c r="I93" s="71" t="str">
        <x:v>https://ji.zhupiter.com/p-354418-%E4%B8%89%E7%99%BC%E8%A3%BD%E7%B6%B2%E8%82%A1%E4%BB%BD%E6%9C%89%E9%99%90%E5%85%AC%E5%8F%B8.html</x:v>
      </x:c>
      <x:c r="J93" s="71" t="str">
        <x:v>文件擷取</x:v>
      </x:c>
      <x:c r="K93" s="71" t="str"/>
    </x:row>
    <x:row r="94">
      <x:c r="A94" s="69" t="str">
        <x:v>V0090</x:v>
      </x:c>
      <x:c r="B94" s="69" t="str">
        <x:v>SRC001</x:v>
      </x:c>
      <x:c r="C94" s="69" t="str">
        <x:v>俐麒企業有限公司</x:v>
      </x:c>
      <x:c r="D94" s="69" t="str">
        <x:v>16342783</x:v>
      </x:c>
      <x:c r="E94" s="71" t="str">
        <x:v>苗栗縣竹南鎮康德街71號</x:v>
      </x:c>
      <x:c r="F94" s="71" t="str">
        <x:v>16342783</x:v>
      </x:c>
      <x:c r="G94" s="71" t="str">
        <x:v>文件與網站一致</x:v>
      </x:c>
      <x:c r="H94" s="71" t="str">
        <x:v>公司名與統編一致</x:v>
      </x:c>
      <x:c r="I94" s="71" t="str">
        <x:v>https://poi.zhupiter.com/taxid-%E7%B5%B1%E4%B8%80%E7%B7%A8%E8%99%9F-16342783.html</x:v>
      </x:c>
      <x:c r="J94" s="71" t="str">
        <x:v>文件擷取</x:v>
      </x:c>
      <x:c r="K94" s="71"/>
    </x:row>
    <x:row r="95">
      <x:c r="A95" s="69" t="str">
        <x:v>V0091</x:v>
      </x:c>
      <x:c r="B95" s="69" t="str">
        <x:v>SRC086</x:v>
      </x:c>
      <x:c r="C95" s="69" t="str">
        <x:v>信興水電</x:v>
      </x:c>
      <x:c r="D95" s="69" t="str">
        <x:v>文件未載明</x:v>
      </x:c>
      <x:c r="E95" s="71" t="str">
        <x:v>文件未載明</x:v>
      </x:c>
      <x:c r="F95" s="71" t="str"/>
      <x:c r="G95" s="71" t="str">
        <x:v>尚未交叉比對</x:v>
      </x:c>
      <x:c r="H95" s="71" t="str">
        <x:v>尚未找到可排除歧義的公開資料</x:v>
      </x:c>
      <x:c r="I95" s="71" t="str"/>
      <x:c r="J95" s="71" t="str">
        <x:v>文件擷取</x:v>
      </x:c>
      <x:c r="K95" s="71"/>
    </x:row>
    <x:row r="96">
      <x:c r="A96" s="69" t="str">
        <x:v>V0092</x:v>
      </x:c>
      <x:c r="B96" s="69" t="str">
        <x:v>SRC081</x:v>
      </x:c>
      <x:c r="C96" s="69" t="str">
        <x:v>台灣菊水股份有限公司</x:v>
      </x:c>
      <x:c r="D96" s="69" t="str">
        <x:v>42845001</x:v>
      </x:c>
      <x:c r="E96" s="71" t="str">
        <x:v>苗栗縣竹南鎮康德街71號 電話：037-775-355 傳真：無 乙方：台灣菊水股份有限 統編：42845001 ![](images/5e596f4b0eb24f064c150e7aa12ad059</x:v>
      </x:c>
      <x:c r="F96" s="71" t="str">
        <x:v>42845001</x:v>
      </x:c>
      <x:c r="G96" s="71" t="str">
        <x:v>文件與網站一致</x:v>
      </x:c>
      <x:c r="H96" s="71" t="str">
        <x:v>公司官網公司名與統編一致</x:v>
      </x:c>
      <x:c r="I96" s="71" t="str">
        <x:v>https://www.kikusui-chem.tw/about.php?sn=1</x:v>
      </x:c>
      <x:c r="J96" s="71" t="str">
        <x:v>文件擷取</x:v>
      </x:c>
      <x:c r="K96" s="71"/>
    </x:row>
    <x:row r="97">
      <x:c r="A97" s="69" t="str">
        <x:v>V0093</x:v>
      </x:c>
      <x:c r="B97" s="69" t="str">
        <x:v>SRC083</x:v>
      </x:c>
      <x:c r="C97" s="69" t="str">
        <x:v>曜陽廚具衛浴公司</x:v>
      </x:c>
      <x:c r="D97" s="69" t="str">
        <x:v>文件未載明</x:v>
      </x:c>
      <x:c r="E97" s="71" t="str">
        <x:v>| | | 電話:</x:v>
      </x:c>
      <x:c r="F97" s="71" t="str"/>
      <x:c r="G97" s="71" t="str">
        <x:v>尚未交叉比對</x:v>
      </x:c>
      <x:c r="H97" s="71" t="str">
        <x:v>尚未找到可排除歧義的公開資料</x:v>
      </x:c>
      <x:c r="I97" s="71" t="str"/>
      <x:c r="J97" s="71" t="str">
        <x:v>文件擷取</x:v>
      </x:c>
      <x:c r="K97" s="71"/>
    </x:row>
    <x:row r="98">
      <x:c r="A98" s="69" t="str">
        <x:v>V0094</x:v>
      </x:c>
      <x:c r="B98" s="69" t="str">
        <x:v>SRC084</x:v>
      </x:c>
      <x:c r="C98" s="69" t="str">
        <x:v>曜陽廚具衛浴公司</x:v>
      </x:c>
      <x:c r="D98" s="69" t="str">
        <x:v>文件未載明</x:v>
      </x:c>
      <x:c r="E98" s="71" t="str">
        <x:v>| | | 電話:</x:v>
      </x:c>
      <x:c r="F98" s="71" t="str"/>
      <x:c r="G98" s="71" t="str">
        <x:v>尚未交叉比對</x:v>
      </x:c>
      <x:c r="H98" s="71" t="str">
        <x:v>尚未找到可排除歧義的公開資料</x:v>
      </x:c>
      <x:c r="I98" s="71" t="str"/>
      <x:c r="J98" s="71" t="str">
        <x:v>文件擷取</x:v>
      </x:c>
      <x:c r="K98" s="71"/>
    </x:row>
    <x:row r="99">
      <x:c r="A99" s="69" t="str">
        <x:v>V0095</x:v>
      </x:c>
      <x:c r="B99" s="69" t="str">
        <x:v>SRC085</x:v>
      </x:c>
      <x:c r="C99" s="69" t="str">
        <x:v>曜陽廚具衛浴公司</x:v>
      </x:c>
      <x:c r="D99" s="69" t="str">
        <x:v>文件未載明</x:v>
      </x:c>
      <x:c r="E99" s="71" t="str">
        <x:v>苗栗縣後龍鎮新東路116號旁 | | | 電話:</x:v>
      </x:c>
      <x:c r="F99" s="71" t="str"/>
      <x:c r="G99" s="71" t="str">
        <x:v>尚未交叉比對</x:v>
      </x:c>
      <x:c r="H99" s="71" t="str">
        <x:v>尚未找到可排除歧義的公開資料</x:v>
      </x:c>
      <x:c r="I99" s="71" t="str"/>
      <x:c r="J99" s="71" t="str">
        <x:v>文件擷取</x:v>
      </x:c>
      <x:c r="K99" s="71"/>
    </x:row>
    <x:row r="100">
      <x:c r="A100" s="69" t="str">
        <x:v>V0096</x:v>
      </x:c>
      <x:c r="B100" s="69" t="str">
        <x:v>SRC089</x:v>
      </x:c>
      <x:c r="C100" s="69" t="str">
        <x:v>富謙工程開發企業社</x:v>
      </x:c>
      <x:c r="D100" s="69" t="str">
        <x:v>文件未載明</x:v>
      </x:c>
      <x:c r="E100" s="71" t="str">
        <x:v>文件未載明</x:v>
      </x:c>
      <x:c r="F100" s="71" t="str"/>
      <x:c r="G100" s="71" t="str">
        <x:v>尚未交叉比對</x:v>
      </x:c>
      <x:c r="H100" s="71" t="str">
        <x:v>尚未找到可排除歧義的公開資料</x:v>
      </x:c>
      <x:c r="I100" s="71" t="str"/>
      <x:c r="J100" s="71" t="str">
        <x:v>文件擷取</x:v>
      </x:c>
      <x:c r="K100" s="71"/>
    </x:row>
    <x:row r="101">
      <x:c r="A101" s="69" t="str">
        <x:v>V0097</x:v>
      </x:c>
      <x:c r="B101" s="69" t="str">
        <x:v>SRC087</x:v>
      </x:c>
      <x:c r="C101" s="69" t="str">
        <x:v>崇友實業股份有限公司新竹分公司</x:v>
      </x:c>
      <x:c r="D101" s="69" t="str">
        <x:v>90057101</x:v>
      </x:c>
      <x:c r="E101" s="71" t="str">
        <x:v>苗栗縣竹南鎮中港里中正路423號 統一編號：90057101 電話：037-775355 用印日期： 年 月 日 甲方連帶保證人： 負責 ![](images/3820d5cb1bd9168480da</x:v>
      </x:c>
      <x:c r="F101" s="71" t="str"/>
      <x:c r="G101" s="71" t="str">
        <x:v>疑似非賣方統編，不採用</x:v>
      </x:c>
      <x:c r="H101" s="71" t="str">
        <x:v>文件內甲方統編</x:v>
      </x:c>
      <x:c r="I101" s="71" t="str"/>
      <x:c r="J101" s="71" t="str">
        <x:v>文件擷取</x:v>
      </x:c>
      <x:c r="K101" s="71"/>
    </x:row>
    <x:row r="102">
      <x:c r="A102" s="69" t="str">
        <x:v>V0098</x:v>
      </x:c>
      <x:c r="B102" s="69" t="str">
        <x:v>SRC088</x:v>
      </x:c>
      <x:c r="C102" s="69" t="str">
        <x:v>崇友實業股份有限公司新竹分公司</x:v>
      </x:c>
      <x:c r="D102" s="69" t="str">
        <x:v>90057101</x:v>
      </x:c>
      <x:c r="E102" s="71" t="str">
        <x:v>苗栗縣竹南鎮中港里中正路423號 統一編號：90057101 電話：037-775355 用印日期： 年 月 日 甲方連帶保證人： 負責人： 地址 ![](images/0a5f4b09a363734</x:v>
      </x:c>
      <x:c r="F102" s="71" t="str"/>
      <x:c r="G102" s="71" t="str">
        <x:v>疑似非賣方統編，不採用</x:v>
      </x:c>
      <x:c r="H102" s="71" t="str">
        <x:v>文件內甲方統編</x:v>
      </x:c>
      <x:c r="I102" s="71" t="str"/>
      <x:c r="J102" s="71" t="str">
        <x:v>文件擷取</x:v>
      </x:c>
      <x:c r="K102" s="71"/>
    </x:row>
    <x:row r="103">
      <x:c r="A103" s="69" t="str">
        <x:v>V0099</x:v>
      </x:c>
      <x:c r="B103" s="69" t="str">
        <x:v>SRC080</x:v>
      </x:c>
      <x:c r="C103" s="69" t="str">
        <x:v>永豐餘工程股份有限公司</x:v>
      </x:c>
      <x:c r="D103" s="69" t="str">
        <x:v>90057101</x:v>
      </x:c>
      <x:c r="E103" s="71" t="str">
        <x:v>苗栗縣竹南鎮中港里中正路423號 乙方：永豐餘工程股份有限公司 負責人：陳正陽 統一編號：80088415 ![](images/e39a965082fa62bb17ab52abc5080d6e675</x:v>
      </x:c>
      <x:c r="F103" s="71" t="str">
        <x:v>80088415</x:v>
      </x:c>
      <x:c r="G103" s="71" t="str">
        <x:v>文件統編與網站不一致</x:v>
      </x:c>
      <x:c r="H103" s="71" t="str">
        <x:v>公司名與統編一致</x:v>
      </x:c>
      <x:c r="I103" s="71" t="str">
        <x:v>https://info.technews.tw/company/80088415-%E6%B0%B8%E8%B1%90%E9%A4%98%E5%B7%A5%E7%A8%8B%E8%82%A1%E4%BB%BD%E6%9C%89%E9%99%90%E5%85%AC%E5%8F%B8</x:v>
      </x:c>
      <x:c r="J103" s="71" t="str">
        <x:v>文件擷取</x:v>
      </x:c>
      <x:c r="K103" s="71"/>
    </x:row>
    <x:row r="104">
      <x:c r="A104" s="69" t="str">
        <x:v>V0100</x:v>
      </x:c>
      <x:c r="B104" s="69" t="str">
        <x:v>SRC090</x:v>
      </x:c>
      <x:c r="C104" s="69" t="str">
        <x:v>文件未載明</x:v>
      </x:c>
      <x:c r="D104" s="69" t="str">
        <x:v>文件未載明</x:v>
      </x:c>
      <x:c r="E104" s="71" t="str">
        <x:v>文件未載明</x:v>
      </x:c>
      <x:c r="F104" s="71" t="str"/>
      <x:c r="G104" s="71" t="str">
        <x:v>尚未交叉比對</x:v>
      </x:c>
      <x:c r="H104" s="71" t="str">
        <x:v>尚未找到可排除歧義的公開資料</x:v>
      </x:c>
      <x:c r="I104" s="71" t="str"/>
      <x:c r="J104" s="71" t="str">
        <x:v>文件擷取</x:v>
      </x:c>
      <x:c r="K104" s="71"/>
    </x:row>
    <x:row r="105">
      <x:c r="A105" s="69" t="str">
        <x:v>V0101</x:v>
      </x:c>
      <x:c r="B105" s="69" t="str">
        <x:v>SRC082</x:v>
      </x:c>
      <x:c r="C105" s="69" t="str">
        <x:v>永豐餘工程股份有限公司</x:v>
      </x:c>
      <x:c r="D105" s="69" t="str">
        <x:v>80088415</x:v>
      </x:c>
      <x:c r="E105" s="71" t="str">
        <x:v>文件未載明</x:v>
      </x:c>
      <x:c r="F105" s="71" t="str">
        <x:v>80088415</x:v>
      </x:c>
      <x:c r="G105" s="71" t="str">
        <x:v>文件與網站一致</x:v>
      </x:c>
      <x:c r="H105" s="71" t="str">
        <x:v>公司名與統編一致</x:v>
      </x:c>
      <x:c r="I105" s="71" t="str">
        <x:v>https://info.technews.tw/company/80088415-%E6%B0%B8%E8%B1%90%E9%A4%98%E5%B7%A5%E7%A8%8B%E8%82%A1%E4%BB%BD%E6%9C%89%E9%99%90%E5%85%AC%E5%8F%B8</x:v>
      </x:c>
      <x:c r="J105" s="71" t="str">
        <x:v>文件擷取</x:v>
      </x:c>
      <x:c r="K105" s="71"/>
    </x:row>
    <x:row r="106">
      <x:c r="A106" s="69" t="str">
        <x:v>V0102</x:v>
      </x:c>
      <x:c r="B106" s="69" t="str">
        <x:v>SRC092</x:v>
      </x:c>
      <x:c r="C106" s="69" t="str">
        <x:v>文件未載明</x:v>
      </x:c>
      <x:c r="D106" s="69" t="str">
        <x:v>文件未載明</x:v>
      </x:c>
      <x:c r="E106" s="71" t="str">
        <x:v>文件未載明</x:v>
      </x:c>
      <x:c r="F106" s="71" t="str"/>
      <x:c r="G106" s="71" t="str">
        <x:v>尚未交叉比對</x:v>
      </x:c>
      <x:c r="H106" s="71" t="str">
        <x:v>尚未找到可排除歧義的公開資料</x:v>
      </x:c>
      <x:c r="I106" s="71" t="str"/>
      <x:c r="J106" s="71" t="str">
        <x:v>文件擷取</x:v>
      </x:c>
      <x:c r="K106" s="71" t="str">
        <x:v>影像檔未進行內容猜測。</x:v>
      </x:c>
    </x:row>
    <x:row r="107">
      <x:c r="A107" s="69" t="str">
        <x:v>V0103</x:v>
      </x:c>
      <x:c r="B107" s="69" t="str">
        <x:v>SRC093</x:v>
      </x:c>
      <x:c r="C107" s="69" t="str">
        <x:v>興吉發科技建材有限公司</x:v>
      </x:c>
      <x:c r="D107" s="69" t="str">
        <x:v>83464309</x:v>
      </x:c>
      <x:c r="E107" s="71" t="str">
        <x:v>&lt;/td&gt;&lt;td&gt;苗栗縣竹南鎮康德街71號&lt;/td&gt;&lt;td&gt;公司地址&lt;/td&gt;&lt;td&gt;台北市中山區華陰街24巷3號1樓&lt;/td&gt;&lt;/tr&gt;&lt;tr&gt;&lt;td&gt;公司電話&lt;/td&gt;&lt;td&gt;03-777-535</x:v>
      </x:c>
      <x:c r="F107" s="71" t="str">
        <x:v>83464309</x:v>
      </x:c>
      <x:c r="G107" s="71" t="str">
        <x:v>文件與網站一致</x:v>
      </x:c>
      <x:c r="H107" s="71" t="str">
        <x:v>公司名與統編一致</x:v>
      </x:c>
      <x:c r="I107" s="71" t="str">
        <x:v>https://www.findcompany.com.tw/%E8%88%88%E5%90%89%E7%99%BC%E7%A7%91%E6%8A%80%E5%BB%BA%E6%9D%90%E6%9C%89%E9%99%90%E5%85%AC%E5%8F%B8</x:v>
      </x:c>
      <x:c r="J107" s="71" t="str">
        <x:v>文件擷取</x:v>
      </x:c>
      <x:c r="K107" s="71"/>
    </x:row>
    <x:row r="108">
      <x:c r="A108" s="69" t="str">
        <x:v>V0104</x:v>
      </x:c>
      <x:c r="B108" s="69" t="str">
        <x:v>SRC091</x:v>
      </x:c>
      <x:c r="C108" s="69" t="str">
        <x:v>文件未載明</x:v>
      </x:c>
      <x:c r="D108" s="69" t="str">
        <x:v>文件未載明</x:v>
      </x:c>
      <x:c r="E108" s="71" t="str">
        <x:v>文件未載明</x:v>
      </x:c>
      <x:c r="F108" s="71" t="str"/>
      <x:c r="G108" s="71" t="str">
        <x:v>尚未交叉比對</x:v>
      </x:c>
      <x:c r="H108" s="71" t="str">
        <x:v>尚未找到可排除歧義的公開資料</x:v>
      </x:c>
      <x:c r="I108" s="71" t="str"/>
      <x:c r="J108" s="71" t="str">
        <x:v>文件擷取</x:v>
      </x:c>
      <x:c r="K108" s="71"/>
    </x:row>
  </x:sheetData>
  <x:mergeCells>
    <x:mergeCell ref="A1:K2"/>
    <x:mergeCell ref="A3:K3"/>
  </x:mergeCells>
  <x:conditionalFormatting sqref="G5:G108">
    <x:cfRule type="containsText" dxfId="1" priority="1" operator="containsText" text="一致"/>
    <x:cfRule type="containsText" dxfId="2" priority="2" operator="containsText" text="不一致"/>
    <x:cfRule type="containsText" dxfId="3" priority="3" operator="containsText" text="尚未"/>
  </x:conditionalFormatting>
  <x:pageMargins left="0.7" right="0.7" top="0.75" bottom="0.75" header="0.3" footer="0.3"/>
  <x:tableParts count="1">
    <x:tablePart xmlns:r="http://schemas.openxmlformats.org/officeDocument/2006/relationships" r:id="R3ddd259e3b2d44b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130000114440918" hidden="0" customWidth="1"/>
    <x:col min="2" max="2" width="25" hidden="0" customWidth="1"/>
    <x:col min="3" max="3" width="13.75" hidden="0" customWidth="1"/>
    <x:col min="4" max="4" width="15" hidden="0" customWidth="1"/>
    <x:col min="5" max="5" width="21.25" hidden="0" customWidth="1"/>
    <x:col min="6" max="6" width="28.75" hidden="0" customWidth="1"/>
    <x:col min="7" max="7" width="45" hidden="0" customWidth="1"/>
    <x:col min="8" max="8" width="27.5" hidden="0" customWidth="1"/>
  </x:cols>
  <x:sheetData>
    <x:row r="1" ht="28" customHeight="1">
      <x:c r="A1" s="3" t="str">
        <x:v>統編核對｜逐筆文件賣方檢核</x:v>
      </x:c>
      <x:c r="B1" s="3" t="str">
        <x:v>統編核對｜逐筆文件賣方檢核</x:v>
      </x:c>
      <x:c r="C1" s="3" t="str">
        <x:v>統編核對｜逐筆文件賣方檢核</x:v>
      </x:c>
      <x:c r="D1" s="3" t="str">
        <x:v>統編核對｜逐筆文件賣方檢核</x:v>
      </x:c>
      <x:c r="E1" s="3" t="str">
        <x:v>統編核對｜逐筆文件賣方檢核</x:v>
      </x:c>
      <x:c r="F1" s="3" t="str">
        <x:v>統編核對｜逐筆文件賣方檢核</x:v>
      </x:c>
      <x:c r="G1" s="3" t="str">
        <x:v>統編核對｜逐筆文件賣方檢核</x:v>
      </x:c>
      <x:c r="H1" s="3" t="str">
        <x:v>統編核對｜逐筆文件賣方檢核</x:v>
      </x:c>
    </x:row>
    <x:row r="2" ht="28" customHeight="1">
      <x:c r="A2" s="3" t="str">
        <x:v>統編核對｜逐筆文件賣方檢核</x:v>
      </x:c>
      <x:c r="B2" s="3" t="str">
        <x:v>統編核對｜逐筆文件賣方檢核</x:v>
      </x:c>
      <x:c r="C2" s="3" t="str">
        <x:v>統編核對｜逐筆文件賣方檢核</x:v>
      </x:c>
      <x:c r="D2" s="3" t="str">
        <x:v>統編核對｜逐筆文件賣方檢核</x:v>
      </x:c>
      <x:c r="E2" s="3" t="str">
        <x:v>統編核對｜逐筆文件賣方檢核</x:v>
      </x:c>
      <x:c r="F2" s="3" t="str">
        <x:v>統編核對｜逐筆文件賣方檢核</x:v>
      </x:c>
      <x:c r="G2" s="3" t="str">
        <x:v>統編核對｜逐筆文件賣方檢核</x:v>
      </x:c>
      <x:c r="H2" s="3" t="str">
        <x:v>統編核對｜逐筆文件賣方檢核</x:v>
      </x:c>
    </x:row>
    <x:row r="4">
      <x:c r="A4" s="66" t="str">
        <x:v>來源ID</x:v>
      </x:c>
      <x:c r="B4" s="66" t="str">
        <x:v>賣方名稱</x:v>
      </x:c>
      <x:c r="C4" s="66" t="str">
        <x:v>文件統編</x:v>
      </x:c>
      <x:c r="D4" s="66" t="str">
        <x:v>網站候選統編</x:v>
      </x:c>
      <x:c r="E4" s="66" t="str">
        <x:v>比較結果</x:v>
      </x:c>
      <x:c r="F4" s="66" t="str">
        <x:v>網站比對說明</x:v>
      </x:c>
      <x:c r="G4" s="66" t="str">
        <x:v>來源路徑</x:v>
      </x:c>
      <x:c r="H4" s="66" t="str">
        <x:v>處理建議</x:v>
      </x:c>
    </x:row>
    <x:row r="5">
      <x:c r="A5" s="69" t="str">
        <x:v>SRC002</x:v>
      </x:c>
      <x:c r="B5" s="69" t="str">
        <x:v>文件未載明</x:v>
      </x:c>
      <x:c r="C5" s="69" t="str">
        <x:v>文件未載明</x:v>
      </x:c>
      <x:c r="D5" s="69" t="str"/>
      <x:c r="E5" s="69" t="str">
        <x:v>尚未交叉比對</x:v>
      </x:c>
      <x:c r="F5" s="69" t="str">
        <x:v>尚未找到可排除歧義的公開資料</x:v>
      </x:c>
      <x:c r="G5" s="69" t="str">
        <x:v>各廠商合約&amp; 報價\MD檔案\20230424 TOTO衛浴.md</x:v>
      </x:c>
      <x:c r="H5" s="69" t="str"/>
    </x:row>
    <x:row r="6">
      <x:c r="A6" s="69" t="str">
        <x:v>SRC002</x:v>
      </x:c>
      <x:c r="B6" s="69" t="str">
        <x:v>文件未載明</x:v>
      </x:c>
      <x:c r="C6" s="69" t="str">
        <x:v>文件未載明</x:v>
      </x:c>
      <x:c r="D6" s="69" t="str"/>
      <x:c r="E6" s="69" t="str">
        <x:v>尚未交叉比對</x:v>
      </x:c>
      <x:c r="F6" s="69" t="str">
        <x:v>尚未找到可排除歧義的公開資料</x:v>
      </x:c>
      <x:c r="G6" s="69" t="str">
        <x:v>各廠商合約&amp; 報價\MD檔案\20230424 TOTO衛浴.md</x:v>
      </x:c>
      <x:c r="H6" s="69" t="str"/>
    </x:row>
    <x:row r="7">
      <x:c r="A7" s="69" t="str">
        <x:v>SRC003</x:v>
      </x:c>
      <x:c r="B7" s="69" t="str">
        <x:v>文件未載明</x:v>
      </x:c>
      <x:c r="C7" s="69" t="str">
        <x:v>文件未載明</x:v>
      </x:c>
      <x:c r="D7" s="69" t="str"/>
      <x:c r="E7" s="69" t="str">
        <x:v>尚未交叉比對</x:v>
      </x:c>
      <x:c r="F7" s="69" t="str">
        <x:v>尚未找到可排除歧義的公開資料</x:v>
      </x:c>
      <x:c r="G7" s="69" t="str">
        <x:v>各廠商合約&amp; 報價\MD檔案\20230613 地質鑽探.md</x:v>
      </x:c>
      <x:c r="H7" s="69" t="str"/>
    </x:row>
    <x:row r="8">
      <x:c r="A8" s="69" t="str">
        <x:v>SRC004</x:v>
      </x:c>
      <x:c r="B8" s="69" t="str">
        <x:v>文件未載明</x:v>
      </x:c>
      <x:c r="C8" s="69" t="str">
        <x:v>文件未載明</x:v>
      </x:c>
      <x:c r="D8" s="69" t="str"/>
      <x:c r="E8" s="69" t="str">
        <x:v>尚未交叉比對</x:v>
      </x:c>
      <x:c r="F8" s="69" t="str">
        <x:v>尚未找到可排除歧義的公開資料</x:v>
      </x:c>
      <x:c r="G8" s="69" t="str">
        <x:v>各廠商合約&amp; 報價\MD檔案\20231212 YKK 鋁門窗.md</x:v>
      </x:c>
      <x:c r="H8" s="69" t="str"/>
    </x:row>
    <x:row r="9">
      <x:c r="A9" s="69" t="str">
        <x:v>SRC005</x:v>
      </x:c>
      <x:c r="B9" s="69" t="str">
        <x:v>文件未載明</x:v>
      </x:c>
      <x:c r="C9" s="69" t="str">
        <x:v>文件未載明</x:v>
      </x:c>
      <x:c r="D9" s="69" t="str"/>
      <x:c r="E9" s="69" t="str">
        <x:v>尚未交叉比對</x:v>
      </x:c>
      <x:c r="F9" s="69" t="str">
        <x:v>尚未找到可排除歧義的公開資料</x:v>
      </x:c>
      <x:c r="G9" s="69" t="str">
        <x:v>各廠商合約&amp; 報價\MD檔案\20231226 TOTO衛浴.md</x:v>
      </x:c>
      <x:c r="H9" s="69" t="str"/>
    </x:row>
    <x:row r="10">
      <x:c r="A10" s="69" t="str">
        <x:v>SRC005</x:v>
      </x:c>
      <x:c r="B10" s="69" t="str">
        <x:v>文件未載明</x:v>
      </x:c>
      <x:c r="C10" s="69" t="str">
        <x:v>文件未載明</x:v>
      </x:c>
      <x:c r="D10" s="69" t="str"/>
      <x:c r="E10" s="69" t="str">
        <x:v>尚未交叉比對</x:v>
      </x:c>
      <x:c r="F10" s="69" t="str">
        <x:v>尚未找到可排除歧義的公開資料</x:v>
      </x:c>
      <x:c r="G10" s="69" t="str">
        <x:v>各廠商合約&amp; 報價\MD檔案\20231226 TOTO衛浴.md</x:v>
      </x:c>
      <x:c r="H10" s="69" t="str"/>
    </x:row>
    <x:row r="11">
      <x:c r="A11" s="69" t="str">
        <x:v>SRC006</x:v>
      </x:c>
      <x:c r="B11" s="69" t="str">
        <x:v>文件未載明</x:v>
      </x:c>
      <x:c r="C11" s="69" t="str">
        <x:v>文件未載明</x:v>
      </x:c>
      <x:c r="D11" s="69" t="str"/>
      <x:c r="E11" s="69" t="str">
        <x:v>尚未交叉比對</x:v>
      </x:c>
      <x:c r="F11" s="69" t="str">
        <x:v>尚未找到可排除歧義的公開資料</x:v>
      </x:c>
      <x:c r="G11" s="69" t="str">
        <x:v>各廠商合約&amp; 報價\MD檔案\20240326 國璽寶 磁磚.md</x:v>
      </x:c>
      <x:c r="H11" s="69" t="str"/>
    </x:row>
    <x:row r="12">
      <x:c r="A12" s="69" t="str">
        <x:v>SRC007</x:v>
      </x:c>
      <x:c r="B12" s="69" t="str">
        <x:v>文件未載明</x:v>
      </x:c>
      <x:c r="C12" s="69" t="str">
        <x:v>文件未載明</x:v>
      </x:c>
      <x:c r="D12" s="69" t="str"/>
      <x:c r="E12" s="69" t="str">
        <x:v>尚未交叉比對</x:v>
      </x:c>
      <x:c r="F12" s="69" t="str">
        <x:v>尚未找到可排除歧義的公開資料</x:v>
      </x:c>
      <x:c r="G12" s="69" t="str">
        <x:v>各廠商合約&amp; 報價\MD檔案\20240506 鎖庫 智能衣架.md</x:v>
      </x:c>
      <x:c r="H12" s="69" t="str"/>
    </x:row>
    <x:row r="13">
      <x:c r="A13" s="69" t="str">
        <x:v>SRC008</x:v>
      </x:c>
      <x:c r="B13" s="69" t="str">
        <x:v>文件未載明</x:v>
      </x:c>
      <x:c r="C13" s="69" t="str">
        <x:v>文件未載明</x:v>
      </x:c>
      <x:c r="D13" s="69" t="str"/>
      <x:c r="E13" s="69" t="str">
        <x:v>尚未交叉比對</x:v>
      </x:c>
      <x:c r="F13" s="69" t="str">
        <x:v>尚未找到可排除歧義的公開資料</x:v>
      </x:c>
      <x:c r="G13" s="69" t="str">
        <x:v>各廠商合約&amp; 報價\MD檔案\20240506 鎖庫 電子門鎖.md</x:v>
      </x:c>
      <x:c r="H13" s="69" t="str"/>
    </x:row>
    <x:row r="14">
      <x:c r="A14" s="69" t="str">
        <x:v>SRC009</x:v>
      </x:c>
      <x:c r="B14" s="69" t="str">
        <x:v>文件未載明</x:v>
      </x:c>
      <x:c r="C14" s="69" t="str">
        <x:v>文件未載明</x:v>
      </x:c>
      <x:c r="D14" s="69" t="str"/>
      <x:c r="E14" s="69" t="str">
        <x:v>尚未交叉比對</x:v>
      </x:c>
      <x:c r="F14" s="69" t="str">
        <x:v>尚未找到可排除歧義的公開資料</x:v>
      </x:c>
      <x:c r="G14" s="69" t="str">
        <x:v>各廠商合約&amp; 報價\MD檔案\20240507 固多多.md</x:v>
      </x:c>
      <x:c r="H14" s="69" t="str"/>
    </x:row>
    <x:row r="15">
      <x:c r="A15" s="69" t="str">
        <x:v>SRC010</x:v>
      </x:c>
      <x:c r="B15" s="69" t="str">
        <x:v>文件未載明</x:v>
      </x:c>
      <x:c r="C15" s="69" t="str">
        <x:v>文件未載明</x:v>
      </x:c>
      <x:c r="D15" s="69" t="str"/>
      <x:c r="E15" s="69" t="str">
        <x:v>尚未交叉比對</x:v>
      </x:c>
      <x:c r="F15" s="69" t="str">
        <x:v>尚未找到可排除歧義的公開資料</x:v>
      </x:c>
      <x:c r="G15" s="69" t="str">
        <x:v>各廠商合約&amp; 報價\MD檔案\20240515 Derek 白框淋浴拉門.md</x:v>
      </x:c>
      <x:c r="H15" s="69" t="str"/>
    </x:row>
    <x:row r="16">
      <x:c r="A16" s="69" t="str">
        <x:v>SRC011</x:v>
      </x:c>
      <x:c r="B16" s="69" t="str">
        <x:v>文件未載明</x:v>
      </x:c>
      <x:c r="C16" s="69" t="str">
        <x:v>文件未載明</x:v>
      </x:c>
      <x:c r="D16" s="69" t="str"/>
      <x:c r="E16" s="69" t="str">
        <x:v>尚未交叉比對</x:v>
      </x:c>
      <x:c r="F16" s="69" t="str">
        <x:v>尚未找到可排除歧義的公開資料</x:v>
      </x:c>
      <x:c r="G16" s="69" t="str">
        <x:v>各廠商合約&amp; 報價\MD檔案\20240515 Derek黑框淋浴拉門.md</x:v>
      </x:c>
      <x:c r="H16" s="69" t="str"/>
    </x:row>
    <x:row r="17">
      <x:c r="A17" s="69" t="str">
        <x:v>SRC012</x:v>
      </x:c>
      <x:c r="B17" s="69" t="str">
        <x:v>文件未載明</x:v>
      </x:c>
      <x:c r="C17" s="69" t="str">
        <x:v>文件未載明</x:v>
      </x:c>
      <x:c r="D17" s="69" t="str"/>
      <x:c r="E17" s="69" t="str">
        <x:v>尚未交叉比對</x:v>
      </x:c>
      <x:c r="F17" s="69" t="str">
        <x:v>尚未找到可排除歧義的公開資料</x:v>
      </x:c>
      <x:c r="G17" s="69" t="str">
        <x:v>各廠商合約&amp; 報價\MD檔案\20240620 協力建材行.md</x:v>
      </x:c>
      <x:c r="H17" s="69" t="str"/>
    </x:row>
    <x:row r="18">
      <x:c r="A18" s="69" t="str">
        <x:v>SRC012</x:v>
      </x:c>
      <x:c r="B18" s="69" t="str">
        <x:v>文件未載明</x:v>
      </x:c>
      <x:c r="C18" s="69" t="str">
        <x:v>文件未載明</x:v>
      </x:c>
      <x:c r="D18" s="69" t="str"/>
      <x:c r="E18" s="69" t="str">
        <x:v>尚未交叉比對</x:v>
      </x:c>
      <x:c r="F18" s="69" t="str">
        <x:v>尚未找到可排除歧義的公開資料</x:v>
      </x:c>
      <x:c r="G18" s="69" t="str">
        <x:v>各廠商合約&amp; 報價\MD檔案\20240620 協力建材行.md</x:v>
      </x:c>
      <x:c r="H18" s="69" t="str"/>
    </x:row>
    <x:row r="19">
      <x:c r="A19" s="69" t="str">
        <x:v>SRC013</x:v>
      </x:c>
      <x:c r="B19" s="69" t="str">
        <x:v>文件未載明</x:v>
      </x:c>
      <x:c r="C19" s="69" t="str">
        <x:v>文件未載明</x:v>
      </x:c>
      <x:c r="D19" s="69" t="str"/>
      <x:c r="E19" s="69" t="str">
        <x:v>尚未交叉比對</x:v>
      </x:c>
      <x:c r="F19" s="69" t="str">
        <x:v>尚未找到可排除歧義的公開資料</x:v>
      </x:c>
      <x:c r="G19" s="69" t="str">
        <x:v>各廠商合約&amp; 報價\MD檔案\20240620 塑豐 玄關門、房間門、浴室門、消防門.md</x:v>
      </x:c>
      <x:c r="H19" s="69" t="str"/>
    </x:row>
    <x:row r="20">
      <x:c r="A20" s="69" t="str">
        <x:v>SRC014</x:v>
      </x:c>
      <x:c r="B20" s="69" t="str">
        <x:v>文件未載明</x:v>
      </x:c>
      <x:c r="C20" s="69" t="str">
        <x:v>文件未載明</x:v>
      </x:c>
      <x:c r="D20" s="69" t="str"/>
      <x:c r="E20" s="69" t="str">
        <x:v>尚未交叉比對</x:v>
      </x:c>
      <x:c r="F20" s="69" t="str">
        <x:v>尚未找到可排除歧義的公開資料</x:v>
      </x:c>
      <x:c r="G20" s="69" t="str">
        <x:v>各廠商合約&amp; 報價\MD檔案\20240620 塑豐玄關門、房間門、浴室門、消防門.md</x:v>
      </x:c>
      <x:c r="H20" s="69" t="str"/>
    </x:row>
    <x:row r="21">
      <x:c r="A21" s="69" t="str">
        <x:v>SRC015</x:v>
      </x:c>
      <x:c r="B21" s="69" t="str">
        <x:v>文件未載明</x:v>
      </x:c>
      <x:c r="C21" s="69" t="str">
        <x:v>文件未載明</x:v>
      </x:c>
      <x:c r="D21" s="69" t="str"/>
      <x:c r="E21" s="69" t="str">
        <x:v>尚未交叉比對</x:v>
      </x:c>
      <x:c r="F21" s="69" t="str">
        <x:v>尚未找到可排除歧義的公開資料</x:v>
      </x:c>
      <x:c r="G21" s="69" t="str">
        <x:v>各廠商合約&amp; 報價\MD檔案\20240703 太子種苗 _更新_.md</x:v>
      </x:c>
      <x:c r="H21" s="69" t="str"/>
    </x:row>
    <x:row r="22">
      <x:c r="A22" s="69" t="str">
        <x:v>SRC016</x:v>
      </x:c>
      <x:c r="B22" s="69" t="str">
        <x:v>文件未載明</x:v>
      </x:c>
      <x:c r="C22" s="69" t="str">
        <x:v>文件未載明</x:v>
      </x:c>
      <x:c r="D22" s="69" t="str"/>
      <x:c r="E22" s="69" t="str">
        <x:v>尚未交叉比對</x:v>
      </x:c>
      <x:c r="F22" s="69" t="str">
        <x:v>尚未找到可排除歧義的公開資料</x:v>
      </x:c>
      <x:c r="G22" s="69" t="str">
        <x:v>各廠商合約&amp; 報價\MD檔案\20240719 立瑄 淋浴拉門.md</x:v>
      </x:c>
      <x:c r="H22" s="69" t="str"/>
    </x:row>
    <x:row r="23">
      <x:c r="A23" s="69" t="str">
        <x:v>SRC017</x:v>
      </x:c>
      <x:c r="B23" s="69" t="str">
        <x:v>文件未載明</x:v>
      </x:c>
      <x:c r="C23" s="69" t="str">
        <x:v>文件未載明</x:v>
      </x:c>
      <x:c r="D23" s="69" t="str"/>
      <x:c r="E23" s="69" t="str">
        <x:v>尚未交叉比對</x:v>
      </x:c>
      <x:c r="F23" s="69" t="str">
        <x:v>尚未找到可排除歧義的公開資料</x:v>
      </x:c>
      <x:c r="G23" s="69" t="str">
        <x:v>各廠商合約&amp; 報價\MD檔案\20240726 塑豐 金屬格柵.md</x:v>
      </x:c>
      <x:c r="H23" s="69" t="str"/>
    </x:row>
    <x:row r="24">
      <x:c r="A24" s="69" t="str">
        <x:v>SRC018</x:v>
      </x:c>
      <x:c r="B24" s="69" t="str">
        <x:v>文件未載明</x:v>
      </x:c>
      <x:c r="C24" s="69" t="str">
        <x:v>文件未載明</x:v>
      </x:c>
      <x:c r="D24" s="69" t="str"/>
      <x:c r="E24" s="69" t="str">
        <x:v>尚未交叉比對</x:v>
      </x:c>
      <x:c r="F24" s="69" t="str">
        <x:v>尚未找到可排除歧義的公開資料</x:v>
      </x:c>
      <x:c r="G24" s="69" t="str">
        <x:v>各廠商合約&amp; 報價\MD檔案\20240730 國璽寶 車道磚.md</x:v>
      </x:c>
      <x:c r="H24" s="69" t="str"/>
    </x:row>
    <x:row r="25">
      <x:c r="A25" s="69" t="str">
        <x:v>SRC019</x:v>
      </x:c>
      <x:c r="B25" s="69" t="str">
        <x:v>文件未載明</x:v>
      </x:c>
      <x:c r="C25" s="69" t="str">
        <x:v>文件未載明</x:v>
      </x:c>
      <x:c r="D25" s="69" t="str"/>
      <x:c r="E25" s="69" t="str">
        <x:v>尚未交叉比對</x:v>
      </x:c>
      <x:c r="F25" s="69" t="str">
        <x:v>尚未找到可排除歧義的公開資料</x:v>
      </x:c>
      <x:c r="G25" s="69" t="str">
        <x:v>各廠商合約&amp; 報價\MD檔案\20240730 錦祥工程行 _浴室天花板_.md</x:v>
      </x:c>
      <x:c r="H25" s="69" t="str"/>
    </x:row>
    <x:row r="26">
      <x:c r="A26" s="69" t="str">
        <x:v>SRC020</x:v>
      </x:c>
      <x:c r="B26" s="69" t="str">
        <x:v>文件未載明</x:v>
      </x:c>
      <x:c r="C26" s="69" t="str">
        <x:v>文件未載明</x:v>
      </x:c>
      <x:c r="D26" s="69" t="str"/>
      <x:c r="E26" s="69" t="str">
        <x:v>尚未交叉比對</x:v>
      </x:c>
      <x:c r="F26" s="69" t="str">
        <x:v>尚未找到可排除歧義的公開資料</x:v>
      </x:c>
      <x:c r="G26" s="69" t="str">
        <x:v>各廠商合約&amp; 報價\MD檔案\20240802 宏交 弱電系統.md</x:v>
      </x:c>
      <x:c r="H26" s="69" t="str"/>
    </x:row>
    <x:row r="27">
      <x:c r="A27" s="69" t="str">
        <x:v>SRC021</x:v>
      </x:c>
      <x:c r="B27" s="69" t="str">
        <x:v>文件未載明</x:v>
      </x:c>
      <x:c r="C27" s="69" t="str">
        <x:v>文件未載明</x:v>
      </x:c>
      <x:c r="D27" s="69" t="str"/>
      <x:c r="E27" s="69" t="str">
        <x:v>尚未交叉比對</x:v>
      </x:c>
      <x:c r="F27" s="69" t="str">
        <x:v>尚未找到可排除歧義的公開資料</x:v>
      </x:c>
      <x:c r="G27" s="69" t="str">
        <x:v>各廠商合約&amp; 報價\MD檔案\20240809 塑豐 玻璃欄桿.md</x:v>
      </x:c>
      <x:c r="H27" s="69" t="str"/>
    </x:row>
    <x:row r="28">
      <x:c r="A28" s="69" t="str">
        <x:v>SRC022</x:v>
      </x:c>
      <x:c r="B28" s="69" t="str">
        <x:v>文件未載明</x:v>
      </x:c>
      <x:c r="C28" s="69" t="str">
        <x:v>文件未載明</x:v>
      </x:c>
      <x:c r="D28" s="69" t="str"/>
      <x:c r="E28" s="69" t="str">
        <x:v>尚未交叉比對</x:v>
      </x:c>
      <x:c r="F28" s="69" t="str">
        <x:v>尚未找到可排除歧義的公開資料</x:v>
      </x:c>
      <x:c r="G28" s="69" t="str">
        <x:v>各廠商合約&amp; 報價\MD檔案\20240812 協力建材行.md</x:v>
      </x:c>
      <x:c r="H28" s="69" t="str"/>
    </x:row>
    <x:row r="29">
      <x:c r="A29" s="69" t="str">
        <x:v>SRC022</x:v>
      </x:c>
      <x:c r="B29" s="69" t="str">
        <x:v>文件未載明</x:v>
      </x:c>
      <x:c r="C29" s="69" t="str">
        <x:v>文件未載明</x:v>
      </x:c>
      <x:c r="D29" s="69" t="str"/>
      <x:c r="E29" s="69" t="str">
        <x:v>尚未交叉比對</x:v>
      </x:c>
      <x:c r="F29" s="69" t="str">
        <x:v>尚未找到可排除歧義的公開資料</x:v>
      </x:c>
      <x:c r="G29" s="69" t="str">
        <x:v>各廠商合約&amp; 報價\MD檔案\20240812 協力建材行.md</x:v>
      </x:c>
      <x:c r="H29" s="69" t="str"/>
    </x:row>
    <x:row r="30">
      <x:c r="A30" s="69" t="str">
        <x:v>SRC023</x:v>
      </x:c>
      <x:c r="B30" s="69" t="str">
        <x:v>文件未載明</x:v>
      </x:c>
      <x:c r="C30" s="69" t="str">
        <x:v>文件未載明</x:v>
      </x:c>
      <x:c r="D30" s="69" t="str"/>
      <x:c r="E30" s="69" t="str">
        <x:v>尚未交叉比對</x:v>
      </x:c>
      <x:c r="F30" s="69" t="str">
        <x:v>尚未找到可排除歧義的公開資料</x:v>
      </x:c>
      <x:c r="G30" s="69" t="str">
        <x:v>各廠商合約&amp; 報價\MD檔案\20240819 順靖 樓梯扶手.md</x:v>
      </x:c>
      <x:c r="H30" s="69" t="str"/>
    </x:row>
    <x:row r="31">
      <x:c r="A31" s="69" t="str">
        <x:v>SRC024</x:v>
      </x:c>
      <x:c r="B31" s="69" t="str">
        <x:v>文件未載明</x:v>
      </x:c>
      <x:c r="C31" s="69" t="str">
        <x:v>文件未載明</x:v>
      </x:c>
      <x:c r="D31" s="69" t="str"/>
      <x:c r="E31" s="69" t="str">
        <x:v>尚未交叉比對</x:v>
      </x:c>
      <x:c r="F31" s="69" t="str">
        <x:v>尚未找到可排除歧義的公開資料</x:v>
      </x:c>
      <x:c r="G31" s="69" t="str">
        <x:v>各廠商合約&amp; 報價\MD檔案\20240820 富日東 塗料.md</x:v>
      </x:c>
      <x:c r="H31" s="69" t="str"/>
    </x:row>
    <x:row r="32">
      <x:c r="A32" s="69" t="str">
        <x:v>SRC025</x:v>
      </x:c>
      <x:c r="B32" s="69" t="str">
        <x:v>文件未載明</x:v>
      </x:c>
      <x:c r="C32" s="69" t="str">
        <x:v>文件未載明</x:v>
      </x:c>
      <x:c r="D32" s="69" t="str"/>
      <x:c r="E32" s="69" t="str">
        <x:v>尚未交叉比對</x:v>
      </x:c>
      <x:c r="F32" s="69" t="str">
        <x:v>尚未找到可排除歧義的公開資料</x:v>
      </x:c>
      <x:c r="G32" s="69" t="str">
        <x:v>各廠商合約&amp; 報價\MD檔案\20240910 順靖 玻璃欄杆(透明).md</x:v>
      </x:c>
      <x:c r="H32" s="69" t="str"/>
    </x:row>
    <x:row r="33">
      <x:c r="A33" s="69" t="str">
        <x:v>SRC026</x:v>
      </x:c>
      <x:c r="B33" s="69" t="str">
        <x:v>文件未載明</x:v>
      </x:c>
      <x:c r="C33" s="69" t="str">
        <x:v>文件未載明</x:v>
      </x:c>
      <x:c r="D33" s="69" t="str"/>
      <x:c r="E33" s="69" t="str">
        <x:v>尚未交叉比對</x:v>
      </x:c>
      <x:c r="F33" s="69" t="str">
        <x:v>尚未找到可排除歧義的公開資料</x:v>
      </x:c>
      <x:c r="G33" s="69" t="str">
        <x:v>各廠商合約&amp; 報價\MD檔案\20241004 順靖 玻璃欄杆_透明_木紋握桿_ 議價.md</x:v>
      </x:c>
      <x:c r="H33" s="69" t="str"/>
    </x:row>
    <x:row r="34">
      <x:c r="A34" s="69" t="str">
        <x:v>SRC027</x:v>
      </x:c>
      <x:c r="B34" s="69" t="str">
        <x:v>文件未載明</x:v>
      </x:c>
      <x:c r="C34" s="69" t="str">
        <x:v>文件未載明</x:v>
      </x:c>
      <x:c r="D34" s="69" t="str"/>
      <x:c r="E34" s="69" t="str">
        <x:v>尚未交叉比對</x:v>
      </x:c>
      <x:c r="F34" s="69" t="str">
        <x:v>尚未找到可排除歧義的公開資料</x:v>
      </x:c>
      <x:c r="G34" s="69" t="str">
        <x:v>各廠商合約&amp; 報價\MD檔案\20241009 安翊 滴水條.md</x:v>
      </x:c>
      <x:c r="H34" s="69" t="str"/>
    </x:row>
    <x:row r="35">
      <x:c r="A35" s="69" t="str">
        <x:v>SRC028</x:v>
      </x:c>
      <x:c r="B35" s="69" t="str">
        <x:v>文件未載明</x:v>
      </x:c>
      <x:c r="C35" s="69" t="str">
        <x:v>文件未載明</x:v>
      </x:c>
      <x:c r="D35" s="69" t="str"/>
      <x:c r="E35" s="69" t="str">
        <x:v>尚未交叉比對</x:v>
      </x:c>
      <x:c r="F35" s="69" t="str">
        <x:v>尚未找到可排除歧義的公開資料</x:v>
      </x:c>
      <x:c r="G35" s="69" t="str">
        <x:v>各廠商合約&amp; 報價\MD檔案\20241016 塑豐 房間門改先立.md</x:v>
      </x:c>
      <x:c r="H35" s="69" t="str"/>
    </x:row>
    <x:row r="36">
      <x:c r="A36" s="69" t="str">
        <x:v>SRC029</x:v>
      </x:c>
      <x:c r="B36" s="69" t="str">
        <x:v>文件未載明</x:v>
      </x:c>
      <x:c r="C36" s="69" t="str">
        <x:v>文件未載明</x:v>
      </x:c>
      <x:c r="D36" s="69" t="str"/>
      <x:c r="E36" s="69" t="str">
        <x:v>尚未交叉比對</x:v>
      </x:c>
      <x:c r="F36" s="69" t="str">
        <x:v>尚未找到可排除歧義的公開資料</x:v>
      </x:c>
      <x:c r="G36" s="69" t="str">
        <x:v>各廠商合約&amp; 報價\MD檔案\20241017 塑豐 防颱百葉窗.md</x:v>
      </x:c>
      <x:c r="H36" s="69" t="str"/>
    </x:row>
    <x:row r="37">
      <x:c r="A37" s="69" t="str">
        <x:v>SRC030</x:v>
      </x:c>
      <x:c r="B37" s="69" t="str">
        <x:v>文件未載明</x:v>
      </x:c>
      <x:c r="C37" s="69" t="str">
        <x:v>文件未載明</x:v>
      </x:c>
      <x:c r="D37" s="69" t="str"/>
      <x:c r="E37" s="69" t="str">
        <x:v>尚未交叉比對</x:v>
      </x:c>
      <x:c r="F37" s="69" t="str">
        <x:v>尚未找到可排除歧義的公開資料</x:v>
      </x:c>
      <x:c r="G37" s="69" t="str">
        <x:v>各廠商合約&amp; 報價\MD檔案\20241126 塑豐 格柵.md</x:v>
      </x:c>
      <x:c r="H37" s="69" t="str"/>
    </x:row>
    <x:row r="38">
      <x:c r="A38" s="69" t="str">
        <x:v>SRC031</x:v>
      </x:c>
      <x:c r="B38" s="69" t="str">
        <x:v>文件未載明</x:v>
      </x:c>
      <x:c r="C38" s="69" t="str">
        <x:v>文件未載明</x:v>
      </x:c>
      <x:c r="D38" s="69" t="str"/>
      <x:c r="E38" s="69" t="str">
        <x:v>尚未交叉比對</x:v>
      </x:c>
      <x:c r="F38" s="69" t="str">
        <x:v>尚未找到可排除歧義的公開資料</x:v>
      </x:c>
      <x:c r="G38" s="69" t="str">
        <x:v>各廠商合約&amp; 報價\MD檔案\20241211 塑豐 鍍鋅烤漆門 換手把.md</x:v>
      </x:c>
      <x:c r="H38" s="69" t="str"/>
    </x:row>
    <x:row r="39">
      <x:c r="A39" s="69" t="str">
        <x:v>SRC032</x:v>
      </x:c>
      <x:c r="B39" s="69" t="str">
        <x:v>智慧城企業有限公司</x:v>
      </x:c>
      <x:c r="C39" s="69" t="str">
        <x:v>文件未載明</x:v>
      </x:c>
      <x:c r="D39" s="69" t="str">
        <x:v>86781412</x:v>
      </x:c>
      <x:c r="E39" s="69" t="str">
        <x:v>網站補得候選（未回填文件統編）</x:v>
      </x:c>
      <x:c r="F39" s="69" t="str">
        <x:v>公司名與統編一致</x:v>
      </x:c>
      <x:c r="G39" s="69" t="str">
        <x:v>各廠商合約&amp; 報價\MD檔案\20250212 智慧城植草磚、透水磚.md</x:v>
      </x:c>
      <x:c r="H39" s="69" t="str"/>
    </x:row>
    <x:row r="40">
      <x:c r="A40" s="69" t="str">
        <x:v>SRC033</x:v>
      </x:c>
      <x:c r="B40" s="69" t="str">
        <x:v>文件未載明</x:v>
      </x:c>
      <x:c r="C40" s="69" t="str">
        <x:v>文件未載明</x:v>
      </x:c>
      <x:c r="D40" s="69" t="str"/>
      <x:c r="E40" s="69" t="str">
        <x:v>尚未交叉比對</x:v>
      </x:c>
      <x:c r="F40" s="69" t="str">
        <x:v>尚未找到可排除歧義的公開資料</x:v>
      </x:c>
      <x:c r="G40" s="69" t="str">
        <x:v>各廠商合約&amp; 報價\MD檔案\20250220 塑豐 格柵 追加.md</x:v>
      </x:c>
      <x:c r="H40" s="69" t="str"/>
    </x:row>
    <x:row r="41">
      <x:c r="A41" s="69" t="str">
        <x:v>SRC034</x:v>
      </x:c>
      <x:c r="B41" s="69" t="str">
        <x:v>裕苗天然氣股份有限公司</x:v>
      </x:c>
      <x:c r="C41" s="69" t="str">
        <x:v>文件未載明</x:v>
      </x:c>
      <x:c r="D41" s="69" t="str"/>
      <x:c r="E41" s="69" t="str">
        <x:v>尚未交叉比對</x:v>
      </x:c>
      <x:c r="F41" s="69" t="str">
        <x:v>尚未找到可排除歧義的公開資料</x:v>
      </x:c>
      <x:c r="G41" s="69" t="str">
        <x:v>各廠商合約&amp; 報價\MD檔案\20250220 裕苗表內管報價.md</x:v>
      </x:c>
      <x:c r="H41" s="69" t="str"/>
    </x:row>
    <x:row r="42">
      <x:c r="A42" s="69" t="str">
        <x:v>SRC035</x:v>
      </x:c>
      <x:c r="B42" s="69" t="str">
        <x:v>柏加企業股份有限公司</x:v>
      </x:c>
      <x:c r="C42" s="69" t="str">
        <x:v>文件未載明</x:v>
      </x:c>
      <x:c r="D42" s="69" t="str">
        <x:v>16651751</x:v>
      </x:c>
      <x:c r="E42" s="69" t="str">
        <x:v>網站補得候選（未回填文件統編）</x:v>
      </x:c>
      <x:c r="F42" s="69" t="str">
        <x:v>公司名與統編一致</x:v>
      </x:c>
      <x:c r="G42" s="69" t="str">
        <x:v>各廠商合約&amp; 報價\MD檔案\20250506 楠弘柏加 _廚房Grohe伸縮龍頭_.md</x:v>
      </x:c>
      <x:c r="H42" s="69" t="str"/>
    </x:row>
    <x:row r="43">
      <x:c r="A43" s="69" t="str">
        <x:v>SRC036</x:v>
      </x:c>
      <x:c r="B43" s="69" t="str">
        <x:v>柏加企業股份有限公司</x:v>
      </x:c>
      <x:c r="C43" s="69" t="str">
        <x:v>16651751</x:v>
      </x:c>
      <x:c r="D43" s="69" t="str">
        <x:v>16651751</x:v>
      </x:c>
      <x:c r="E43" s="69" t="str">
        <x:v>文件與網站一致</x:v>
      </x:c>
      <x:c r="F43" s="69" t="str">
        <x:v>公司名與統編一致</x:v>
      </x:c>
      <x:c r="G43" s="69" t="str">
        <x:v>各廠商合約&amp; 報價\MD檔案\20250508 楠弘柏加 合約.md</x:v>
      </x:c>
      <x:c r="H43" s="69" t="str"/>
    </x:row>
    <x:row r="44">
      <x:c r="A44" s="69" t="str">
        <x:v>SRC037</x:v>
      </x:c>
      <x:c r="B44" s="69" t="str">
        <x:v>建信自動化有限公司</x:v>
      </x:c>
      <x:c r="C44" s="69" t="str">
        <x:v>23968262</x:v>
      </x:c>
      <x:c r="D44" s="69" t="str">
        <x:v>23968262</x:v>
      </x:c>
      <x:c r="E44" s="69" t="str">
        <x:v>文件與網站一致</x:v>
      </x:c>
      <x:c r="F44" s="69" t="str">
        <x:v>公司名與統編一致</x:v>
      </x:c>
      <x:c r="G44" s="69" t="str">
        <x:v>各廠商合約&amp; 報價\MD檔案\20250514 TOTO 衛浴更新.md</x:v>
      </x:c>
      <x:c r="H44" s="69" t="str"/>
    </x:row>
    <x:row r="45">
      <x:c r="A45" s="69" t="str">
        <x:v>SRC037</x:v>
      </x:c>
      <x:c r="B45" s="69" t="str">
        <x:v>護展股份有限公司</x:v>
      </x:c>
      <x:c r="C45" s="69" t="str">
        <x:v>23968262</x:v>
      </x:c>
      <x:c r="D45" s="69" t="str">
        <x:v>建信自動化有限公司</x:v>
      </x:c>
      <x:c r="E45" s="69" t="str">
        <x:v>文件統編與賣方名稱不一致</x:v>
      </x:c>
      <x:c r="F45" s="69" t="str">
        <x:v>文件統編對應其他已驗證名稱</x:v>
      </x:c>
      <x:c r="G45" s="69" t="str">
        <x:v>各廠商合約&amp; 報價\MD檔案\20250514 TOTO 衛浴更新.md</x:v>
      </x:c>
      <x:c r="H45" s="69" t="str">
        <x:v>保留文件原值，請人工核對角色與統編</x:v>
      </x:c>
    </x:row>
    <x:row r="46">
      <x:c r="A46" s="69" t="str">
        <x:v>SRC037</x:v>
      </x:c>
      <x:c r="B46" s="69" t="str">
        <x:v>晉展股份有限公司</x:v>
      </x:c>
      <x:c r="C46" s="69" t="str">
        <x:v>23968262</x:v>
      </x:c>
      <x:c r="D46" s="69" t="str">
        <x:v>89359135</x:v>
      </x:c>
      <x:c r="E46" s="69" t="str">
        <x:v>文件統編與網站不一致</x:v>
      </x:c>
      <x:c r="F46" s="69" t="str">
        <x:v>公司名與統編一致</x:v>
      </x:c>
      <x:c r="G46" s="69" t="str">
        <x:v>各廠商合約&amp; 報價\MD檔案\20250514 TOTO 衛浴更新.md</x:v>
      </x:c>
      <x:c r="H46" s="69" t="str">
        <x:v>保留文件原值，請人工核對角色與統編</x:v>
      </x:c>
    </x:row>
    <x:row r="47">
      <x:c r="A47" s="69" t="str">
        <x:v>SRC038</x:v>
      </x:c>
      <x:c r="B47" s="69" t="str">
        <x:v>順靖企業有限公司</x:v>
      </x:c>
      <x:c r="C47" s="69" t="str">
        <x:v>文件未載明</x:v>
      </x:c>
      <x:c r="D47" s="69" t="str">
        <x:v>28562277</x:v>
      </x:c>
      <x:c r="E47" s="69" t="str">
        <x:v>網站補得候選（未回填文件統編）</x:v>
      </x:c>
      <x:c r="F47" s="69" t="str">
        <x:v>公司名與統編一致</x:v>
      </x:c>
      <x:c r="G47" s="69" t="str">
        <x:v>各廠商合約&amp; 報價\MD檔案\20250807 順靖 玻璃修復.md</x:v>
      </x:c>
      <x:c r="H47" s="69" t="str"/>
    </x:row>
    <x:row r="48">
      <x:c r="A48" s="69" t="str">
        <x:v>SRC039</x:v>
      </x:c>
      <x:c r="B48" s="69" t="str">
        <x:v>宇勝工程行</x:v>
      </x:c>
      <x:c r="C48" s="69" t="str">
        <x:v>文件未載明</x:v>
      </x:c>
      <x:c r="D48" s="69" t="str"/>
      <x:c r="E48" s="69" t="str">
        <x:v>尚未交叉比對</x:v>
      </x:c>
      <x:c r="F48" s="69" t="str">
        <x:v>尚未找到可排除歧義的公開資料</x:v>
      </x:c>
      <x:c r="G48" s="69" t="str">
        <x:v>各廠商合約&amp; 報價\MD檔案\20250922宇勝工程行-水電報價單.md</x:v>
      </x:c>
      <x:c r="H48" s="69" t="str"/>
    </x:row>
    <x:row r="49">
      <x:c r="A49" s="69" t="str">
        <x:v>SRC040</x:v>
      </x:c>
      <x:c r="B49" s="69" t="str">
        <x:v>晶鼎鐳射工業股份有限公司</x:v>
      </x:c>
      <x:c r="C49" s="69" t="str">
        <x:v>文件未載明</x:v>
      </x:c>
      <x:c r="D49" s="69" t="str">
        <x:v>91056559</x:v>
      </x:c>
      <x:c r="E49" s="69" t="str">
        <x:v>網站補得候選（未回填文件統編）</x:v>
      </x:c>
      <x:c r="F49" s="69" t="str">
        <x:v>名稱與文件地址一致</x:v>
      </x:c>
      <x:c r="G49" s="69" t="str">
        <x:v>各廠商合約&amp; 報價\MD檔案\20250922晶鼎鐳射-電梯門框包版報價單.md</x:v>
      </x:c>
      <x:c r="H49" s="69" t="str"/>
    </x:row>
    <x:row r="50">
      <x:c r="A50" s="69" t="str">
        <x:v>SRC041</x:v>
      </x:c>
      <x:c r="B50" s="69" t="str">
        <x:v>山源工程行</x:v>
      </x:c>
      <x:c r="C50" s="69" t="str">
        <x:v>文件未載明</x:v>
      </x:c>
      <x:c r="D50" s="69" t="str"/>
      <x:c r="E50" s="69" t="str">
        <x:v>尚未交叉比對</x:v>
      </x:c>
      <x:c r="F50" s="69" t="str">
        <x:v>尚未找到可排除歧義的公開資料</x:v>
      </x:c>
      <x:c r="G50" s="69" t="str">
        <x:v>各廠商合約&amp; 報價\MD檔案\20250923山源工程行-2樓陽台地坪防水工程報價單.md</x:v>
      </x:c>
      <x:c r="H50" s="69" t="str"/>
    </x:row>
    <x:row r="51">
      <x:c r="A51" s="69" t="str">
        <x:v>SRC042</x:v>
      </x:c>
      <x:c r="B51" s="69" t="str">
        <x:v>偉茗盛有限公司</x:v>
      </x:c>
      <x:c r="C51" s="69" t="str">
        <x:v>文件未載明</x:v>
      </x:c>
      <x:c r="D51" s="69" t="str"/>
      <x:c r="E51" s="69" t="str">
        <x:v>尚未交叉比對</x:v>
      </x:c>
      <x:c r="F51" s="69" t="str">
        <x:v>尚未找到可排除歧義的公開資料</x:v>
      </x:c>
      <x:c r="G51" s="69" t="str">
        <x:v>各廠商合約&amp; 報價\MD檔案\20251016電箱報價單回傳.md</x:v>
      </x:c>
      <x:c r="H51" s="69" t="str"/>
    </x:row>
    <x:row r="52">
      <x:c r="A52" s="69" t="str">
        <x:v>SRC043</x:v>
      </x:c>
      <x:c r="B52" s="69" t="str">
        <x:v>達成鑫鋼鐵股份有限公司</x:v>
      </x:c>
      <x:c r="C52" s="69" t="str">
        <x:v>文件未載明</x:v>
      </x:c>
      <x:c r="D52" s="69" t="str"/>
      <x:c r="E52" s="69" t="str">
        <x:v>尚未交叉比對</x:v>
      </x:c>
      <x:c r="F52" s="69" t="str">
        <x:v>尚未找到可排除歧義的公開資料</x:v>
      </x:c>
      <x:c r="G52" s="69" t="str">
        <x:v>各廠商合約&amp; 報價\MD檔案\20251022達成鑫-竹節鋼筋報價單回傳.md</x:v>
      </x:c>
      <x:c r="H52" s="69" t="str"/>
    </x:row>
    <x:row r="53">
      <x:c r="A53" s="69" t="str">
        <x:v>SRC044</x:v>
      </x:c>
      <x:c r="B53" s="69" t="str">
        <x:v>台灣吉田智能科技衛浴有限公司</x:v>
      </x:c>
      <x:c r="C53" s="69" t="str">
        <x:v>文件未載明</x:v>
      </x:c>
      <x:c r="D53" s="69" t="str">
        <x:v>27504291</x:v>
      </x:c>
      <x:c r="E53" s="69" t="str">
        <x:v>網站補得候選（未回填文件統編）</x:v>
      </x:c>
      <x:c r="F53" s="69" t="str">
        <x:v>公司官網名稱一致；統編另見公開資料</x:v>
      </x:c>
      <x:c r="G53" s="69" t="str">
        <x:v>各廠商合約&amp; 報價\MD檔案\20251030台灣吉田智能科技衛浴報價單回傳.md</x:v>
      </x:c>
      <x:c r="H53" s="69" t="str"/>
    </x:row>
    <x:row r="54">
      <x:c r="A54" s="69" t="str">
        <x:v>SRC046</x:v>
      </x:c>
      <x:c r="B54" s="69" t="str">
        <x:v>菊水利諾工程股份有限公司</x:v>
      </x:c>
      <x:c r="C54" s="69" t="str">
        <x:v>60680548</x:v>
      </x:c>
      <x:c r="D54" s="69" t="str">
        <x:v>60680548</x:v>
      </x:c>
      <x:c r="E54" s="69" t="str">
        <x:v>文件與網站一致</x:v>
      </x:c>
      <x:c r="F54" s="69" t="str">
        <x:v>公司名與統編一致</x:v>
      </x:c>
      <x:c r="G54" s="69" t="str">
        <x:v>各廠商合約&amp; 報價\MD檔案\20251030向上拾壹間新建工程菊水利諾合約回傳.md</x:v>
      </x:c>
      <x:c r="H54" s="69" t="str"/>
    </x:row>
    <x:row r="55">
      <x:c r="A55" s="69" t="str">
        <x:v>SRC045</x:v>
      </x:c>
      <x:c r="B55" s="69" t="str">
        <x:v>文件未載明</x:v>
      </x:c>
      <x:c r="C55" s="69" t="str">
        <x:v>文件未載明</x:v>
      </x:c>
      <x:c r="D55" s="69" t="str"/>
      <x:c r="E55" s="69" t="str">
        <x:v>尚未交叉比對</x:v>
      </x:c>
      <x:c r="F55" s="69" t="str">
        <x:v>尚未找到可排除歧義的公開資料</x:v>
      </x:c>
      <x:c r="G55" s="69" t="str">
        <x:v>各廠商合約&amp; 報價\MD檔案\20251030永富工程-圍牆報價單回傳.md</x:v>
      </x:c>
      <x:c r="H55" s="69" t="str"/>
    </x:row>
    <x:row r="56">
      <x:c r="A56" s="69" t="str">
        <x:v>SRC047</x:v>
      </x:c>
      <x:c r="B56" s="69" t="str">
        <x:v>升駿工程行</x:v>
      </x:c>
      <x:c r="C56" s="69" t="str">
        <x:v>88487267</x:v>
      </x:c>
      <x:c r="D56" s="69" t="str">
        <x:v>88487267</x:v>
      </x:c>
      <x:c r="E56" s="69" t="str">
        <x:v>文件與網站一致</x:v>
      </x:c>
      <x:c r="F56" s="69" t="str">
        <x:v>公司名與統編一致</x:v>
      </x:c>
      <x:c r="G56" s="69" t="str">
        <x:v>各廠商合約&amp; 報價\MD檔案\20251104升駿工程報價單回傳.md</x:v>
      </x:c>
      <x:c r="H56" s="69" t="str"/>
    </x:row>
    <x:row r="57">
      <x:c r="A57" s="69" t="str">
        <x:v>SRC048</x:v>
      </x:c>
      <x:c r="B57" s="69" t="str">
        <x:v>山源工程行</x:v>
      </x:c>
      <x:c r="C57" s="69" t="str">
        <x:v>文件未載明</x:v>
      </x:c>
      <x:c r="D57" s="69" t="str"/>
      <x:c r="E57" s="69" t="str">
        <x:v>尚未交叉比對</x:v>
      </x:c>
      <x:c r="F57" s="69" t="str">
        <x:v>尚未找到可排除歧義的公開資料</x:v>
      </x:c>
      <x:c r="G57" s="69" t="str">
        <x:v>各廠商合約&amp; 報價\MD檔案\20251106山源工程-清水模潑水劑報價單回傳.md</x:v>
      </x:c>
      <x:c r="H57" s="69" t="str"/>
    </x:row>
    <x:row r="58">
      <x:c r="A58" s="69" t="str">
        <x:v>SRC049</x:v>
      </x:c>
      <x:c r="B58" s="69" t="str">
        <x:v>昶盛製網有限公司</x:v>
      </x:c>
      <x:c r="C58" s="69" t="str">
        <x:v>文件未載明</x:v>
      </x:c>
      <x:c r="D58" s="69" t="str"/>
      <x:c r="E58" s="69" t="str">
        <x:v>尚未交叉比對</x:v>
      </x:c>
      <x:c r="F58" s="69" t="str">
        <x:v>尚未找到可排除歧義的公開資料</x:v>
      </x:c>
      <x:c r="G58" s="69" t="str">
        <x:v>各廠商合約&amp; 報價\MD檔案\20251106昶盛製網-鋼線網報價單回傳.md</x:v>
      </x:c>
      <x:c r="H58" s="69" t="str"/>
    </x:row>
    <x:row r="59">
      <x:c r="A59" s="69" t="str">
        <x:v>SRC050</x:v>
      </x:c>
      <x:c r="B59" s="69" t="str">
        <x:v>晏成工程有限公司</x:v>
      </x:c>
      <x:c r="C59" s="69" t="str">
        <x:v>文件未載明</x:v>
      </x:c>
      <x:c r="D59" s="69" t="str"/>
      <x:c r="E59" s="69" t="str">
        <x:v>尚未交叉比對</x:v>
      </x:c>
      <x:c r="F59" s="69" t="str">
        <x:v>尚未找到可排除歧義的公開資料</x:v>
      </x:c>
      <x:c r="G59" s="69" t="str">
        <x:v>各廠商合約&amp; 報價\MD檔案\20251110晏成工程-鷹架報價單回傳.md</x:v>
      </x:c>
      <x:c r="H59" s="69" t="str"/>
    </x:row>
    <x:row r="60">
      <x:c r="A60" s="69" t="str">
        <x:v>SRC051</x:v>
      </x:c>
      <x:c r="B60" s="69" t="str">
        <x:v>卉鄉景觀工程有限公司</x:v>
      </x:c>
      <x:c r="C60" s="69" t="str">
        <x:v>12981767</x:v>
      </x:c>
      <x:c r="D60" s="69" t="str">
        <x:v>12981767</x:v>
      </x:c>
      <x:c r="E60" s="69" t="str">
        <x:v>文件與網站一致</x:v>
      </x:c>
      <x:c r="F60" s="69" t="str">
        <x:v>公司名與統編一致</x:v>
      </x:c>
      <x:c r="G60" s="69" t="str">
        <x:v>各廠商合約&amp; 報價\MD檔案\20251118卉鄉景觀-喬木移植報價單回傳.md</x:v>
      </x:c>
      <x:c r="H60" s="69" t="str"/>
    </x:row>
    <x:row r="61">
      <x:c r="A61" s="69" t="str">
        <x:v>SRC053</x:v>
      </x:c>
      <x:c r="B61" s="69" t="str">
        <x:v>錦祥工程行</x:v>
      </x:c>
      <x:c r="C61" s="69" t="str">
        <x:v>文件未載明</x:v>
      </x:c>
      <x:c r="D61" s="69" t="str"/>
      <x:c r="E61" s="69" t="str">
        <x:v>尚未交叉比對</x:v>
      </x:c>
      <x:c r="F61" s="69" t="str">
        <x:v>尚未找到可排除歧義的公開資料</x:v>
      </x:c>
      <x:c r="G61" s="69" t="str">
        <x:v>各廠商合約&amp; 報價\MD檔案\20251121錦祥工程-隔間報價單回傳.md</x:v>
      </x:c>
      <x:c r="H61" s="69" t="str"/>
    </x:row>
    <x:row r="62">
      <x:c r="A62" s="69" t="str">
        <x:v>SRC052</x:v>
      </x:c>
      <x:c r="B62" s="69" t="str">
        <x:v>長陽企業社</x:v>
      </x:c>
      <x:c r="C62" s="69" t="str">
        <x:v>文件未載明</x:v>
      </x:c>
      <x:c r="D62" s="69" t="str">
        <x:v>73838835</x:v>
      </x:c>
      <x:c r="E62" s="69" t="str">
        <x:v>網站補得候選（未回填文件統編）</x:v>
      </x:c>
      <x:c r="F62" s="69" t="str">
        <x:v>公司名與統編一致</x:v>
      </x:c>
      <x:c r="G62" s="69" t="str">
        <x:v>各廠商合約&amp; 報價\MD檔案\20251121長陽企業-格來得鐵捲門報價單回傳.md</x:v>
      </x:c>
      <x:c r="H62" s="69" t="str"/>
    </x:row>
    <x:row r="63">
      <x:c r="A63" s="69" t="str">
        <x:v>SRC054</x:v>
      </x:c>
      <x:c r="B63" s="69" t="str">
        <x:v>百鴻工程行</x:v>
      </x:c>
      <x:c r="C63" s="69" t="str">
        <x:v>文件未載明</x:v>
      </x:c>
      <x:c r="D63" s="69" t="str"/>
      <x:c r="E63" s="69" t="str">
        <x:v>尚未交叉比對</x:v>
      </x:c>
      <x:c r="F63" s="69" t="str">
        <x:v>尚未找到可排除歧義的公開資料</x:v>
      </x:c>
      <x:c r="G63" s="69" t="str">
        <x:v>各廠商合約&amp; 報價\MD檔案\20251124百鴻工程-陽台修補報價單回傳.md</x:v>
      </x:c>
      <x:c r="H63" s="69" t="str"/>
    </x:row>
    <x:row r="64">
      <x:c r="A64" s="69" t="str">
        <x:v>SRC057</x:v>
      </x:c>
      <x:c r="B64" s="69" t="str">
        <x:v>晉展股份有限公司</x:v>
      </x:c>
      <x:c r="C64" s="69" t="str">
        <x:v>文件未載明</x:v>
      </x:c>
      <x:c r="D64" s="69" t="str">
        <x:v>89359135</x:v>
      </x:c>
      <x:c r="E64" s="69" t="str">
        <x:v>網站補得候選（未回填文件統編）</x:v>
      </x:c>
      <x:c r="F64" s="69" t="str">
        <x:v>公司名與統編一致</x:v>
      </x:c>
      <x:c r="G64" s="69" t="str">
        <x:v>各廠商合約&amp; 報價\MD檔案\20251203TOTO-衛浴報價單回傳.md</x:v>
      </x:c>
      <x:c r="H64" s="69" t="str"/>
    </x:row>
    <x:row r="65">
      <x:c r="A65" s="69" t="str">
        <x:v>SRC057</x:v>
      </x:c>
      <x:c r="B65" s="69" t="str">
        <x:v>建信自動化有限公司</x:v>
      </x:c>
      <x:c r="C65" s="69" t="str">
        <x:v>文件未載明</x:v>
      </x:c>
      <x:c r="D65" s="69" t="str">
        <x:v>23968262</x:v>
      </x:c>
      <x:c r="E65" s="69" t="str">
        <x:v>網站補得候選（未回填文件統編）</x:v>
      </x:c>
      <x:c r="F65" s="69" t="str">
        <x:v>公司名與統編一致</x:v>
      </x:c>
      <x:c r="G65" s="69" t="str">
        <x:v>各廠商合約&amp; 報價\MD檔案\20251203TOTO-衛浴報價單回傳.md</x:v>
      </x:c>
      <x:c r="H65" s="69" t="str"/>
    </x:row>
    <x:row r="66">
      <x:c r="A66" s="69" t="str">
        <x:v>SRC057</x:v>
      </x:c>
      <x:c r="B66" s="69" t="str">
        <x:v>畏展股份有限公司</x:v>
      </x:c>
      <x:c r="C66" s="69" t="str">
        <x:v>文件未載明</x:v>
      </x:c>
      <x:c r="D66" s="69" t="str"/>
      <x:c r="E66" s="69" t="str">
        <x:v>尚未交叉比對</x:v>
      </x:c>
      <x:c r="F66" s="69" t="str">
        <x:v>尚未找到可排除歧義的公開資料</x:v>
      </x:c>
      <x:c r="G66" s="69" t="str">
        <x:v>各廠商合約&amp; 報價\MD檔案\20251203TOTO-衛浴報價單回傳.md</x:v>
      </x:c>
      <x:c r="H66" s="69" t="str"/>
    </x:row>
    <x:row r="67">
      <x:c r="A67" s="69" t="str">
        <x:v>SRC055</x:v>
      </x:c>
      <x:c r="B67" s="69" t="str">
        <x:v>安翊企業股份有限公司</x:v>
      </x:c>
      <x:c r="C67" s="69" t="str">
        <x:v>文件未載明</x:v>
      </x:c>
      <x:c r="D67" s="69" t="str"/>
      <x:c r="E67" s="69" t="str">
        <x:v>尚未交叉比對</x:v>
      </x:c>
      <x:c r="F67" s="69" t="str">
        <x:v>尚未找到可排除歧義的公開資料</x:v>
      </x:c>
      <x:c r="G67" s="69" t="str">
        <x:v>各廠商合約&amp; 報價\MD檔案\20251203安翊-滴水條報價單回傳.md</x:v>
      </x:c>
      <x:c r="H67" s="69" t="str"/>
    </x:row>
    <x:row r="68">
      <x:c r="A68" s="69" t="str">
        <x:v>SRC056</x:v>
      </x:c>
      <x:c r="B68" s="69" t="str">
        <x:v>長陽企業社</x:v>
      </x:c>
      <x:c r="C68" s="69" t="str">
        <x:v>文件未載明</x:v>
      </x:c>
      <x:c r="D68" s="69" t="str">
        <x:v>73838835</x:v>
      </x:c>
      <x:c r="E68" s="69" t="str">
        <x:v>網站補得候選（未回填文件統編）</x:v>
      </x:c>
      <x:c r="F68" s="69" t="str">
        <x:v>公司名與統編一致</x:v>
      </x:c>
      <x:c r="G68" s="69" t="str">
        <x:v>各廠商合約&amp; 報價\MD檔案\20251203長陽企業-格來得鐵捲門報價單回傳.md</x:v>
      </x:c>
      <x:c r="H68" s="69" t="str"/>
    </x:row>
    <x:row r="69">
      <x:c r="A69" s="69" t="str">
        <x:v>SRC058</x:v>
      </x:c>
      <x:c r="B69" s="69" t="str">
        <x:v>長陽企業社</x:v>
      </x:c>
      <x:c r="C69" s="69" t="str">
        <x:v>文件未載明</x:v>
      </x:c>
      <x:c r="D69" s="69" t="str">
        <x:v>73838835</x:v>
      </x:c>
      <x:c r="E69" s="69" t="str">
        <x:v>網站補得候選（未回填文件統編）</x:v>
      </x:c>
      <x:c r="F69" s="69" t="str">
        <x:v>公司名與統編一致</x:v>
      </x:c>
      <x:c r="G69" s="69" t="str">
        <x:v>各廠商合約&amp; 報價\MD檔案\20251204長陽企業-格來得鐵捲門報價單回傳.md</x:v>
      </x:c>
      <x:c r="H69" s="69" t="str"/>
    </x:row>
    <x:row r="70">
      <x:c r="A70" s="69" t="str">
        <x:v>SRC059</x:v>
      </x:c>
      <x:c r="B70" s="69" t="str">
        <x:v>文件未載明</x:v>
      </x:c>
      <x:c r="C70" s="69" t="str">
        <x:v>文件未載明</x:v>
      </x:c>
      <x:c r="D70" s="69" t="str"/>
      <x:c r="E70" s="69" t="str">
        <x:v>尚未交叉比對</x:v>
      </x:c>
      <x:c r="F70" s="69" t="str">
        <x:v>尚未找到可排除歧義的公開資料</x:v>
      </x:c>
      <x:c r="G70" s="69" t="str">
        <x:v>各廠商合約&amp; 報價\MD檔案\20251205上順家-壓花地坪報價單回傳.md</x:v>
      </x:c>
      <x:c r="H70" s="69" t="str"/>
    </x:row>
    <x:row r="71">
      <x:c r="A71" s="69" t="str">
        <x:v>SRC060</x:v>
      </x:c>
      <x:c r="B71" s="69" t="str">
        <x:v>浩森專業清潔工作室</x:v>
      </x:c>
      <x:c r="C71" s="69" t="str">
        <x:v>94480447</x:v>
      </x:c>
      <x:c r="D71" s="69" t="str">
        <x:v>94480447</x:v>
      </x:c>
      <x:c r="E71" s="69" t="str">
        <x:v>文件與網站一致</x:v>
      </x:c>
      <x:c r="F71" s="69" t="str">
        <x:v>公司名與統編一致</x:v>
      </x:c>
      <x:c r="G71" s="69" t="str">
        <x:v>各廠商合約&amp; 報價\MD檔案\20251211浩森-細清報價單回傳.md</x:v>
      </x:c>
      <x:c r="H71" s="69" t="str"/>
    </x:row>
    <x:row r="72">
      <x:c r="A72" s="69" t="str">
        <x:v>SRC061</x:v>
      </x:c>
      <x:c r="B72" s="69" t="str">
        <x:v>建信自動化有限公司</x:v>
      </x:c>
      <x:c r="C72" s="69" t="str">
        <x:v>23968262</x:v>
      </x:c>
      <x:c r="D72" s="69" t="str">
        <x:v>23968262</x:v>
      </x:c>
      <x:c r="E72" s="69" t="str">
        <x:v>文件與網站一致</x:v>
      </x:c>
      <x:c r="F72" s="69" t="str">
        <x:v>公司名與統編一致</x:v>
      </x:c>
      <x:c r="G72" s="69" t="str">
        <x:v>各廠商合約&amp; 報價\MD檔案\20251222TOTO-衛浴報價單回傳.md</x:v>
      </x:c>
      <x:c r="H72" s="69" t="str"/>
    </x:row>
    <x:row r="73">
      <x:c r="A73" s="69" t="str">
        <x:v>SRC061</x:v>
      </x:c>
      <x:c r="B73" s="69" t="str">
        <x:v>番展股份有限公司</x:v>
      </x:c>
      <x:c r="C73" s="69" t="str">
        <x:v>23968262</x:v>
      </x:c>
      <x:c r="D73" s="69" t="str">
        <x:v>建信自動化有限公司</x:v>
      </x:c>
      <x:c r="E73" s="69" t="str">
        <x:v>文件統編與賣方名稱不一致</x:v>
      </x:c>
      <x:c r="F73" s="69" t="str">
        <x:v>文件統編對應其他已驗證名稱</x:v>
      </x:c>
      <x:c r="G73" s="69" t="str">
        <x:v>各廠商合約&amp; 報價\MD檔案\20251222TOTO-衛浴報價單回傳.md</x:v>
      </x:c>
      <x:c r="H73" s="69" t="str">
        <x:v>保留文件原值，請人工核對角色與統編</x:v>
      </x:c>
    </x:row>
    <x:row r="74">
      <x:c r="A74" s="69" t="str">
        <x:v>SRC061</x:v>
      </x:c>
      <x:c r="B74" s="69" t="str">
        <x:v>晉展股份有限公司</x:v>
      </x:c>
      <x:c r="C74" s="69" t="str">
        <x:v>23968262</x:v>
      </x:c>
      <x:c r="D74" s="69" t="str">
        <x:v>89359135</x:v>
      </x:c>
      <x:c r="E74" s="69" t="str">
        <x:v>文件統編與網站不一致</x:v>
      </x:c>
      <x:c r="F74" s="69" t="str">
        <x:v>公司名與統編一致</x:v>
      </x:c>
      <x:c r="G74" s="69" t="str">
        <x:v>各廠商合約&amp; 報價\MD檔案\20251222TOTO-衛浴報價單回傳.md</x:v>
      </x:c>
      <x:c r="H74" s="69" t="str">
        <x:v>保留文件原值，請人工核對角色與統編</x:v>
      </x:c>
    </x:row>
    <x:row r="75">
      <x:c r="A75" s="69" t="str">
        <x:v>SRC062</x:v>
      </x:c>
      <x:c r="B75" s="69" t="str">
        <x:v>塑豐實業股份有限公司</x:v>
      </x:c>
      <x:c r="C75" s="69" t="str">
        <x:v>22665579</x:v>
      </x:c>
      <x:c r="D75" s="69" t="str">
        <x:v>22665579</x:v>
      </x:c>
      <x:c r="E75" s="69" t="str">
        <x:v>文件與網站一致</x:v>
      </x:c>
      <x:c r="F75" s="69" t="str">
        <x:v>公司名與統編一致</x:v>
      </x:c>
      <x:c r="G75" s="69" t="str">
        <x:v>各廠商合約&amp; 報價\MD檔案\20260108塑豐-一樓追加報價單回傳.md</x:v>
      </x:c>
      <x:c r="H75" s="69" t="str"/>
    </x:row>
    <x:row r="76">
      <x:c r="A76" s="69" t="str">
        <x:v>SRC063</x:v>
      </x:c>
      <x:c r="B76" s="69" t="str">
        <x:v>全鑫企業社</x:v>
      </x:c>
      <x:c r="C76" s="69" t="str">
        <x:v>文件未載明</x:v>
      </x:c>
      <x:c r="D76" s="69" t="str"/>
      <x:c r="E76" s="69" t="str">
        <x:v>尚未交叉比對</x:v>
      </x:c>
      <x:c r="F76" s="69" t="str">
        <x:v>尚未找到可排除歧義的公開資料</x:v>
      </x:c>
      <x:c r="G76" s="69" t="str">
        <x:v>各廠商合約&amp; 報價\MD檔案\20260127 全鑫-採光罩.md</x:v>
      </x:c>
      <x:c r="H76" s="69" t="str"/>
    </x:row>
    <x:row r="77">
      <x:c r="A77" s="69" t="str">
        <x:v>SRC064</x:v>
      </x:c>
      <x:c r="B77" s="69" t="str">
        <x:v>塑豐實業股份有限公司</x:v>
      </x:c>
      <x:c r="C77" s="69" t="str">
        <x:v>文件未載明</x:v>
      </x:c>
      <x:c r="D77" s="69" t="str">
        <x:v>22665579</x:v>
      </x:c>
      <x:c r="E77" s="69" t="str">
        <x:v>網站補得候選（未回填文件統編）</x:v>
      </x:c>
      <x:c r="F77" s="69" t="str">
        <x:v>公司名與統編一致</x:v>
      </x:c>
      <x:c r="G77" s="69" t="str">
        <x:v>各廠商合約&amp; 報價\MD檔案\20260212 塑豐 瓦斯鋁格柵追加.md</x:v>
      </x:c>
      <x:c r="H77" s="69" t="str"/>
    </x:row>
    <x:row r="78">
      <x:c r="A78" s="69" t="str">
        <x:v>SRC065</x:v>
      </x:c>
      <x:c r="B78" s="69" t="str">
        <x:v>墨砌實業有限公司</x:v>
      </x:c>
      <x:c r="C78" s="69" t="str">
        <x:v>文件未載明</x:v>
      </x:c>
      <x:c r="D78" s="69" t="str"/>
      <x:c r="E78" s="69" t="str">
        <x:v>尚未交叉比對</x:v>
      </x:c>
      <x:c r="F78" s="69" t="str">
        <x:v>尚未找到可排除歧義的公開資料</x:v>
      </x:c>
      <x:c r="G78" s="69" t="str">
        <x:v>各廠商合約&amp; 報價\MD檔案\20260225 太格 客變木地板.md</x:v>
      </x:c>
      <x:c r="H78" s="69" t="str"/>
    </x:row>
    <x:row r="79">
      <x:c r="A79" s="69" t="str">
        <x:v>SRC066</x:v>
      </x:c>
      <x:c r="B79" s="69" t="str">
        <x:v>山城裝潢工程行</x:v>
      </x:c>
      <x:c r="C79" s="69" t="str">
        <x:v>文件未載明</x:v>
      </x:c>
      <x:c r="D79" s="69" t="str"/>
      <x:c r="E79" s="69" t="str">
        <x:v>尚未交叉比對</x:v>
      </x:c>
      <x:c r="F79" s="69" t="str">
        <x:v>尚未找到可排除歧義的公開資料</x:v>
      </x:c>
      <x:c r="G79" s="69" t="str">
        <x:v>各廠商合約&amp; 報價\MD檔案\20260312 公設電箱木作封牆.md</x:v>
      </x:c>
      <x:c r="H79" s="69" t="str"/>
    </x:row>
    <x:row r="80">
      <x:c r="A80" s="69" t="str">
        <x:v>SRC068</x:v>
      </x:c>
      <x:c r="B80" s="69" t="str">
        <x:v>全鑫企業社</x:v>
      </x:c>
      <x:c r="C80" s="69" t="str">
        <x:v>文件未載明</x:v>
      </x:c>
      <x:c r="D80" s="69" t="str"/>
      <x:c r="E80" s="69" t="str">
        <x:v>尚未交叉比對</x:v>
      </x:c>
      <x:c r="F80" s="69" t="str">
        <x:v>尚未找到可排除歧義的公開資料</x:v>
      </x:c>
      <x:c r="G80" s="69" t="str">
        <x:v>各廠商合約&amp; 報價\MD檔案\20260317 全鑫 採光罩玻璃.md</x:v>
      </x:c>
      <x:c r="H80" s="69" t="str"/>
    </x:row>
    <x:row r="81">
      <x:c r="A81" s="69" t="str">
        <x:v>SRC067</x:v>
      </x:c>
      <x:c r="B81" s="69" t="str">
        <x:v>全鑫企業社</x:v>
      </x:c>
      <x:c r="C81" s="69" t="str">
        <x:v>文件未載明</x:v>
      </x:c>
      <x:c r="D81" s="69" t="str"/>
      <x:c r="E81" s="69" t="str">
        <x:v>尚未交叉比對</x:v>
      </x:c>
      <x:c r="F81" s="69" t="str">
        <x:v>尚未找到可排除歧義的公開資料</x:v>
      </x:c>
      <x:c r="G81" s="69" t="str">
        <x:v>各廠商合約&amp; 報價\MD檔案\20260317 全鑫 浪板更換.md</x:v>
      </x:c>
      <x:c r="H81" s="69" t="str"/>
    </x:row>
    <x:row r="82">
      <x:c r="A82" s="69" t="str">
        <x:v>SRC069</x:v>
      </x:c>
      <x:c r="B82" s="69" t="str">
        <x:v>塑豐實業股份有限公司</x:v>
      </x:c>
      <x:c r="C82" s="69" t="str">
        <x:v>文件未載明</x:v>
      </x:c>
      <x:c r="D82" s="69" t="str">
        <x:v>22665579</x:v>
      </x:c>
      <x:c r="E82" s="69" t="str">
        <x:v>網站補得候選（未回填文件統編）</x:v>
      </x:c>
      <x:c r="F82" s="69" t="str">
        <x:v>公司名與統編一致</x:v>
      </x:c>
      <x:c r="G82" s="69" t="str">
        <x:v>各廠商合約&amp; 報價\MD檔案\20260317 塑豐 瓦斯錶格柵.md</x:v>
      </x:c>
      <x:c r="H82" s="69" t="str"/>
    </x:row>
    <x:row r="83">
      <x:c r="A83" s="69" t="str">
        <x:v>SRC070</x:v>
      </x:c>
      <x:c r="B83" s="69" t="str">
        <x:v>文件未載明</x:v>
      </x:c>
      <x:c r="C83" s="69" t="str">
        <x:v>文件未載明</x:v>
      </x:c>
      <x:c r="D83" s="69" t="str"/>
      <x:c r="E83" s="69" t="str">
        <x:v>尚未交叉比對</x:v>
      </x:c>
      <x:c r="F83" s="69" t="str">
        <x:v>尚未找到可排除歧義的公開資料</x:v>
      </x:c>
      <x:c r="G83" s="69" t="str">
        <x:v>各廠商合約&amp; 報價\MD檔案\20260319 太子種苗 狼尾草.md</x:v>
      </x:c>
      <x:c r="H83" s="69" t="str"/>
    </x:row>
    <x:row r="84">
      <x:c r="A84" s="69" t="str">
        <x:v>SRC071</x:v>
      </x:c>
      <x:c r="B84" s="69" t="str">
        <x:v>全鑫企業社</x:v>
      </x:c>
      <x:c r="C84" s="69" t="str">
        <x:v>文件未載明</x:v>
      </x:c>
      <x:c r="D84" s="69" t="str"/>
      <x:c r="E84" s="69" t="str">
        <x:v>尚未交叉比對</x:v>
      </x:c>
      <x:c r="F84" s="69" t="str">
        <x:v>尚未找到可排除歧義的公開資料</x:v>
      </x:c>
      <x:c r="G84" s="69" t="str">
        <x:v>各廠商合約&amp; 報價\MD檔案\20260401 全鑫 圍籬.md</x:v>
      </x:c>
      <x:c r="H84" s="69" t="str"/>
    </x:row>
    <x:row r="85">
      <x:c r="A85" s="69" t="str">
        <x:v>SRC072</x:v>
      </x:c>
      <x:c r="B85" s="69" t="str">
        <x:v>智慧城企業有限公司</x:v>
      </x:c>
      <x:c r="C85" s="69" t="str">
        <x:v>86781412</x:v>
      </x:c>
      <x:c r="D85" s="69" t="str">
        <x:v>86781412</x:v>
      </x:c>
      <x:c r="E85" s="69" t="str">
        <x:v>文件與網站一致</x:v>
      </x:c>
      <x:c r="F85" s="69" t="str">
        <x:v>公司名與統編一致</x:v>
      </x:c>
      <x:c r="G85" s="69" t="str">
        <x:v>各廠商合約&amp; 報價\MD檔案\20260402花台磚.md</x:v>
      </x:c>
      <x:c r="H85" s="69" t="str"/>
    </x:row>
    <x:row r="86">
      <x:c r="A86" s="69" t="str">
        <x:v>SRC073</x:v>
      </x:c>
      <x:c r="B86" s="69" t="str">
        <x:v>智慧城企業有限公司</x:v>
      </x:c>
      <x:c r="C86" s="69" t="str">
        <x:v>文件未載明</x:v>
      </x:c>
      <x:c r="D86" s="69" t="str">
        <x:v>86781412</x:v>
      </x:c>
      <x:c r="E86" s="69" t="str">
        <x:v>網站補得候選（未回填文件統編）</x:v>
      </x:c>
      <x:c r="F86" s="69" t="str">
        <x:v>公司名與統編一致</x:v>
      </x:c>
      <x:c r="G86" s="69" t="str">
        <x:v>各廠商合約&amp; 報價\MD檔案\20260408 智慧城 花台磚.md</x:v>
      </x:c>
      <x:c r="H86" s="69" t="str"/>
    </x:row>
    <x:row r="87">
      <x:c r="A87" s="69" t="str">
        <x:v>SRC074</x:v>
      </x:c>
      <x:c r="B87" s="69" t="str">
        <x:v>茗匠空間設計</x:v>
      </x:c>
      <x:c r="C87" s="69" t="str">
        <x:v>文件未載明</x:v>
      </x:c>
      <x:c r="D87" s="69" t="str"/>
      <x:c r="E87" s="69" t="str">
        <x:v>尚未交叉比對</x:v>
      </x:c>
      <x:c r="F87" s="69" t="str">
        <x:v>尚未找到可排除歧義的公開資料</x:v>
      </x:c>
      <x:c r="G87" s="69" t="str">
        <x:v>各廠商合約&amp; 報價\MD檔案\20260422 工務所裝潢合約.報價.md</x:v>
      </x:c>
      <x:c r="H87" s="69" t="str"/>
    </x:row>
    <x:row r="88">
      <x:c r="A88" s="69" t="str">
        <x:v>SRC074</x:v>
      </x:c>
      <x:c r="B88" s="69" t="str">
        <x:v>茗匠有限公司</x:v>
      </x:c>
      <x:c r="C88" s="69" t="str">
        <x:v>文件未載明</x:v>
      </x:c>
      <x:c r="D88" s="69" t="str"/>
      <x:c r="E88" s="69" t="str">
        <x:v>尚未交叉比對</x:v>
      </x:c>
      <x:c r="F88" s="69" t="str">
        <x:v>尚未找到可排除歧義的公開資料</x:v>
      </x:c>
      <x:c r="G88" s="69" t="str">
        <x:v>各廠商合約&amp; 報價\MD檔案\20260422 工務所裝潢合約.報價.md</x:v>
      </x:c>
      <x:c r="H88" s="69" t="str"/>
    </x:row>
    <x:row r="89">
      <x:c r="A89" s="69" t="str">
        <x:v>SRC075</x:v>
      </x:c>
      <x:c r="B89" s="69" t="str">
        <x:v>全鑫企業社</x:v>
      </x:c>
      <x:c r="C89" s="69" t="str">
        <x:v>文件未載明</x:v>
      </x:c>
      <x:c r="D89" s="69" t="str"/>
      <x:c r="E89" s="69" t="str">
        <x:v>尚未交叉比對</x:v>
      </x:c>
      <x:c r="F89" s="69" t="str">
        <x:v>尚未找到可排除歧義的公開資料</x:v>
      </x:c>
      <x:c r="G89" s="69" t="str">
        <x:v>各廠商合約&amp; 報價\MD檔案\20260424 全鑫追加工程_人孔蓋、後側採光罩延伸_.md</x:v>
      </x:c>
      <x:c r="H89" s="69" t="str"/>
    </x:row>
    <x:row r="90">
      <x:c r="A90" s="69" t="str">
        <x:v>SRC076</x:v>
      </x:c>
      <x:c r="B90" s="69" t="str">
        <x:v>塑豐實業股份有限公司</x:v>
      </x:c>
      <x:c r="C90" s="69" t="str">
        <x:v>文件未載明</x:v>
      </x:c>
      <x:c r="D90" s="69" t="str">
        <x:v>22665579</x:v>
      </x:c>
      <x:c r="E90" s="69" t="str">
        <x:v>網站補得候選（未回填文件統編）</x:v>
      </x:c>
      <x:c r="F90" s="69" t="str">
        <x:v>公司名與統編一致</x:v>
      </x:c>
      <x:c r="G90" s="69" t="str">
        <x:v>各廠商合約&amp; 報價\MD檔案\20260430 塑豐 門扇改高度.md</x:v>
      </x:c>
      <x:c r="H90" s="69" t="str"/>
    </x:row>
    <x:row r="91">
      <x:c r="A91" s="69" t="str">
        <x:v>SRC077</x:v>
      </x:c>
      <x:c r="B91" s="69" t="str">
        <x:v>三發製網股份有限公司</x:v>
      </x:c>
      <x:c r="C91" s="69" t="str">
        <x:v>文件未載明</x:v>
      </x:c>
      <x:c r="D91" s="69" t="str">
        <x:v>55978642</x:v>
      </x:c>
      <x:c r="E91" s="69" t="str">
        <x:v>網站補得候選（未回填文件統編）</x:v>
      </x:c>
      <x:c r="F91" s="69" t="str">
        <x:v>名稱與文件地址一致</x:v>
      </x:c>
      <x:c r="G91" s="69" t="str">
        <x:v>各廠商合約&amp; 報價\MD檔案\20260517 三發圍籬網.md</x:v>
      </x:c>
      <x:c r="H91" s="69" t="str"/>
    </x:row>
    <x:row r="92">
      <x:c r="A92" s="69" t="str">
        <x:v>SRC078</x:v>
      </x:c>
      <x:c r="B92" s="69" t="str">
        <x:v>班朋寶閣有限公司</x:v>
      </x:c>
      <x:c r="C92" s="69" t="str">
        <x:v>文件未載明</x:v>
      </x:c>
      <x:c r="D92" s="69" t="str"/>
      <x:c r="E92" s="69" t="str">
        <x:v>尚未交叉比對</x:v>
      </x:c>
      <x:c r="F92" s="69" t="str">
        <x:v>尚未找到可排除歧義的公開資料</x:v>
      </x:c>
      <x:c r="G92" s="69" t="str">
        <x:v>各廠商合約&amp; 報價\MD檔案\20260520 7F辦公室.md</x:v>
      </x:c>
      <x:c r="H92" s="69" t="str"/>
    </x:row>
    <x:row r="93">
      <x:c r="A93" s="69" t="str">
        <x:v>SRC079</x:v>
      </x:c>
      <x:c r="B93" s="69" t="str">
        <x:v>三發製網股份有限公司</x:v>
      </x:c>
      <x:c r="C93" s="69" t="str">
        <x:v>文件未載明</x:v>
      </x:c>
      <x:c r="D93" s="69" t="str">
        <x:v>55978642</x:v>
      </x:c>
      <x:c r="E93" s="69" t="str">
        <x:v>網站補得候選（未回填文件統編）</x:v>
      </x:c>
      <x:c r="F93" s="69" t="str">
        <x:v>名稱與文件地址一致</x:v>
      </x:c>
      <x:c r="G93" s="69" t="str">
        <x:v>各廠商合約&amp; 報價\MD檔案\20260603 三發圍籬網 加運費.md</x:v>
      </x:c>
      <x:c r="H93" s="69" t="str"/>
    </x:row>
    <x:row r="94">
      <x:c r="A94" s="69" t="str">
        <x:v>SRC001</x:v>
      </x:c>
      <x:c r="B94" s="69" t="str">
        <x:v>俐麒企業有限公司</x:v>
      </x:c>
      <x:c r="C94" s="69" t="str">
        <x:v>16342783</x:v>
      </x:c>
      <x:c r="D94" s="69" t="str">
        <x:v>16342783</x:v>
      </x:c>
      <x:c r="E94" s="69" t="str">
        <x:v>文件與網站一致</x:v>
      </x:c>
      <x:c r="F94" s="69" t="str">
        <x:v>公司名與統編一致</x:v>
      </x:c>
      <x:c r="G94" s="69" t="str">
        <x:v>各廠商合約&amp; 報價\MD檔案\0921向上建設機械車位合約.docx</x:v>
      </x:c>
      <x:c r="H94" s="69" t="str"/>
    </x:row>
    <x:row r="95">
      <x:c r="A95" s="69" t="str">
        <x:v>SRC086</x:v>
      </x:c>
      <x:c r="B95" s="69" t="str">
        <x:v>信興水電</x:v>
      </x:c>
      <x:c r="C95" s="69" t="str">
        <x:v>文件未載明</x:v>
      </x:c>
      <x:c r="D95" s="69" t="str"/>
      <x:c r="E95" s="69" t="str">
        <x:v>尚未交叉比對</x:v>
      </x:c>
      <x:c r="F95" s="69" t="str">
        <x:v>尚未找到可排除歧義的公開資料</x:v>
      </x:c>
      <x:c r="G95" s="69" t="str">
        <x:v>各廠商合約&amp; 報價\MD檔案\信興水電工程標單.md</x:v>
      </x:c>
      <x:c r="H95" s="69" t="str"/>
    </x:row>
    <x:row r="96">
      <x:c r="A96" s="69" t="str">
        <x:v>SRC081</x:v>
      </x:c>
      <x:c r="B96" s="69" t="str">
        <x:v>台灣菊水股份有限公司</x:v>
      </x:c>
      <x:c r="C96" s="69" t="str">
        <x:v>42845001</x:v>
      </x:c>
      <x:c r="D96" s="69" t="str">
        <x:v>42845001</x:v>
      </x:c>
      <x:c r="E96" s="69" t="str">
        <x:v>文件與網站一致</x:v>
      </x:c>
      <x:c r="F96" s="69" t="str">
        <x:v>公司官網公司名與統編一致</x:v>
      </x:c>
      <x:c r="G96" s="69" t="str">
        <x:v>各廠商合約&amp; 報價\MD檔案\台灣菊水合約.md</x:v>
      </x:c>
      <x:c r="H96" s="69" t="str"/>
    </x:row>
    <x:row r="97">
      <x:c r="A97" s="69" t="str">
        <x:v>SRC083</x:v>
      </x:c>
      <x:c r="B97" s="69" t="str">
        <x:v>曜陽廚具衛浴公司</x:v>
      </x:c>
      <x:c r="C97" s="69" t="str">
        <x:v>文件未載明</x:v>
      </x:c>
      <x:c r="D97" s="69" t="str"/>
      <x:c r="E97" s="69" t="str">
        <x:v>尚未交叉比對</x:v>
      </x:c>
      <x:c r="F97" s="69" t="str">
        <x:v>尚未找到可排除歧義的公開資料</x:v>
      </x:c>
      <x:c r="G97" s="69" t="str">
        <x:v>各廠商合約&amp; 報價\MD檔案\向上A戶-S6 修改20250520.xls</x:v>
      </x:c>
      <x:c r="H97" s="69" t="str"/>
    </x:row>
    <x:row r="98">
      <x:c r="A98" s="69" t="str">
        <x:v>SRC084</x:v>
      </x:c>
      <x:c r="B98" s="69" t="str">
        <x:v>曜陽廚具衛浴公司</x:v>
      </x:c>
      <x:c r="C98" s="69" t="str">
        <x:v>文件未載明</x:v>
      </x:c>
      <x:c r="D98" s="69" t="str"/>
      <x:c r="E98" s="69" t="str">
        <x:v>尚未交叉比對</x:v>
      </x:c>
      <x:c r="F98" s="69" t="str">
        <x:v>尚未找到可排除歧義的公開資料</x:v>
      </x:c>
      <x:c r="G98" s="69" t="str">
        <x:v>各廠商合約&amp; 報價\MD檔案\向上B戶-S6 修20250520.xls</x:v>
      </x:c>
      <x:c r="H98" s="69" t="str"/>
    </x:row>
    <x:row r="99">
      <x:c r="A99" s="69" t="str">
        <x:v>SRC085</x:v>
      </x:c>
      <x:c r="B99" s="69" t="str">
        <x:v>曜陽廚具衛浴公司</x:v>
      </x:c>
      <x:c r="C99" s="69" t="str">
        <x:v>文件未載明</x:v>
      </x:c>
      <x:c r="D99" s="69" t="str"/>
      <x:c r="E99" s="69" t="str">
        <x:v>尚未交叉比對</x:v>
      </x:c>
      <x:c r="F99" s="69" t="str">
        <x:v>尚未找到可排除歧義的公開資料</x:v>
      </x:c>
      <x:c r="G99" s="69" t="str">
        <x:v>各廠商合約&amp; 報價\MD檔案\向上B戶-S6 修改B戶3樓 客變20250520.xls</x:v>
      </x:c>
      <x:c r="H99" s="69" t="str"/>
    </x:row>
    <x:row r="100">
      <x:c r="A100" s="69" t="str">
        <x:v>SRC089</x:v>
      </x:c>
      <x:c r="B100" s="69" t="str">
        <x:v>富謙工程開發企業社</x:v>
      </x:c>
      <x:c r="C100" s="69" t="str">
        <x:v>文件未載明</x:v>
      </x:c>
      <x:c r="D100" s="69" t="str"/>
      <x:c r="E100" s="69" t="str">
        <x:v>尚未交叉比對</x:v>
      </x:c>
      <x:c r="F100" s="69" t="str">
        <x:v>尚未找到可排除歧義的公開資料</x:v>
      </x:c>
      <x:c r="G100" s="69" t="str">
        <x:v>各廠商合約&amp; 報價\MD檔案\富謙工程合約 _泥座_.md</x:v>
      </x:c>
      <x:c r="H100" s="69" t="str"/>
    </x:row>
    <x:row r="101">
      <x:c r="A101" s="69" t="str">
        <x:v>SRC087</x:v>
      </x:c>
      <x:c r="B101" s="69" t="str">
        <x:v>崇友實業股份有限公司新竹分公司</x:v>
      </x:c>
      <x:c r="C101" s="69" t="str">
        <x:v>90057101</x:v>
      </x:c>
      <x:c r="D101" s="69" t="str"/>
      <x:c r="E101" s="69" t="str">
        <x:v>疑似非賣方統編，不採用</x:v>
      </x:c>
      <x:c r="F101" s="69" t="str">
        <x:v>文件內甲方統編</x:v>
      </x:c>
      <x:c r="G101" s="69" t="str">
        <x:v>各廠商合約&amp; 報價\MD檔案\崇友實業合約_升降設備安裝承攬合約書_.md</x:v>
      </x:c>
      <x:c r="H101" s="69" t="str"/>
    </x:row>
    <x:row r="102">
      <x:c r="A102" s="69" t="str">
        <x:v>SRC088</x:v>
      </x:c>
      <x:c r="B102" s="69" t="str">
        <x:v>崇友實業股份有限公司新竹分公司</x:v>
      </x:c>
      <x:c r="C102" s="69" t="str">
        <x:v>90057101</x:v>
      </x:c>
      <x:c r="D102" s="69" t="str"/>
      <x:c r="E102" s="69" t="str">
        <x:v>疑似非賣方統編，不採用</x:v>
      </x:c>
      <x:c r="F102" s="69" t="str">
        <x:v>文件內甲方統編</x:v>
      </x:c>
      <x:c r="G102" s="69" t="str">
        <x:v>各廠商合約&amp; 報價\MD檔案\崇友實業合約_升降設備買賣合約書_.md</x:v>
      </x:c>
      <x:c r="H102" s="69" t="str"/>
    </x:row>
    <x:row r="103">
      <x:c r="A103" s="69" t="str">
        <x:v>SRC080</x:v>
      </x:c>
      <x:c r="B103" s="69" t="str">
        <x:v>永豐餘工程股份有限公司</x:v>
      </x:c>
      <x:c r="C103" s="69" t="str">
        <x:v>90057101</x:v>
      </x:c>
      <x:c r="D103" s="69" t="str">
        <x:v>80088415</x:v>
      </x:c>
      <x:c r="E103" s="69" t="str">
        <x:v>文件統編與網站不一致</x:v>
      </x:c>
      <x:c r="F103" s="69" t="str">
        <x:v>公司名與統編一致</x:v>
      </x:c>
      <x:c r="G103" s="69" t="str">
        <x:v>各廠商合約&amp; 報價\MD檔案\工程合約-補充協議書.md</x:v>
      </x:c>
      <x:c r="H103" s="69" t="str">
        <x:v>保留文件原值，請人工核對角色與統編</x:v>
      </x:c>
    </x:row>
    <x:row r="104">
      <x:c r="A104" s="69" t="str">
        <x:v>SRC090</x:v>
      </x:c>
      <x:c r="B104" s="69" t="str">
        <x:v>文件未載明</x:v>
      </x:c>
      <x:c r="C104" s="69" t="str">
        <x:v>文件未載明</x:v>
      </x:c>
      <x:c r="D104" s="69" t="str"/>
      <x:c r="E104" s="69" t="str">
        <x:v>尚未交叉比對</x:v>
      </x:c>
      <x:c r="F104" s="69" t="str">
        <x:v>尚未找到可排除歧義的公開資料</x:v>
      </x:c>
      <x:c r="G104" s="69" t="str">
        <x:v>各廠商合約&amp; 報價\MD檔案\暖風機圖面.md</x:v>
      </x:c>
      <x:c r="H104" s="69" t="str"/>
    </x:row>
    <x:row r="105">
      <x:c r="A105" s="69" t="str">
        <x:v>SRC082</x:v>
      </x:c>
      <x:c r="B105" s="69" t="str">
        <x:v>永豐餘工程股份有限公司</x:v>
      </x:c>
      <x:c r="C105" s="69" t="str">
        <x:v>80088415</x:v>
      </x:c>
      <x:c r="D105" s="69" t="str">
        <x:v>80088415</x:v>
      </x:c>
      <x:c r="E105" s="69" t="str">
        <x:v>文件與網站一致</x:v>
      </x:c>
      <x:c r="F105" s="69" t="str">
        <x:v>公司名與統編一致</x:v>
      </x:c>
      <x:c r="G105" s="69" t="str">
        <x:v>各廠商合約&amp; 報價\MD檔案\永豐餘工程合約.md</x:v>
      </x:c>
      <x:c r="H105" s="69" t="str"/>
    </x:row>
    <x:row r="106">
      <x:c r="A106" s="69" t="str">
        <x:v>SRC092</x:v>
      </x:c>
      <x:c r="B106" s="69" t="str">
        <x:v>文件未載明</x:v>
      </x:c>
      <x:c r="C106" s="69" t="str">
        <x:v>文件未載明</x:v>
      </x:c>
      <x:c r="D106" s="69" t="str"/>
      <x:c r="E106" s="69" t="str">
        <x:v>尚未交叉比對</x:v>
      </x:c>
      <x:c r="F106" s="69" t="str">
        <x:v>尚未找到可排除歧義的公開資料</x:v>
      </x:c>
      <x:c r="G106" s="69" t="str">
        <x:v>各廠商合約&amp; 報價\MD檔案\磁磚廠商預抓費用.jpg</x:v>
      </x:c>
      <x:c r="H106" s="69" t="str"/>
    </x:row>
    <x:row r="107">
      <x:c r="A107" s="69" t="str">
        <x:v>SRC093</x:v>
      </x:c>
      <x:c r="B107" s="69" t="str">
        <x:v>興吉發科技建材有限公司</x:v>
      </x:c>
      <x:c r="C107" s="69" t="str">
        <x:v>83464309</x:v>
      </x:c>
      <x:c r="D107" s="69" t="str">
        <x:v>83464309</x:v>
      </x:c>
      <x:c r="E107" s="69" t="str">
        <x:v>文件與網站一致</x:v>
      </x:c>
      <x:c r="F107" s="69" t="str">
        <x:v>公司名與統編一致</x:v>
      </x:c>
      <x:c r="G107" s="69" t="str">
        <x:v>各廠商合約&amp; 報價\MD檔案\興吉發工程合約 _隔音墊_.md</x:v>
      </x:c>
      <x:c r="H107" s="69" t="str"/>
    </x:row>
    <x:row r="108">
      <x:c r="A108" s="69" t="str">
        <x:v>SRC091</x:v>
      </x:c>
      <x:c r="B108" s="69" t="str">
        <x:v>文件未載明</x:v>
      </x:c>
      <x:c r="C108" s="69" t="str">
        <x:v>文件未載明</x:v>
      </x:c>
      <x:c r="D108" s="69" t="str"/>
      <x:c r="E108" s="69" t="str">
        <x:v>尚未交叉比對</x:v>
      </x:c>
      <x:c r="F108" s="69" t="str">
        <x:v>尚未找到可排除歧義的公開資料</x:v>
      </x:c>
      <x:c r="G108" s="69" t="str">
        <x:v>各廠商合約&amp; 報價\MD檔案\電梯.md</x:v>
      </x:c>
      <x:c r="H108" s="69" t="str"/>
    </x:row>
  </x:sheetData>
  <x:mergeCells>
    <x:mergeCell ref="A1:H2"/>
  </x:mergeCells>
  <x:conditionalFormatting sqref="E5:E108">
    <x:cfRule type="containsText" dxfId="4" priority="1" operator="containsText" text="不一致"/>
    <x:cfRule type="containsText" dxfId="5" priority="2" operator="containsText" text="一致"/>
    <x:cfRule type="containsText" dxfId="6" priority="3" operator="containsText" text="尚未"/>
  </x:conditionalFormatting>
  <x:pageMargins left="0.7" right="0.7" top="0.75" bottom="0.75" header="0.3" footer="0.3"/>
  <x:tableParts count="1">
    <x:tablePart xmlns:r="http://schemas.openxmlformats.org/officeDocument/2006/relationships" r:id="R7ec949463404440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130000114440918" hidden="0" customWidth="1"/>
    <x:col min="2" max="2" width="30" hidden="0" customWidth="1"/>
    <x:col min="3" max="3" width="11.25" hidden="0" customWidth="1"/>
    <x:col min="4" max="4" width="12.5" hidden="0" customWidth="1"/>
    <x:col min="5" max="5" width="15" hidden="0" customWidth="1"/>
    <x:col min="6" max="6" width="56.25" hidden="0" customWidth="1"/>
    <x:col min="7" max="7" width="20" hidden="0" customWidth="1"/>
    <x:col min="8" max="8" width="47.5" hidden="0" customWidth="1"/>
  </x:cols>
  <x:sheetData>
    <x:row r="1" ht="28" customHeight="1">
      <x:c r="A1" s="3" t="str">
        <x:v>付款與版本｜原文條款摘要</x:v>
      </x:c>
      <x:c r="B1" s="3" t="str">
        <x:v>付款與版本｜原文條款摘要</x:v>
      </x:c>
      <x:c r="C1" s="3" t="str">
        <x:v>付款與版本｜原文條款摘要</x:v>
      </x:c>
      <x:c r="D1" s="3" t="str">
        <x:v>付款與版本｜原文條款摘要</x:v>
      </x:c>
      <x:c r="E1" s="3" t="str">
        <x:v>付款與版本｜原文條款摘要</x:v>
      </x:c>
      <x:c r="F1" s="3" t="str">
        <x:v>付款與版本｜原文條款摘要</x:v>
      </x:c>
      <x:c r="G1" s="3" t="str">
        <x:v>付款與版本｜原文條款摘要</x:v>
      </x:c>
      <x:c r="H1" s="3" t="str">
        <x:v>付款與版本｜原文條款摘要</x:v>
      </x:c>
    </x:row>
    <x:row r="2" ht="28" customHeight="1">
      <x:c r="A2" s="3" t="str">
        <x:v>付款與版本｜原文條款摘要</x:v>
      </x:c>
      <x:c r="B2" s="3" t="str">
        <x:v>付款與版本｜原文條款摘要</x:v>
      </x:c>
      <x:c r="C2" s="3" t="str">
        <x:v>付款與版本｜原文條款摘要</x:v>
      </x:c>
      <x:c r="D2" s="3" t="str">
        <x:v>付款與版本｜原文條款摘要</x:v>
      </x:c>
      <x:c r="E2" s="3" t="str">
        <x:v>付款與版本｜原文條款摘要</x:v>
      </x:c>
      <x:c r="F2" s="3" t="str">
        <x:v>付款與版本｜原文條款摘要</x:v>
      </x:c>
      <x:c r="G2" s="3" t="str">
        <x:v>付款與版本｜原文條款摘要</x:v>
      </x:c>
      <x:c r="H2" s="3" t="str">
        <x:v>付款與版本｜原文條款摘要</x:v>
      </x:c>
    </x:row>
    <x:row r="4">
      <x:c r="A4" s="66" t="str">
        <x:v>來源ID</x:v>
      </x:c>
      <x:c r="B4" s="66" t="str">
        <x:v>檔名</x:v>
      </x:c>
      <x:c r="C4" s="66" t="str">
        <x:v>文件日期</x:v>
      </x:c>
      <x:c r="D4" s="66" t="str">
        <x:v>文件類型</x:v>
      </x:c>
      <x:c r="E4" s="66" t="str">
        <x:v>文件採列總額</x:v>
      </x:c>
      <x:c r="F4" s="66" t="str">
        <x:v>付款條件／摘要</x:v>
      </x:c>
      <x:c r="G4" s="66" t="str">
        <x:v>版本／追加標記</x:v>
      </x:c>
      <x:c r="H4" s="66" t="str">
        <x:v>來源路徑</x:v>
      </x:c>
    </x:row>
    <x:row r="5">
      <x:c r="A5" s="69" t="str">
        <x:v>SRC001</x:v>
      </x:c>
      <x:c r="B5" s="69" t="str">
        <x:v>0921向上建設機械車位合約.docx</x:v>
      </x:c>
      <x:c r="C5" s="69" t="str">
        <x:v>2023-09-21</x:v>
      </x:c>
      <x:c r="D5" s="69" t="str">
        <x:v>圖面／選色表</x:v>
      </x:c>
      <x:c r="E5" s="70" t="n">
        <x:v>1470000</x:v>
      </x:c>
      <x:c r="F5" s="71" t="str">
        <x:v>source_section：1；text：【段落 1】俐麒企業有限公司 機械車位安裝報價單 【段落 2】聯絡人：王承隆 【段落 3】電話：0931-693210 22973329 傳真：22960420 【段落 4】向上建設有限公司 洪經理 台照 【段落 5】電話： 傳真： 【段落 6】地點：苗栗後龍 【段落 7】日期：112年9月21日 【表格 1 列 1】項目 | | 單 價 | 數 量 | 合 計 【表格 1 列 2】1 | 油壓式叁層橫移：鋼索 | 175,000. | 8個 | 1,…（詳原文索引）</x:v>
      </x:c>
      <x:c r="G5" s="71" t="str">
        <x:v>未標示</x:v>
      </x:c>
      <x:c r="H5" s="71" t="str">
        <x:v>各廠商合約&amp; 報價\MD檔案\0921向上建設機械車位合約.docx</x:v>
      </x:c>
    </x:row>
    <x:row r="6">
      <x:c r="A6" s="69" t="str">
        <x:v>SRC002</x:v>
      </x:c>
      <x:c r="B6" s="69" t="str">
        <x:v>20230424 TOTO衛浴.md</x:v>
      </x:c>
      <x:c r="C6" s="69" t="str">
        <x:v>文件未載明</x:v>
      </x:c>
      <x:c r="D6" s="69" t="str">
        <x:v>報價單</x:v>
      </x:c>
      <x:c r="E6" s="70" t="n">
        <x:v>1577000</x:v>
      </x:c>
      <x:c r="F6" s="71" t="str">
        <x:v>text：&lt;table&gt;&lt;tr&gt;&lt;td colspan="3"&gt;公司名稱:向上建設股份有限公司&lt;/td&gt;&lt;td colspan="4"&gt;地址:苗栗縣竹南鎮中正路423號&lt;/td&gt;&lt;td&gt;&lt;/td&gt;&lt;td&gt;&lt;/td&gt;&lt;td&gt;&lt;/td&gt;&lt;td&gt;&lt;/td&gt;&lt;td&gt;&lt;/td&gt;&lt;/tr&gt;&lt;tr&gt;&lt;td colspan="3"&gt;案件名稱:&lt;/td&gt;&lt;td colspan="4"&gt;電話:0932-695878&lt;/td&gt;&lt;td&gt;&lt;/td&gt;&lt;td&gt;&lt;/td&gt;&lt;td&gt;&lt;/td&gt;&lt;td&gt;&lt;/td&gt;&lt;td&gt;&lt;/td&gt;&lt;…（詳原文索引）</x:v>
      </x:c>
      <x:c r="G6" s="71" t="str">
        <x:v>marker：文件未載明；source_locator：文件未載明</x:v>
      </x:c>
      <x:c r="H6" s="71" t="str">
        <x:v>各廠商合約&amp; 報價\MD檔案\20230424 TOTO衛浴.md</x:v>
      </x:c>
    </x:row>
    <x:row r="7">
      <x:c r="A7" s="69" t="str">
        <x:v>SRC003</x:v>
      </x:c>
      <x:c r="B7" s="69" t="str">
        <x:v>20230613 地質鑽探.md</x:v>
      </x:c>
      <x:c r="C7" s="69" t="str">
        <x:v>2023-06-13</x:v>
      </x:c>
      <x:c r="D7" s="69" t="str">
        <x:v>報價單</x:v>
      </x:c>
      <x:c r="E7" s="70" t="n">
        <x:v>36750</x:v>
      </x:c>
      <x:c r="F7" s="71" t="str">
        <x:v>text：文件未載明；source_locator：文件未載明</x:v>
      </x:c>
      <x:c r="G7" s="71" t="str">
        <x:v>marker：文件未載明；source_locator：文件未載明</x:v>
      </x:c>
      <x:c r="H7" s="71" t="str">
        <x:v>各廠商合約&amp; 報價\MD檔案\20230613 地質鑽探.md</x:v>
      </x:c>
    </x:row>
    <x:row r="8">
      <x:c r="A8" s="69" t="str">
        <x:v>SRC004</x:v>
      </x:c>
      <x:c r="B8" s="69" t="str">
        <x:v>20231212 YKK 鋁門窗.md</x:v>
      </x:c>
      <x:c r="C8" s="69" t="str">
        <x:v>2023-12-12</x:v>
      </x:c>
      <x:c r="D8" s="69" t="str">
        <x:v>報價單</x:v>
      </x:c>
      <x:c r="E8" s="70"/>
      <x:c r="F8" s="71" t="str">
        <x:v>text：文件未載明；source_locator：文件未載明</x:v>
      </x:c>
      <x:c r="G8" s="71" t="str">
        <x:v>marker：文件未載明；source_locator：文件未載明</x:v>
      </x:c>
      <x:c r="H8" s="71" t="str">
        <x:v>各廠商合約&amp; 報價\MD檔案\20231212 YKK 鋁門窗.md</x:v>
      </x:c>
    </x:row>
    <x:row r="9">
      <x:c r="A9" s="69" t="str">
        <x:v>SRC005</x:v>
      </x:c>
      <x:c r="B9" s="69" t="str">
        <x:v>20231226 TOTO衛浴.md</x:v>
      </x:c>
      <x:c r="C9" s="69" t="str">
        <x:v>2023-12-26</x:v>
      </x:c>
      <x:c r="D9" s="69" t="str">
        <x:v>報價單</x:v>
      </x:c>
      <x:c r="E9" s="70" t="n">
        <x:v>1907330</x:v>
      </x:c>
      <x:c r="F9" s="71" t="str">
        <x:v>text：&lt;table&gt;&lt;tr&gt;&lt;td colspan="3"&gt;公司名稱:向上建設股份有限公司&lt;/td&gt;&lt;td colspan="4"&gt;地址:苗栗縣竹南鎮中正路423號&lt;/td&gt;&lt;/tr&gt;&lt;tr&gt;&lt;td colspan="3"&gt;案件名稱:&lt;/td&gt;&lt;td colspan="4"&gt;電話:0932-695878&lt;/td&gt;&lt;/tr&gt;&lt;tr&gt;&lt;td colspan="3"&gt;聯絡人:洪建豪先生&lt;/td&gt;&lt;td colspan="4"&gt;傳真:&lt;/td&gt;&lt;/tr&gt;&lt;tr&gt;&lt;td&gt;項次&lt;/td&gt;&lt;td&gt;品名&lt;/…（詳原文索引）</x:v>
      </x:c>
      <x:c r="G9" s="71" t="str">
        <x:v>marker：文件未載明；source_locator：文件未載明</x:v>
      </x:c>
      <x:c r="H9" s="71" t="str">
        <x:v>各廠商合約&amp; 報價\MD檔案\20231226 TOTO衛浴.md</x:v>
      </x:c>
    </x:row>
    <x:row r="10">
      <x:c r="A10" s="69" t="str">
        <x:v>SRC006</x:v>
      </x:c>
      <x:c r="B10" s="69" t="str">
        <x:v>20240326 國璽寶 磁磚.md</x:v>
      </x:c>
      <x:c r="C10" s="69" t="str">
        <x:v>2024-03-26</x:v>
      </x:c>
      <x:c r="D10" s="69" t="str">
        <x:v>報價明細表</x:v>
      </x:c>
      <x:c r="E10" s="70"/>
      <x:c r="F10" s="71" t="str">
        <x:v>text：文件未載明；source_locator：文件未載明</x:v>
      </x:c>
      <x:c r="G10" s="71" t="str">
        <x:v>marker：文件未載明；source_locator：文件未載明</x:v>
      </x:c>
      <x:c r="H10" s="71" t="str">
        <x:v>各廠商合約&amp; 報價\MD檔案\20240326 國璽寶 磁磚.md</x:v>
      </x:c>
    </x:row>
    <x:row r="11">
      <x:c r="A11" s="69" t="str">
        <x:v>SRC007</x:v>
      </x:c>
      <x:c r="B11" s="69" t="str">
        <x:v>20240506 鎖庫 智能衣架.md</x:v>
      </x:c>
      <x:c r="C11" s="69" t="str">
        <x:v>2024-05-06</x:v>
      </x:c>
      <x:c r="D11" s="69" t="str">
        <x:v>報價單</x:v>
      </x:c>
      <x:c r="E11" s="70" t="n">
        <x:v>10620</x:v>
      </x:c>
      <x:c r="F11" s="71" t="str">
        <x:v>text：4.付款方式:現金.匯款；source_locator：本文第27行</x:v>
      </x:c>
      <x:c r="G11" s="71" t="str">
        <x:v>marker：文件未載明；source_locator：文件未載明</x:v>
      </x:c>
      <x:c r="H11" s="71" t="str">
        <x:v>各廠商合約&amp; 報價\MD檔案\20240506 鎖庫 智能衣架.md</x:v>
      </x:c>
    </x:row>
    <x:row r="12">
      <x:c r="A12" s="69" t="str">
        <x:v>SRC008</x:v>
      </x:c>
      <x:c r="B12" s="69" t="str">
        <x:v>20240506 鎖庫 電子門鎖.md</x:v>
      </x:c>
      <x:c r="C12" s="69" t="str">
        <x:v>2024-03-20</x:v>
      </x:c>
      <x:c r="D12" s="69" t="str">
        <x:v>報價單</x:v>
      </x:c>
      <x:c r="E12" s="70"/>
      <x:c r="F12" s="71" t="str">
        <x:v>text：4.付款方式:現金.匯款；source_locator：本文第27行</x:v>
      </x:c>
      <x:c r="G12" s="71" t="str">
        <x:v>marker：文件未載明；source_locator：文件未載明</x:v>
      </x:c>
      <x:c r="H12" s="71" t="str">
        <x:v>各廠商合約&amp; 報價\MD檔案\20240506 鎖庫 電子門鎖.md</x:v>
      </x:c>
    </x:row>
    <x:row r="13">
      <x:c r="A13" s="69" t="str">
        <x:v>SRC009</x:v>
      </x:c>
      <x:c r="B13" s="69" t="str">
        <x:v>20240507 固多多.md</x:v>
      </x:c>
      <x:c r="C13" s="69" t="str">
        <x:v>2024-05-20</x:v>
      </x:c>
      <x:c r="D13" s="69" t="str">
        <x:v>合約書／報價單</x:v>
      </x:c>
      <x:c r="E13" s="70"/>
      <x:c r="F13" s="71" t="str">
        <x:v>text：\*付款约定：月結現金(例如：5月26日至6月25日交貨結算後，於7月25日前以現金或即期支票一次付清。)；source_locator：本文第47行</x:v>
      </x:c>
      <x:c r="G13" s="71" t="str">
        <x:v>marker：文件未載明；source_locator：文件未載明</x:v>
      </x:c>
      <x:c r="H13" s="71" t="str">
        <x:v>各廠商合約&amp; 報價\MD檔案\20240507 固多多.md</x:v>
      </x:c>
    </x:row>
    <x:row r="14">
      <x:c r="A14" s="69" t="str">
        <x:v>SRC010</x:v>
      </x:c>
      <x:c r="B14" s="69" t="str">
        <x:v>20240515 Derek 白框淋浴拉門.md</x:v>
      </x:c>
      <x:c r="C14" s="69" t="str">
        <x:v>2024-05-15</x:v>
      </x:c>
      <x:c r="D14" s="69" t="str">
        <x:v>文件未載明</x:v>
      </x:c>
      <x:c r="E14" s="70" t="n">
        <x:v>357210</x:v>
      </x:c>
      <x:c r="F14" s="71" t="str">
        <x:v>text：1. 如蒙惠顧，請預付訂金三成。；source_locator：本文第19行；text：6. 付款方式：訂金於交貨前兌現 / 請開立現金票支付貨款 / 訂金於尾款扣除。；source_locator：本文第24行</x:v>
      </x:c>
      <x:c r="G14" s="71" t="str">
        <x:v>marker：文件未載明；source_locator：文件未載明</x:v>
      </x:c>
      <x:c r="H14" s="71" t="str">
        <x:v>各廠商合約&amp; 報價\MD檔案\20240515 Derek 白框淋浴拉門.md</x:v>
      </x:c>
    </x:row>
    <x:row r="15">
      <x:c r="A15" s="69" t="str">
        <x:v>SRC011</x:v>
      </x:c>
      <x:c r="B15" s="69" t="str">
        <x:v>20240515 Derek黑框淋浴拉門.md</x:v>
      </x:c>
      <x:c r="C15" s="69" t="str">
        <x:v>2024-06-07</x:v>
      </x:c>
      <x:c r="D15" s="69" t="str">
        <x:v>文件未載明</x:v>
      </x:c>
      <x:c r="E15" s="70" t="n">
        <x:v>264600</x:v>
      </x:c>
      <x:c r="F15" s="71" t="str">
        <x:v>text：1. 如蒙惠顧，請預付訂金三成。；source_locator：本文第19行；text：6. 付款方式：訂金於交貨前兌現 / 請開立現金票支付貨款 / 訂金於尾款扣除。；source_locator：本文第24行</x:v>
      </x:c>
      <x:c r="G15" s="71" t="str">
        <x:v>marker：文件未載明；source_locator：文件未載明</x:v>
      </x:c>
      <x:c r="H15" s="71" t="str">
        <x:v>各廠商合約&amp; 報價\MD檔案\20240515 Derek黑框淋浴拉門.md</x:v>
      </x:c>
    </x:row>
    <x:row r="16">
      <x:c r="A16" s="69" t="str">
        <x:v>SRC012</x:v>
      </x:c>
      <x:c r="B16" s="69" t="str">
        <x:v>20240620 協力建材行.md</x:v>
      </x:c>
      <x:c r="C16" s="69" t="str">
        <x:v>2024-06-20</x:v>
      </x:c>
      <x:c r="D16" s="69" t="str">
        <x:v>報價單</x:v>
      </x:c>
      <x:c r="E16" s="70"/>
      <x:c r="F16" s="71" t="str">
        <x:v>text：三、依實際進貨數量請款100% 30天期票。；source_locator：本文第27行</x:v>
      </x:c>
      <x:c r="G16" s="71" t="str">
        <x:v>marker：文件未載明；source_locator：文件未載明</x:v>
      </x:c>
      <x:c r="H16" s="71" t="str">
        <x:v>各廠商合約&amp; 報價\MD檔案\20240620 協力建材行.md</x:v>
      </x:c>
    </x:row>
    <x:row r="17">
      <x:c r="A17" s="69" t="str">
        <x:v>SRC013</x:v>
      </x:c>
      <x:c r="B17" s="69" t="str">
        <x:v>20240620 塑豐 玄關門、房間門、浴室門、消防門.md</x:v>
      </x:c>
      <x:c r="C17" s="69" t="str">
        <x:v>2024-06-20</x:v>
      </x:c>
      <x:c r="D17" s="69" t="str">
        <x:v>報價單</x:v>
      </x:c>
      <x:c r="E17" s="70"/>
      <x:c r="F17" s="71" t="str">
        <x:v>text：文件未載明；source_locator：文件未載明</x:v>
      </x:c>
      <x:c r="G17" s="71" t="str">
        <x:v>marker：第二次議價；source_locator：本文第15行；marker：議價；source_locator：本文第15行</x:v>
      </x:c>
      <x:c r="H17" s="71" t="str">
        <x:v>各廠商合約&amp; 報價\MD檔案\20240620 塑豐 玄關門、房間門、浴室門、消防門.md</x:v>
      </x:c>
    </x:row>
    <x:row r="18">
      <x:c r="A18" s="69" t="str">
        <x:v>SRC014</x:v>
      </x:c>
      <x:c r="B18" s="69" t="str">
        <x:v>20240620 塑豐玄關門、房間門、浴室門、消防門.md</x:v>
      </x:c>
      <x:c r="C18" s="69" t="str">
        <x:v>2024-06-20</x:v>
      </x:c>
      <x:c r="D18" s="69" t="str">
        <x:v>報價單</x:v>
      </x:c>
      <x:c r="E18" s="70"/>
      <x:c r="F18" s="71" t="str">
        <x:v>text：文件未載明；source_locator：文件未載明</x:v>
      </x:c>
      <x:c r="G18" s="71" t="str">
        <x:v>marker：第二次議價；source_locator：本文第3行；marker：議價；source_locator：本文第3行</x:v>
      </x:c>
      <x:c r="H18" s="71" t="str">
        <x:v>各廠商合約&amp; 報價\MD檔案\20240620 塑豐玄關門、房間門、浴室門、消防門.md</x:v>
      </x:c>
    </x:row>
    <x:row r="19">
      <x:c r="A19" s="69" t="str">
        <x:v>SRC015</x:v>
      </x:c>
      <x:c r="B19" s="69" t="str">
        <x:v>20240703 太子種苗 _更新_.md</x:v>
      </x:c>
      <x:c r="C19" s="69" t="str">
        <x:v>2025-07-03</x:v>
      </x:c>
      <x:c r="D19" s="69" t="str">
        <x:v>報價單</x:v>
      </x:c>
      <x:c r="E19" s="70" t="n">
        <x:v>8</x:v>
      </x:c>
      <x:c r="F19" s="71" t="str">
        <x:v>text：文件未載明；source_locator：文件未載明</x:v>
      </x:c>
      <x:c r="G19" s="71" t="str">
        <x:v>marker：追加；source_locator：本文第23行；marker：更新；source_locator：檔名標記（非文件內文）</x:v>
      </x:c>
      <x:c r="H19" s="71" t="str">
        <x:v>各廠商合約&amp; 報價\MD檔案\20240703 太子種苗 _更新_.md</x:v>
      </x:c>
    </x:row>
    <x:row r="20">
      <x:c r="A20" s="69" t="str">
        <x:v>SRC016</x:v>
      </x:c>
      <x:c r="B20" s="69" t="str">
        <x:v>20240719 立瑄 淋浴拉門.md</x:v>
      </x:c>
      <x:c r="C20" s="69" t="str">
        <x:v>2024-07-19</x:v>
      </x:c>
      <x:c r="D20" s="69" t="str">
        <x:v>報價單</x:v>
      </x:c>
      <x:c r="E20" s="70" t="n">
        <x:v>207900</x:v>
      </x:c>
      <x:c r="F20" s="71" t="str">
        <x:v>text：文件未載明；source_locator：文件未載明</x:v>
      </x:c>
      <x:c r="G20" s="71" t="str">
        <x:v>marker：文件未載明；source_locator：文件未載明</x:v>
      </x:c>
      <x:c r="H20" s="71" t="str">
        <x:v>各廠商合約&amp; 報價\MD檔案\20240719 立瑄 淋浴拉門.md</x:v>
      </x:c>
    </x:row>
    <x:row r="21">
      <x:c r="A21" s="69" t="str">
        <x:v>SRC017</x:v>
      </x:c>
      <x:c r="B21" s="69" t="str">
        <x:v>20240726 塑豐 金屬格柵.md</x:v>
      </x:c>
      <x:c r="C21" s="69" t="str">
        <x:v>2024-07-26</x:v>
      </x:c>
      <x:c r="D21" s="69" t="str">
        <x:v>報價單</x:v>
      </x:c>
      <x:c r="E21" s="70"/>
      <x:c r="F21" s="71" t="str">
        <x:v>text：文件未載明；source_locator：文件未載明</x:v>
      </x:c>
      <x:c r="G21" s="71" t="str">
        <x:v>marker：方案A；source_locator：本文第7行；marker：方案B；source_locator：本文第41行</x:v>
      </x:c>
      <x:c r="H21" s="71" t="str">
        <x:v>各廠商合約&amp; 報價\MD檔案\20240726 塑豐 金屬格柵.md</x:v>
      </x:c>
    </x:row>
    <x:row r="22">
      <x:c r="A22" s="69" t="str">
        <x:v>SRC018</x:v>
      </x:c>
      <x:c r="B22" s="69" t="str">
        <x:v>20240730 國璽寶 車道磚.md</x:v>
      </x:c>
      <x:c r="C22" s="69" t="str">
        <x:v>2024-07-30</x:v>
      </x:c>
      <x:c r="D22" s="69" t="str">
        <x:v>報價單</x:v>
      </x:c>
      <x:c r="E22" s="70"/>
      <x:c r="F22" s="71" t="str">
        <x:v>text：文件未載明；source_locator：文件未載明</x:v>
      </x:c>
      <x:c r="G22" s="71" t="str">
        <x:v>marker：文件未載明；source_locator：文件未載明</x:v>
      </x:c>
      <x:c r="H22" s="71" t="str">
        <x:v>各廠商合約&amp; 報價\MD檔案\20240730 國璽寶 車道磚.md</x:v>
      </x:c>
    </x:row>
    <x:row r="23">
      <x:c r="A23" s="69" t="str">
        <x:v>SRC019</x:v>
      </x:c>
      <x:c r="B23" s="69" t="str">
        <x:v>20240730 錦祥工程行 _浴室天花板_.md</x:v>
      </x:c>
      <x:c r="C23" s="69" t="str">
        <x:v>2024-07-30</x:v>
      </x:c>
      <x:c r="D23" s="69" t="str">
        <x:v>估價單</x:v>
      </x:c>
      <x:c r="E23" s="70"/>
      <x:c r="F23" s="71" t="str">
        <x:v>text：電話: 0972--164929&lt;/td&gt;&lt;td rowspan="3" colspan="3"&gt;付款方式:&lt;/td&gt;&lt;/tr&gt;&lt;tr&gt;&lt;td colspan="5"&gt;工程地址: 苗栗一後龍&lt;/td&gt;&lt;/tr&gt;&lt;tr&gt;&lt;td colspan="2"&gt;傳真:&lt;/td&gt;&lt;td colspan="3"&gt;統一編號:&lt;/td&gt;&lt;/tr&gt;&lt;tr&gt;&lt;td&gt;項次&lt;/td&gt;&lt;td colspan="2"&gt;品名&lt;/td&gt;&lt;td&gt;數量&lt;/td&gt;&lt;td&gt;單位&lt;/td&gt;&lt;td&gt;單價&lt;/td&gt;&lt;td&gt;總價&lt;/td…（詳原文索引）</x:v>
      </x:c>
      <x:c r="G23" s="71" t="str">
        <x:v>marker：文件未載明；source_locator：文件未載明</x:v>
      </x:c>
      <x:c r="H23" s="71" t="str">
        <x:v>各廠商合約&amp; 報價\MD檔案\20240730 錦祥工程行 _浴室天花板_.md</x:v>
      </x:c>
    </x:row>
    <x:row r="24">
      <x:c r="A24" s="69" t="str">
        <x:v>SRC020</x:v>
      </x:c>
      <x:c r="B24" s="69" t="str">
        <x:v>20240802 宏交 弱電系統.md</x:v>
      </x:c>
      <x:c r="C24" s="69" t="str">
        <x:v>2024-08-02</x:v>
      </x:c>
      <x:c r="D24" s="69" t="str">
        <x:v>合約書／報價單</x:v>
      </x:c>
      <x:c r="E24" s="70" t="n">
        <x:v>320000</x:v>
      </x:c>
      <x:c r="F24" s="71" t="str">
        <x:v>text：四、本合約報價含系統安裝測試，乙方負責系統安裝及測試，合約全部器材、甲方付清兌現貨款後、器材方屬甲方所有。若產品於七日內有瑕疵時，乙方須同意立即以新品更換，以維持系統之正常運作。；source_locator：本文第27行；text：五、付款方式：訂金20%(30日內票期)，安裝完成75%(票期30日內票期)，業主驗收5%(30日內票期)。；source_locator：本文第29行；text：一、乙方於安裝完工後須提供單據，由甲方清點簽認驗收，甲方如有異議得於安裝完工後三日內覆函告知…（詳原文索引）</x:v>
      </x:c>
      <x:c r="G24" s="71" t="str">
        <x:v>marker：議價；source_locator：本文第231行</x:v>
      </x:c>
      <x:c r="H24" s="71" t="str">
        <x:v>各廠商合約&amp; 報價\MD檔案\20240802 宏交 弱電系統.md</x:v>
      </x:c>
    </x:row>
    <x:row r="25">
      <x:c r="A25" s="69" t="str">
        <x:v>SRC021</x:v>
      </x:c>
      <x:c r="B25" s="69" t="str">
        <x:v>20240809 塑豐 玻璃欄桿.md</x:v>
      </x:c>
      <x:c r="C25" s="69" t="str">
        <x:v>文件未載明</x:v>
      </x:c>
      <x:c r="D25" s="69" t="str">
        <x:v>文件未載明</x:v>
      </x:c>
      <x:c r="E25" s="70"/>
      <x:c r="F25" s="71" t="str">
        <x:v>text：文件未載明；source_locator：文件未載明</x:v>
      </x:c>
      <x:c r="G25" s="71" t="str">
        <x:v>marker：文件未載明；source_locator：文件未載明</x:v>
      </x:c>
      <x:c r="H25" s="71" t="str">
        <x:v>各廠商合約&amp; 報價\MD檔案\20240809 塑豐 玻璃欄桿.md</x:v>
      </x:c>
    </x:row>
    <x:row r="26">
      <x:c r="A26" s="69" t="str">
        <x:v>SRC022</x:v>
      </x:c>
      <x:c r="B26" s="69" t="str">
        <x:v>20240812 協力建材行.md</x:v>
      </x:c>
      <x:c r="C26" s="69" t="str">
        <x:v>2024-08-12</x:v>
      </x:c>
      <x:c r="D26" s="69" t="str">
        <x:v>報價單</x:v>
      </x:c>
      <x:c r="E26" s="70"/>
      <x:c r="F26" s="71" t="str">
        <x:v>text：三、依實際進貨數量請款100% 30天期票。；source_locator：本文第27行</x:v>
      </x:c>
      <x:c r="G26" s="71" t="str">
        <x:v>marker：文件未載明；source_locator：文件未載明</x:v>
      </x:c>
      <x:c r="H26" s="71" t="str">
        <x:v>各廠商合約&amp; 報價\MD檔案\20240812 協力建材行.md</x:v>
      </x:c>
    </x:row>
    <x:row r="27">
      <x:c r="A27" s="69" t="str">
        <x:v>SRC023</x:v>
      </x:c>
      <x:c r="B27" s="69" t="str">
        <x:v>20240819 順靖 樓梯扶手.md</x:v>
      </x:c>
      <x:c r="C27" s="69" t="str">
        <x:v>2024-08-19</x:v>
      </x:c>
      <x:c r="D27" s="69" t="str">
        <x:v>報價單</x:v>
      </x:c>
      <x:c r="E27" s="70" t="n">
        <x:v>30</x:v>
      </x:c>
      <x:c r="F27" s="71" t="str">
        <x:v>text：2) 付款方式：本報價單可視同正式訂單。訂單確認後，一週內預付訂單總金額 30%，訂單始成立。；source_locator：本文第33行；text：尾款 70%現金票於進場施工日起逐月請款當月實作進度款項，並於本扶手工程完工當月即配合驗收完成尾款支付。；source_locator：本文第35行</x:v>
      </x:c>
      <x:c r="G27" s="71" t="str">
        <x:v>marker：版次：1；source_locator：本文第7行</x:v>
      </x:c>
      <x:c r="H27" s="71" t="str">
        <x:v>各廠商合約&amp; 報價\MD檔案\20240819 順靖 樓梯扶手.md</x:v>
      </x:c>
    </x:row>
    <x:row r="28">
      <x:c r="A28" s="69" t="str">
        <x:v>SRC024</x:v>
      </x:c>
      <x:c r="B28" s="69" t="str">
        <x:v>20240820 富日東 塗料.md</x:v>
      </x:c>
      <x:c r="C28" s="69" t="str">
        <x:v>文件未載明</x:v>
      </x:c>
      <x:c r="D28" s="69" t="str">
        <x:v>報價單</x:v>
      </x:c>
      <x:c r="E28" s="70"/>
      <x:c r="F28" s="71" t="str">
        <x:v>text：8. 付款方式：；source_locator：本文第37行；text：簽約訂金：總價 30%，以現金匯款或即期支票給付。；source_locator：本文第39行；text：進度款：總價 65%，每月依進度請款，以現金匯款或即期支票給付。；source_locator：本文第41行；text：驗收款：預計為總價 5%，確切金額為最後追加減結算差額。驗收完成後，以現金匯款或即期支票給付。；source_locator：本文第43行</x:v>
      </x:c>
      <x:c r="G28" s="71" t="str">
        <x:v>marker：追加；source_locator：本文第43行</x:v>
      </x:c>
      <x:c r="H28" s="71" t="str">
        <x:v>各廠商合約&amp; 報價\MD檔案\20240820 富日東 塗料.md</x:v>
      </x:c>
    </x:row>
    <x:row r="29">
      <x:c r="A29" s="69" t="str">
        <x:v>SRC025</x:v>
      </x:c>
      <x:c r="B29" s="69" t="str">
        <x:v>20240910 順靖 玻璃欄杆(透明).md</x:v>
      </x:c>
      <x:c r="C29" s="69" t="str">
        <x:v>2024-09-10</x:v>
      </x:c>
      <x:c r="D29" s="69" t="str">
        <x:v>報價單</x:v>
      </x:c>
      <x:c r="E29" s="70" t="n">
        <x:v>30</x:v>
      </x:c>
      <x:c r="F29" s="71" t="str">
        <x:v>text：尾款 70% 現金票於進場施工日起逐月請款當月實作進度款項，並於本欄杆工程完工當月即配合驗收完成尾款支付 4) 報價單有效期限：2024/9/19；source_locator：本文第1行；text：3)付款方式：本報價單可視同正式訂單。訂單確認後，一週內預付訂單總金額 $30\%$ ，訂單始成立。；source_locator：本文第32行</x:v>
      </x:c>
      <x:c r="G29" s="71" t="str">
        <x:v>marker：版次：2；source_locator：本文第7行</x:v>
      </x:c>
      <x:c r="H29" s="71" t="str">
        <x:v>各廠商合約&amp; 報價\MD檔案\20240910 順靖 玻璃欄杆(透明).md</x:v>
      </x:c>
    </x:row>
    <x:row r="30">
      <x:c r="A30" s="69" t="str">
        <x:v>SRC026</x:v>
      </x:c>
      <x:c r="B30" s="69" t="str">
        <x:v>20241004 順靖 玻璃欄杆_透明_木紋握桿_ 議價.md</x:v>
      </x:c>
      <x:c r="C30" s="69" t="str">
        <x:v>2024-10-04</x:v>
      </x:c>
      <x:c r="D30" s="69" t="str">
        <x:v>文件未載明</x:v>
      </x:c>
      <x:c r="E30" s="70" t="n">
        <x:v>30</x:v>
      </x:c>
      <x:c r="F30" s="71" t="str">
        <x:v>text：3)付款方式：本報價單可視同正式訂單。訂單確認後，一週內預付訂單總金額 $30\%$ ，訂單始成立。；source_locator：本文第46行；text：尾款 70% 現金票於進場施工日起逐月請款當月實作進度款項，並於本欄杆工程完工當月即配合驗收完成尾款支付。；source_locator：本文第48行</x:v>
      </x:c>
      <x:c r="G30" s="71" t="str">
        <x:v>marker：版次：3；source_locator：本文第5行；marker：版次：3；source_locator：本文第5行；marker：議價；source_locator：本文第26行</x:v>
      </x:c>
      <x:c r="H30" s="71" t="str">
        <x:v>各廠商合約&amp; 報價\MD檔案\20241004 順靖 玻璃欄杆_透明_木紋握桿_ 議價.md</x:v>
      </x:c>
    </x:row>
    <x:row r="31">
      <x:c r="A31" s="69" t="str">
        <x:v>SRC027</x:v>
      </x:c>
      <x:c r="B31" s="69" t="str">
        <x:v>20241009 安翊 滴水條.md</x:v>
      </x:c>
      <x:c r="C31" s="69" t="str">
        <x:v>2024-10-09</x:v>
      </x:c>
      <x:c r="D31" s="69" t="str">
        <x:v>報價單</x:v>
      </x:c>
      <x:c r="E31" s="70" t="n">
        <x:v>207375</x:v>
      </x:c>
      <x:c r="F31" s="71" t="str">
        <x:v>text：&lt;table&gt;&lt;tr&gt;&lt;td colspan="6"&gt;客戶名稱:向上建設統一編號90057101報價單號:20241009001聯絡地址:苗栗縣竹南鎮康德街71號報價日期:113/10/9連絡人:許志豪0928652985負責業務:何義軒0921-114945電話:03 7775355*985傳真:幣別:NT$有效期限:至圖檔:稅別:外加&lt;/td&gt;&lt;/tr&gt;&lt;tr&gt;&lt;td&gt;產品編號&lt;/td&gt;&lt;td&gt;產品名稱/規格描述&lt;/td&gt;&lt;td&gt;&lt;/td&gt;&lt;td&gt;單位&lt;/td&gt;&lt;td&gt;單價&lt;/td…（詳原文索引）</x:v>
      </x:c>
      <x:c r="G31" s="71" t="str">
        <x:v>marker：文件未載明；source_locator：文件未載明</x:v>
      </x:c>
      <x:c r="H31" s="71" t="str">
        <x:v>各廠商合約&amp; 報價\MD檔案\20241009 安翊 滴水條.md</x:v>
      </x:c>
    </x:row>
    <x:row r="32">
      <x:c r="A32" s="69" t="str">
        <x:v>SRC028</x:v>
      </x:c>
      <x:c r="B32" s="69" t="str">
        <x:v>20241016 塑豐 房間門改先立.md</x:v>
      </x:c>
      <x:c r="C32" s="69" t="str">
        <x:v>文件未載明</x:v>
      </x:c>
      <x:c r="D32" s="69" t="str">
        <x:v>報價單</x:v>
      </x:c>
      <x:c r="E32" s="70" t="n">
        <x:v>295588</x:v>
      </x:c>
      <x:c r="F32" s="71" t="str">
        <x:v>text：文件未載明；source_locator：文件未載明</x:v>
      </x:c>
      <x:c r="G32" s="71" t="str">
        <x:v>marker：文件未載明；source_locator：文件未載明</x:v>
      </x:c>
      <x:c r="H32" s="71" t="str">
        <x:v>各廠商合約&amp; 報價\MD檔案\20241016 塑豐 房間門改先立.md</x:v>
      </x:c>
    </x:row>
    <x:row r="33">
      <x:c r="A33" s="69" t="str">
        <x:v>SRC029</x:v>
      </x:c>
      <x:c r="B33" s="69" t="str">
        <x:v>20241017 塑豐 防颱百葉窗.md</x:v>
      </x:c>
      <x:c r="C33" s="69" t="str">
        <x:v>2024-10-17</x:v>
      </x:c>
      <x:c r="D33" s="69" t="str">
        <x:v>報價單</x:v>
      </x:c>
      <x:c r="E33" s="70"/>
      <x:c r="F33" s="71" t="str">
        <x:v>text：文件未載明；source_locator：文件未載明</x:v>
      </x:c>
      <x:c r="G33" s="71" t="str">
        <x:v>marker：追加；source_locator：本文第1行</x:v>
      </x:c>
      <x:c r="H33" s="71" t="str">
        <x:v>各廠商合約&amp; 報價\MD檔案\20241017 塑豐 防颱百葉窗.md</x:v>
      </x:c>
    </x:row>
    <x:row r="34">
      <x:c r="A34" s="69" t="str">
        <x:v>SRC030</x:v>
      </x:c>
      <x:c r="B34" s="69" t="str">
        <x:v>20241126 塑豐 格柵.md</x:v>
      </x:c>
      <x:c r="C34" s="69" t="str">
        <x:v>2024-11-26</x:v>
      </x:c>
      <x:c r="D34" s="69" t="str">
        <x:v>報價單</x:v>
      </x:c>
      <x:c r="E34" s="70"/>
      <x:c r="F34" s="71" t="str">
        <x:v>text：文件未載明；source_locator：文件未載明</x:v>
      </x:c>
      <x:c r="G34" s="71" t="str">
        <x:v>marker：文件未載明；source_locator：文件未載明</x:v>
      </x:c>
      <x:c r="H34" s="71" t="str">
        <x:v>各廠商合約&amp; 報價\MD檔案\20241126 塑豐 格柵.md</x:v>
      </x:c>
    </x:row>
    <x:row r="35">
      <x:c r="A35" s="69" t="str">
        <x:v>SRC031</x:v>
      </x:c>
      <x:c r="B35" s="69" t="str">
        <x:v>20241211 塑豐 鍍鋅烤漆門 換手把.md</x:v>
      </x:c>
      <x:c r="C35" s="69" t="str">
        <x:v>2024-12-11</x:v>
      </x:c>
      <x:c r="D35" s="69" t="str">
        <x:v>報價單</x:v>
      </x:c>
      <x:c r="E35" s="70"/>
      <x:c r="F35" s="71" t="str">
        <x:v>text：文件未載明；source_locator：文件未載明</x:v>
      </x:c>
      <x:c r="G35" s="71" t="str">
        <x:v>marker：文件未載明；source_locator：文件未載明</x:v>
      </x:c>
      <x:c r="H35" s="71" t="str">
        <x:v>各廠商合約&amp; 報價\MD檔案\20241211 塑豐 鍍鋅烤漆門 換手把.md</x:v>
      </x:c>
    </x:row>
    <x:row r="36">
      <x:c r="A36" s="69" t="str">
        <x:v>SRC032</x:v>
      </x:c>
      <x:c r="B36" s="69" t="str">
        <x:v>20250212 智慧城植草磚、透水磚.md</x:v>
      </x:c>
      <x:c r="C36" s="69" t="str">
        <x:v>文件未載明</x:v>
      </x:c>
      <x:c r="D36" s="69" t="str">
        <x:v>合約；報價／估價</x:v>
      </x:c>
      <x:c r="E36" s="70" t="n">
        <x:v>59568</x:v>
      </x:c>
      <x:c r="F36" s="71" t="str">
        <x:v>source：Markdown line 15；text：手機:蘇小姐0975-210366 V 地點:後龍鎮新東路116號旁 規格名稱 數量 單位 單價 金額 備註 雙八植草磚 62.63 m2 550 34,447 此為業主提共數量尺寸:24*24*8CM 336透水磚(本色) 8.44 m2 560 4,726 此為業主提共數量尺寸:30*30*6CM 15噸運費 1.00 越 2500 2,500 以越計價 雙八植草磚工資(不含覆土植草) 62.63 m2 200 12,526 此為軟鋪…（詳原文索引）</x:v>
      </x:c>
      <x:c r="G36" s="71" t="str">
        <x:v>marker：回傳；evidence：50%.尾款50%施作完畢後尾款3日內現金貨匯款結帳完成.謝謝!(現金不折扣)請全額支付,零保留。&lt;/td&gt;&lt;/tr&gt;&lt;tr&gt;&lt;td colspan="6"&gt;備註:請確認無誤後簽章回傳.方可盡快為貴公司安排出貨事宜.謝謝。&lt;/td&gt;&lt;/tr&gt;&lt;tr&gt;&lt;td&gt;智慧城企業有限公司負責人…（詳原文索引）</x:v>
      </x:c>
      <x:c r="H36" s="71" t="str">
        <x:v>各廠商合約&amp; 報價\MD檔案\20250212 智慧城植草磚、透水磚.md</x:v>
      </x:c>
    </x:row>
    <x:row r="37">
      <x:c r="A37" s="69" t="str">
        <x:v>SRC033</x:v>
      </x:c>
      <x:c r="B37" s="69" t="str">
        <x:v>20250220 塑豐 格柵 追加.md</x:v>
      </x:c>
      <x:c r="C37" s="69" t="str">
        <x:v>文件未載明</x:v>
      </x:c>
      <x:c r="D37" s="69" t="str">
        <x:v>報價／估價</x:v>
      </x:c>
      <x:c r="E37" s="70" t="n">
        <x:v>2</x:v>
      </x:c>
      <x:c r="F37" s="71" t="str">
        <x:v>source：文件未載明；text：文件未載明</x:v>
      </x:c>
      <x:c r="G37" s="71" t="str">
        <x:v>marker：追加；evidence：20250220 塑豐 格柵 追加.md；marker：追加；evidence：d&gt;&lt;/tr&gt;&lt;/table&gt; 報價說明 電話：037-775355\*985傳真： 日期：114.02.20 工程名稱：向上建設集合住宅等11戶新建工程 ## 鋁格柵一追加報價單 客戶名稱：向上建設股…（詳原文索引）</x:v>
      </x:c>
      <x:c r="H37" s="71" t="str">
        <x:v>各廠商合約&amp; 報價\MD檔案\20250220 塑豐 格柵 追加.md</x:v>
      </x:c>
    </x:row>
    <x:row r="38">
      <x:c r="A38" s="69" t="str">
        <x:v>SRC034</x:v>
      </x:c>
      <x:c r="B38" s="69" t="str">
        <x:v>20250220 裕苗表內管報價.md</x:v>
      </x:c>
      <x:c r="C38" s="69" t="str">
        <x:v>文件未載明</x:v>
      </x:c>
      <x:c r="D38" s="69" t="str">
        <x:v>報價／估價</x:v>
      </x:c>
      <x:c r="E38" s="70" t="n">
        <x:v>2</x:v>
      </x:c>
      <x:c r="F38" s="71" t="str">
        <x:v>source：文件未載明；text：文件未載明</x:v>
      </x:c>
      <x:c r="G38" s="71" t="str">
        <x:v>marker：文件未載明；evidence：文件未載明</x:v>
      </x:c>
      <x:c r="H38" s="71" t="str">
        <x:v>各廠商合約&amp; 報價\MD檔案\20250220 裕苗表內管報價.md</x:v>
      </x:c>
    </x:row>
    <x:row r="39">
      <x:c r="A39" s="69" t="str">
        <x:v>SRC035</x:v>
      </x:c>
      <x:c r="B39" s="69" t="str">
        <x:v>20250506 楠弘柏加 _廚房Grohe伸縮龍頭_.md</x:v>
      </x:c>
      <x:c r="C39" s="69" t="str">
        <x:v>文件未載明</x:v>
      </x:c>
      <x:c r="D39" s="69" t="str">
        <x:v>報價／估價</x:v>
      </x:c>
      <x:c r="E39" s="70" t="n">
        <x:v>96800</x:v>
      </x:c>
      <x:c r="F39" s="71" t="str">
        <x:v>source：文件未載明；text：文件未載明</x:v>
      </x:c>
      <x:c r="G39" s="71" t="str">
        <x:v>marker：文件未載明；evidence：文件未載明</x:v>
      </x:c>
      <x:c r="H39" s="71" t="str">
        <x:v>各廠商合約&amp; 報價\MD檔案\20250506 楠弘柏加 _廚房Grohe伸縮龍頭_.md</x:v>
      </x:c>
    </x:row>
    <x:row r="40">
      <x:c r="A40" s="69" t="str">
        <x:v>SRC036</x:v>
      </x:c>
      <x:c r="B40" s="69" t="str">
        <x:v>20250508 楠弘柏加 合約.md</x:v>
      </x:c>
      <x:c r="C40" s="69" t="str">
        <x:v>文件未載明</x:v>
      </x:c>
      <x:c r="D40" s="69" t="str">
        <x:v>合約；報價／估價</x:v>
      </x:c>
      <x:c r="E40" s="70" t="n">
        <x:v>113019</x:v>
      </x:c>
      <x:c r="F40" s="71" t="str">
        <x:v>source：Markdown line 37；text：四、付款方式：；source：Markdown line 39；text：第一期：本合約書簽訂之同時，甲方應以現金匯款支付乙方總貨款20%為訂金；source：Markdown line 41；text：第二期：甲方需於乙方交貨工地驗收合格，檢附相關銷貨單及請款以現金匯款支付乙方交貨總貨款75%。；source：Markdown line 43；text：第三期：第一戶交屋後，檢附相關銷貨單及請款單，以現金匯款支付乙方交貨總貨款之5%尾款…（詳原文索引）</x:v>
      </x:c>
      <x:c r="G40" s="71" t="str">
        <x:v>marker：文件未載明；evidence：文件未載明</x:v>
      </x:c>
      <x:c r="H40" s="71" t="str">
        <x:v>各廠商合約&amp; 報價\MD檔案\20250508 楠弘柏加 合約.md</x:v>
      </x:c>
    </x:row>
    <x:row r="41">
      <x:c r="A41" s="69" t="str">
        <x:v>SRC037</x:v>
      </x:c>
      <x:c r="B41" s="69" t="str">
        <x:v>20250514 TOTO 衛浴更新.md</x:v>
      </x:c>
      <x:c r="C41" s="69" t="str">
        <x:v>文件未載明</x:v>
      </x:c>
      <x:c r="D41" s="69" t="str">
        <x:v>合約；報價／估價</x:v>
      </x:c>
      <x:c r="E41" s="70" t="n">
        <x:v>4</x:v>
      </x:c>
      <x:c r="F41" s="71" t="str">
        <x:v>source：Markdown line 11；text：公司名稱:向上建設股份有限公司 地址:苗栗縣竹南鎮中正路423號 案件名稱: 電話:0932-695878 聯絡人:洪建豪先生 傳真: 項次 品名 規格 數量 單價 金額 備 註 1 單體馬桶 CW288SGUR 11 13,620 149,820 2 單體馬桶 CW889CDRTW 11 12,300 135,300 3 溫水洗淨便座 TCF4911ETR 11 31,410 345,510 特惠價 4 溫水洗淨便座 TCF23360A…（詳原文索引）</x:v>
      </x:c>
      <x:c r="G41" s="71" t="str">
        <x:v>marker：更新；evidence：20250514 TOTO 衛浴更新.md</x:v>
      </x:c>
      <x:c r="H41" s="71" t="str">
        <x:v>各廠商合約&amp; 報價\MD檔案\20250514 TOTO 衛浴更新.md</x:v>
      </x:c>
    </x:row>
    <x:row r="42">
      <x:c r="A42" s="69" t="str">
        <x:v>SRC038</x:v>
      </x:c>
      <x:c r="B42" s="69" t="str">
        <x:v>20250807 順靖 玻璃修復.md</x:v>
      </x:c>
      <x:c r="C42" s="69" t="str">
        <x:v>2025-08-07</x:v>
      </x:c>
      <x:c r="D42" s="69" t="str">
        <x:v>報價／估價</x:v>
      </x:c>
      <x:c r="E42" s="70"/>
      <x:c r="F42" s="71" t="str">
        <x:v>source：Markdown line 37；text：3) 付款方式：本報價單可視同正式訂單。訂單確認後，於本欄杆工程完工當月即配合驗收完成100%支付。</x:v>
      </x:c>
      <x:c r="G42" s="71" t="str">
        <x:v>marker：更新；evidence：&gt;&lt;tr&gt;&lt;td&gt;戶名&lt;/td&gt;&lt;td&gt;樓層&lt;/td&gt;&lt;/tr&gt;&lt;tr&gt;&lt;td&gt;1&lt;/td&gt;&lt;td&gt;/&lt;/td&gt;&lt;td&gt;R1F&lt;/td&gt;&lt;td&gt;更換5+5mm單強化透明膠合玻璃上蓋更新、人工費&lt;/td&gt;&lt;td&gt;式&lt;/td&gt;&lt;td&gt;1&lt;/td&gt;&lt;td&gt;$8,000&lt;/td&gt;&lt;td&gt;$…（詳原文索引）</x:v>
      </x:c>
      <x:c r="H42" s="71" t="str">
        <x:v>各廠商合約&amp; 報價\MD檔案\20250807 順靖 玻璃修復.md</x:v>
      </x:c>
    </x:row>
    <x:row r="43">
      <x:c r="A43" s="69" t="str">
        <x:v>SRC039</x:v>
      </x:c>
      <x:c r="B43" s="69" t="str">
        <x:v>20250922宇勝工程行-水電報價單.md</x:v>
      </x:c>
      <x:c r="C43" s="69" t="str">
        <x:v>文件未載明</x:v>
      </x:c>
      <x:c r="D43" s="69" t="str">
        <x:v>報價／估價</x:v>
      </x:c>
      <x:c r="E43" s="70" t="n">
        <x:v>2600000</x:v>
      </x:c>
      <x:c r="F43" s="71" t="str">
        <x:v>source：Markdown line 13；text：3. 本估價單付款條件：□期票；source：Markdown line 17；text：4. 如蒙惠故先付訂金</x:v>
      </x:c>
      <x:c r="G43" s="71" t="str">
        <x:v>marker：文件未載明；evidence：文件未載明</x:v>
      </x:c>
      <x:c r="H43" s="71" t="str">
        <x:v>各廠商合約&amp; 報價\MD檔案\20250922宇勝工程行-水電報價單.md</x:v>
      </x:c>
    </x:row>
    <x:row r="44">
      <x:c r="A44" s="69" t="str">
        <x:v>SRC040</x:v>
      </x:c>
      <x:c r="B44" s="69" t="str">
        <x:v>20250922晶鼎鐳射-電梯門框包版報價單.md</x:v>
      </x:c>
      <x:c r="C44" s="69" t="str">
        <x:v>文件未載明</x:v>
      </x:c>
      <x:c r="D44" s="69" t="str">
        <x:v>報價／估價</x:v>
      </x:c>
      <x:c r="E44" s="70"/>
      <x:c r="F44" s="71" t="str">
        <x:v>source：Markdown line 11；text：地址: 台中市豐原區三豐路二段549巷331弄102號附註：1.付款條件：□票期：固定月結\_60天。</x:v>
      </x:c>
      <x:c r="G44" s="71" t="str">
        <x:v>marker：文件未載明；evidence：文件未載明</x:v>
      </x:c>
      <x:c r="H44" s="71" t="str">
        <x:v>各廠商合約&amp; 報價\MD檔案\20250922晶鼎鐳射-電梯門框包版報價單.md</x:v>
      </x:c>
    </x:row>
    <x:row r="45">
      <x:c r="A45" s="69" t="str">
        <x:v>SRC041</x:v>
      </x:c>
      <x:c r="B45" s="69" t="str">
        <x:v>20250923山源工程行-2樓陽台地坪防水工程報價單.md</x:v>
      </x:c>
      <x:c r="C45" s="69" t="str">
        <x:v>文件未載明</x:v>
      </x:c>
      <x:c r="D45" s="69" t="str">
        <x:v>報價／估價</x:v>
      </x:c>
      <x:c r="E45" s="70"/>
      <x:c r="F45" s="71" t="str">
        <x:v>source：文件未載明；text：文件未載明</x:v>
      </x:c>
      <x:c r="G45" s="71" t="str">
        <x:v>marker：文件未載明；evidence：文件未載明</x:v>
      </x:c>
      <x:c r="H45" s="71" t="str">
        <x:v>各廠商合約&amp; 報價\MD檔案\20250923山源工程行-2樓陽台地坪防水工程報價單.md</x:v>
      </x:c>
    </x:row>
    <x:row r="46">
      <x:c r="A46" s="69" t="str">
        <x:v>SRC042</x:v>
      </x:c>
      <x:c r="B46" s="69" t="str">
        <x:v>20251016電箱報價單回傳.md</x:v>
      </x:c>
      <x:c r="C46" s="69" t="str">
        <x:v>文件未載明</x:v>
      </x:c>
      <x:c r="D46" s="69" t="str">
        <x:v>報價／估價</x:v>
      </x:c>
      <x:c r="E46" s="70" t="n">
        <x:v>295000</x:v>
      </x:c>
      <x:c r="F46" s="71" t="str">
        <x:v>source：Markdown line 115；text：項目 品名規格 單位 數量 單價 金額 備註 10 運費(貨車可到達地)至後龍 式 1 3,500 3,500 新台幣:貳拾捌萬捌仟陸佰零肆元整(未稅) 總計 備註:1、交貨期限:報價單回簽後,10個工作日。2、交貨地點:貨車可達之地面。3、付款條件:貨到60天期票。(首次交易,請付現金)4、有效期限:報價日起7天以內。 客戶簽章 議價後$295,000未稅 壹公股向用司份上章約限設；source：HTML table 4 row 27…（詳原文索引）</x:v>
      </x:c>
      <x:c r="G46" s="71" t="str">
        <x:v>marker：回傳；evidence：20251016電箱報價單回傳.md；marker：回傳；evidence：r&gt;&lt;td colspan="4"&gt;議價後$295,000未稅&lt;/td&gt;&lt;td&gt;壹公股向用司份上章約限設&lt;/td&gt;&lt;/tr&gt;&lt;/table&gt; \*如確認無誤，請簽名或蓋公司章後，回傳至03-5519179或…（詳原文索引）</x:v>
      </x:c>
      <x:c r="H46" s="71" t="str">
        <x:v>各廠商合約&amp; 報價\MD檔案\20251016電箱報價單回傳.md</x:v>
      </x:c>
    </x:row>
    <x:row r="47">
      <x:c r="A47" s="69" t="str">
        <x:v>SRC043</x:v>
      </x:c>
      <x:c r="B47" s="69" t="str">
        <x:v>20251022達成鑫-竹節鋼筋報價單回傳.md</x:v>
      </x:c>
      <x:c r="C47" s="69" t="str">
        <x:v>文件未載明</x:v>
      </x:c>
      <x:c r="D47" s="69" t="str">
        <x:v>合約；報價／估價</x:v>
      </x:c>
      <x:c r="E47" s="70"/>
      <x:c r="F47" s="71" t="str">
        <x:v>source：Markdown line 23；text：(3) 付款方式：訂約時全額預付匯款，依實送數量計價100%，多退少補。；source：Markdown line 24；text：匯款至:第一銀行(東門分行)302-10-021600 達成鑫鋼鐵股份有限公司</x:v>
      </x:c>
      <x:c r="G47" s="71" t="str">
        <x:v>marker：回傳；evidence：20251022達成鑫-竹節鋼筋報價單回傳.md</x:v>
      </x:c>
      <x:c r="H47" s="71" t="str">
        <x:v>各廠商合約&amp; 報價\MD檔案\20251022達成鑫-竹節鋼筋報價單回傳.md</x:v>
      </x:c>
    </x:row>
    <x:row r="48">
      <x:c r="A48" s="69" t="str">
        <x:v>SRC044</x:v>
      </x:c>
      <x:c r="B48" s="69" t="str">
        <x:v>20251030台灣吉田智能科技衛浴報價單回傳.md</x:v>
      </x:c>
      <x:c r="C48" s="69" t="str">
        <x:v>2025-08-27</x:v>
      </x:c>
      <x:c r="D48" s="69" t="str">
        <x:v>合約；報價／估價</x:v>
      </x:c>
      <x:c r="E48" s="70" t="n">
        <x:v>132000</x:v>
      </x:c>
      <x:c r="F48" s="71" t="str">
        <x:v>source：Markdown line 7；text：客戶編號 B994建設公司向上建設股份有限公司 報價日期 2025/08/27 連絡人 採購-謝婉琳 報價單號 202508.022 連絡電話 專案名稱 送貨地址 苗栗 報價有效期 2025.10.31 付款條件: 現金匯款預計交貨日期: 生產天約15工作天左右 提早好會再通知備註內容: 90057101向上建設股份有限公司 產品編號 產品名稱 數量 單價 金額小計 圖片 商品附註 M-999 四方圓清鏡50*70三色燈觸控切換+觸控除霧 …（詳原文索引）</x:v>
      </x:c>
      <x:c r="G48" s="71" t="str">
        <x:v>marker：回傳；evidence：20251030台灣吉田智能科技衛浴報價單回傳.md</x:v>
      </x:c>
      <x:c r="H48" s="71" t="str">
        <x:v>各廠商合約&amp; 報價\MD檔案\20251030台灣吉田智能科技衛浴報價單回傳.md</x:v>
      </x:c>
    </x:row>
    <x:row r="49">
      <x:c r="A49" s="69" t="str">
        <x:v>SRC045</x:v>
      </x:c>
      <x:c r="B49" s="69" t="str">
        <x:v>20251030永富工程-圍牆報價單回傳.md</x:v>
      </x:c>
      <x:c r="C49" s="69" t="str">
        <x:v>2025-10-29</x:v>
      </x:c>
      <x:c r="D49" s="69" t="str">
        <x:v>文件類型待確認</x:v>
      </x:c>
      <x:c r="E49" s="70" t="n">
        <x:v>174421</x:v>
      </x:c>
      <x:c r="F49" s="71" t="str">
        <x:v>source：文件未載明；text：文件未載明</x:v>
      </x:c>
      <x:c r="G49" s="71" t="str">
        <x:v>marker：回傳；evidence：20251030永富工程-圍牆報價單回傳.md</x:v>
      </x:c>
      <x:c r="H49" s="71" t="str">
        <x:v>各廠商合約&amp; 報價\MD檔案\20251030永富工程-圍牆報價單回傳.md</x:v>
      </x:c>
    </x:row>
    <x:row r="50">
      <x:c r="A50" s="69" t="str">
        <x:v>SRC046</x:v>
      </x:c>
      <x:c r="B50" s="69" t="str">
        <x:v>20251030向上拾壹間新建工程菊水利諾合約回傳.md</x:v>
      </x:c>
      <x:c r="C50" s="69" t="str">
        <x:v>2025-10-01</x:v>
      </x:c>
      <x:c r="D50" s="69" t="str">
        <x:v>合約；報價／估價</x:v>
      </x:c>
      <x:c r="E50" s="70" t="n">
        <x:v>10</x:v>
      </x:c>
      <x:c r="F50" s="71" t="str">
        <x:v>source：Markdown line 39；text：## 第五條 付款方式：；source：Markdown line 41；text：1. 本工程預付款為工程契約總價的30%，乙方應於簽約日後起算七個工作日內送達發票，甲方即於收到發票日後起算七個工作日內付款。；source：Markdown line 43；text：2. 本工程款的完工款為工程契約總價的 60%，乙方應於完工日後起算七個工作日內送達發票，甲方即於收到發票日後七個工作日內付款。；source：Markdown line …（詳原文索引）</x:v>
      </x:c>
      <x:c r="G50" s="71" t="str">
        <x:v>marker：回傳；evidence：20251030向上拾壹間新建工程菊水利諾合約回傳.md；marker：回傳；evidence：按實做數量計價。※此報價內容為2025年~2026年共2年於貴公司案使用菊水商品累積共2,000m以上為前提所設定之特別價格。&lt;/td&gt;&lt;/tr&gt;&lt;/table&gt; ※請確認後簽名回傳，萬…（詳原文索引）</x:v>
      </x:c>
      <x:c r="H50" s="71" t="str">
        <x:v>各廠商合約&amp; 報價\MD檔案\20251030向上拾壹間新建工程菊水利諾合約回傳.md</x:v>
      </x:c>
    </x:row>
    <x:row r="51">
      <x:c r="A51" s="69" t="str">
        <x:v>SRC047</x:v>
      </x:c>
      <x:c r="B51" s="69" t="str">
        <x:v>20251104升駿工程報價單回傳.md</x:v>
      </x:c>
      <x:c r="C51" s="69" t="str">
        <x:v>文件未載明</x:v>
      </x:c>
      <x:c r="D51" s="69" t="str">
        <x:v>合約；報價／估價</x:v>
      </x:c>
      <x:c r="E51" s="70" t="n">
        <x:v>800</x:v>
      </x:c>
      <x:c r="F51" s="71" t="str">
        <x:v>source：Markdown line 9；text：付款人；source：Markdown line 33；text：付款方式:清運結束收現金或匯款。</x:v>
      </x:c>
      <x:c r="G51" s="71" t="str">
        <x:v>marker：回傳；evidence：20251104升駿工程報價單回傳.md；marker：回傳；evidence：&lt;/td&gt;&lt;td&gt;&lt;/td&gt;&lt;/tr&gt;&lt;tr&gt;&lt;td colspan="4"&gt;條款及細則&lt;/td&gt;&lt;/tr&gt;&lt;/table&gt; \- 本報價單等同契約書(一式兩份)，煩請確認後簽章回傳本單或郵寄。 付款方…（詳原文索引）</x:v>
      </x:c>
      <x:c r="H51" s="71" t="str">
        <x:v>各廠商合約&amp; 報價\MD檔案\20251104升駿工程報價單回傳.md</x:v>
      </x:c>
    </x:row>
    <x:row r="52">
      <x:c r="A52" s="69" t="str">
        <x:v>SRC048</x:v>
      </x:c>
      <x:c r="B52" s="69" t="str">
        <x:v>20251106山源工程-清水模潑水劑報價單回傳.md</x:v>
      </x:c>
      <x:c r="C52" s="69" t="str">
        <x:v>文件未載明</x:v>
      </x:c>
      <x:c r="D52" s="69" t="str">
        <x:v>報價／估價</x:v>
      </x:c>
      <x:c r="E52" s="70" t="n">
        <x:v>1</x:v>
      </x:c>
      <x:c r="F52" s="71" t="str">
        <x:v>source：文件未載明；text：文件未載明</x:v>
      </x:c>
      <x:c r="G52" s="71" t="str">
        <x:v>marker：回傳；evidence：20251106山源工程-清水模潑水劑報價單回傳.md</x:v>
      </x:c>
      <x:c r="H52" s="71" t="str">
        <x:v>各廠商合約&amp; 報價\MD檔案\20251106山源工程-清水模潑水劑報價單回傳.md</x:v>
      </x:c>
    </x:row>
    <x:row r="53">
      <x:c r="A53" s="69" t="str">
        <x:v>SRC049</x:v>
      </x:c>
      <x:c r="B53" s="69" t="str">
        <x:v>20251106昶盛製網-鋼線網報價單回傳.md</x:v>
      </x:c>
      <x:c r="C53" s="69" t="str">
        <x:v>文件未載明</x:v>
      </x:c>
      <x:c r="D53" s="69" t="str">
        <x:v>合約；報價／估價</x:v>
      </x:c>
      <x:c r="E53" s="70"/>
      <x:c r="F53" s="71" t="str">
        <x:v>source：Markdown line 37；text：2. 付款方式：當月結30天期票。</x:v>
      </x:c>
      <x:c r="G53" s="71" t="str">
        <x:v>marker：回傳；evidence：20251106昶盛製網-鋼線網報價單回傳.md；marker：回傳；evidence：事项： 1. 以上單價 不含5%營業稅及委外試驗費，且以實送實算計價，出貨數量超過原合約 10%以上需另行報價。 2. 付款方式：當月結30天期票。 3. 交貨日期：數量確認回傳後需通知生產 1…（詳原文索引）</x:v>
      </x:c>
      <x:c r="H53" s="71" t="str">
        <x:v>各廠商合約&amp; 報價\MD檔案\20251106昶盛製網-鋼線網報價單回傳.md</x:v>
      </x:c>
    </x:row>
    <x:row r="54">
      <x:c r="A54" s="69" t="str">
        <x:v>SRC050</x:v>
      </x:c>
      <x:c r="B54" s="69" t="str">
        <x:v>20251110晏成工程-鷹架報價單回傳.md</x:v>
      </x:c>
      <x:c r="C54" s="69" t="str">
        <x:v>文件未載明</x:v>
      </x:c>
      <x:c r="D54" s="69" t="str">
        <x:v>合約；報價／估價</x:v>
      </x:c>
      <x:c r="E54" s="70" t="n">
        <x:v>42</x:v>
      </x:c>
      <x:c r="F54" s="71" t="str">
        <x:v>source：文件未載明；text：文件未載明</x:v>
      </x:c>
      <x:c r="G54" s="71" t="str">
        <x:v>marker：回傳；evidence：20251110晏成工程-鷹架報價單回傳.md；marker：回傳；evidence：r&gt;&lt;tr&gt;&lt;td&gt;備註&lt;/td&gt;&lt;td colspan="4"&gt;1).本次報價非CNS-4750。2).此次交易實做實算,其他未盡事宜雙方得另行協議之。3).若同意此報價,請簽名回傳。4).依現…（詳原文索引）</x:v>
      </x:c>
      <x:c r="H54" s="71" t="str">
        <x:v>各廠商合約&amp; 報價\MD檔案\20251110晏成工程-鷹架報價單回傳.md</x:v>
      </x:c>
    </x:row>
    <x:row r="55">
      <x:c r="A55" s="69" t="str">
        <x:v>SRC051</x:v>
      </x:c>
      <x:c r="B55" s="69" t="str">
        <x:v>20251118卉鄉景觀-喬木移植報價單回傳.md</x:v>
      </x:c>
      <x:c r="C55" s="69" t="str">
        <x:v>文件未載明</x:v>
      </x:c>
      <x:c r="D55" s="69" t="str">
        <x:v>報價／估價</x:v>
      </x:c>
      <x:c r="E55" s="70" t="n">
        <x:v>12285</x:v>
      </x:c>
      <x:c r="F55" s="71" t="str">
        <x:v>source：Markdown line 11；text：品名 規格 單位 數量 單價 金額 備註 小葉欖仁移植&amp;樹穴圈起預留 1 怪手 TB215 植栽移植.樹穴開挖 工 1 5,000 5,000 2 園藝工 協助怪手.設置植草板.小搬運 工 1 3,500 3,500 3 植栽擋土板 H:45cm 組 2 600 1,200 4 雜項損耗 工具五金.運費 式 1 2,000 2,000 計 11,700 小計 計 11,700 稅金 5% 11,700 585 合計 12,285 壹萬貳仟…（詳原文索引）</x:v>
      </x:c>
      <x:c r="G55" s="71" t="str">
        <x:v>marker：回傳；evidence：20251118卉鄉景觀-喬木移植報價單回傳.md</x:v>
      </x:c>
      <x:c r="H55" s="71" t="str">
        <x:v>各廠商合約&amp; 報價\MD檔案\20251118卉鄉景觀-喬木移植報價單回傳.md</x:v>
      </x:c>
    </x:row>
    <x:row r="56">
      <x:c r="A56" s="69" t="str">
        <x:v>SRC052</x:v>
      </x:c>
      <x:c r="B56" s="69" t="str">
        <x:v>20251121長陽企業-格來得鐵捲門報價單回傳.md</x:v>
      </x:c>
      <x:c r="C56" s="69" t="str">
        <x:v>2025-11-20</x:v>
      </x:c>
      <x:c r="D56" s="69" t="str">
        <x:v>報價／估價</x:v>
      </x:c>
      <x:c r="E56" s="70"/>
      <x:c r="F56" s="71" t="str">
        <x:v>source：Markdown line 27；text：4.上述款項未全部兌現時，本公司仍保有產品所有權。</x:v>
      </x:c>
      <x:c r="G56" s="71" t="str">
        <x:v>marker：追加；evidence：&lt;td&gt;1.00&lt;/td&gt;&lt;td&gt;PCS&lt;/td&gt;&lt;td&gt;5,000&lt;/td&gt;&lt;td&gt;5,000&lt;/td&gt;&lt;td&gt;&lt;/td&gt;&lt;/tr&gt;&lt;tr&gt;&lt;td&gt;3&lt;/td&gt;&lt;td&gt;遙控器另作追加。原附3類,共計有11類。&lt;以下空白&gt;&lt;/td&gt;&lt;td&gt;8.00&lt;/td&gt;&lt;td&gt;類&lt;/td&gt;&lt;t…（詳原文索引）</x:v>
      </x:c>
      <x:c r="H56" s="71" t="str">
        <x:v>各廠商合約&amp; 報價\MD檔案\20251121長陽企業-格來得鐵捲門報價單回傳.md</x:v>
      </x:c>
    </x:row>
    <x:row r="57">
      <x:c r="A57" s="69" t="str">
        <x:v>SRC053</x:v>
      </x:c>
      <x:c r="B57" s="69" t="str">
        <x:v>20251121錦祥工程-隔間報價單回傳.md</x:v>
      </x:c>
      <x:c r="C57" s="69" t="str">
        <x:v>文件未載明</x:v>
      </x:c>
      <x:c r="D57" s="69" t="str">
        <x:v>合約；報價／估價</x:v>
      </x:c>
      <x:c r="E57" s="70" t="n">
        <x:v>3</x:v>
      </x:c>
      <x:c r="F57" s="71" t="str">
        <x:v>source：Markdown line 15；text：客戶名稱:向上建設電話:03-777-5355 付款方式: 工程地址:苗栗一後龍 傳真: 統一編號:90057101 項次 品名 數量 單位 單價 總價 備註 9mm雙面矽酸鈣板隔間 9 坪 3300 29700 不含油漆 60k隔音棉 9 坪 650 5850 銷售金額合計 35550 營業稅 含稅 未稅 1778 合計總金額 37328 35000 合計新台幣: 叁萬柒仟叁佰貳拾捌 元整 議價後含較 根據動產法第三章附條件買賣、買方購…（詳原文索引）</x:v>
      </x:c>
      <x:c r="G57" s="71" t="str">
        <x:v>marker：回傳；evidence：20251121錦祥工程-隔間報價單回傳.md</x:v>
      </x:c>
      <x:c r="H57" s="71" t="str">
        <x:v>各廠商合約&amp; 報價\MD檔案\20251121錦祥工程-隔間報價單回傳.md</x:v>
      </x:c>
    </x:row>
    <x:row r="58">
      <x:c r="A58" s="69" t="str">
        <x:v>SRC054</x:v>
      </x:c>
      <x:c r="B58" s="69" t="str">
        <x:v>20251124百鴻工程-陽台修補報價單回傳.md</x:v>
      </x:c>
      <x:c r="C58" s="69" t="str">
        <x:v>文件未載明</x:v>
      </x:c>
      <x:c r="D58" s="69" t="str">
        <x:v>報價／估價</x:v>
      </x:c>
      <x:c r="E58" s="70"/>
      <x:c r="F58" s="71" t="str">
        <x:v>source：文件未載明；text：文件未載明</x:v>
      </x:c>
      <x:c r="G58" s="71" t="str">
        <x:v>marker：回傳；evidence：20251124百鴻工程-陽台修補報價單回傳.md</x:v>
      </x:c>
      <x:c r="H58" s="71" t="str">
        <x:v>各廠商合約&amp; 報價\MD檔案\20251124百鴻工程-陽台修補報價單回傳.md</x:v>
      </x:c>
    </x:row>
    <x:row r="59">
      <x:c r="A59" s="69" t="str">
        <x:v>SRC055</x:v>
      </x:c>
      <x:c r="B59" s="69" t="str">
        <x:v>20251203安翊-滴水條報價單回傳.md</x:v>
      </x:c>
      <x:c r="C59" s="69" t="str">
        <x:v>文件未載明</x:v>
      </x:c>
      <x:c r="D59" s="69" t="str">
        <x:v>合約；報價／估價</x:v>
      </x:c>
      <x:c r="E59" s="70"/>
      <x:c r="F59" s="71" t="str">
        <x:v>source：Markdown line 29；text：產品編號 產品名稱/規格描述 單位 單價 金額 直線安裝 S-25-烤漆滴水條本體+配件+安裝+791膠一道(下方不 15.00 M $500 $7,500 車資補貼 1.00 式 $2,500 $2,500 *依實作數量計價,報價為一次施工費用, 付款條件:訂金30%現金/依施工進度月結支付70%(無保留款,30天內期票) 報價淨額 $10,000 稅 額 $500 送貨地址: 總金額 $10,500 備註: 1.本交易為附條件買賣,依…（詳原文索引）</x:v>
      </x:c>
      <x:c r="G59" s="71" t="str">
        <x:v>marker：回傳；evidence：20251203安翊-滴水條報價單回傳.md</x:v>
      </x:c>
      <x:c r="H59" s="71" t="str">
        <x:v>各廠商合約&amp; 報價\MD檔案\20251203安翊-滴水條報價單回傳.md</x:v>
      </x:c>
    </x:row>
    <x:row r="60">
      <x:c r="A60" s="69" t="str">
        <x:v>SRC056</x:v>
      </x:c>
      <x:c r="B60" s="69" t="str">
        <x:v>20251203長陽企業-格來得鐵捲門報價單回傳.md</x:v>
      </x:c>
      <x:c r="C60" s="69" t="str">
        <x:v>2025-11-20</x:v>
      </x:c>
      <x:c r="D60" s="69" t="str">
        <x:v>報價／估價</x:v>
      </x:c>
      <x:c r="E60" s="70"/>
      <x:c r="F60" s="71" t="str">
        <x:v>source：Markdown line 1；text：公司:長陽企業社/格來得竹苗分廠 客戶確認蓋章 向上建設股份有限公司統一發票專用章統一編號90057101TEL:037-775355負責人:洪建豪苗栗縣竹南鎮中港里中正路423號 收訂金 電話:03-5926-125 傳真:03-5926-617 住址:新竹縣芎林鄉文明路57號 聯絡人:黃品欣 0938-649-292；source：Markdown line 5；text：4. 上述款項未全部兌現時，本公司仍保有產品所有權。；sourc…（詳原文索引）</x:v>
      </x:c>
      <x:c r="G60" s="71" t="str">
        <x:v>marker：追加；evidence：&lt;td&gt;1.00&lt;/td&gt;&lt;td&gt;PCS&lt;/td&gt;&lt;td&gt;5,000&lt;/td&gt;&lt;td&gt;5,000&lt;/td&gt;&lt;td&gt;&lt;/td&gt;&lt;/tr&gt;&lt;tr&gt;&lt;td&gt;3&lt;/td&gt;&lt;td&gt;遙控器另作追加。原附3顆,共計有11顆。&lt;以下空白&gt;&lt;/td&gt;&lt;td&gt;8.00&lt;/td&gt;&lt;td&gt;顆&lt;/td&gt;&lt;t…（詳原文索引）</x:v>
      </x:c>
      <x:c r="H60" s="71" t="str">
        <x:v>各廠商合約&amp; 報價\MD檔案\20251203長陽企業-格來得鐵捲門報價單回傳.md</x:v>
      </x:c>
    </x:row>
    <x:row r="61">
      <x:c r="A61" s="69" t="str">
        <x:v>SRC057</x:v>
      </x:c>
      <x:c r="B61" s="69" t="str">
        <x:v>20251203TOTO-衛浴報價單回傳.md</x:v>
      </x:c>
      <x:c r="C61" s="69" t="str">
        <x:v>文件未載明</x:v>
      </x:c>
      <x:c r="D61" s="69" t="str">
        <x:v>合約；報價／估價</x:v>
      </x:c>
      <x:c r="E61" s="70" t="n">
        <x:v>5</x:v>
      </x:c>
      <x:c r="F61" s="71" t="str">
        <x:v>source：Markdown line 7；text：公司名稱:向上建設股份有限公司 地址:苗栗縣竹南鎮中正路423號 案件名稱: 電話:0932-695878 聯絡人:洪建豪先生 傳真: 項次 品名 規格 數量 單價 金額 備註 1 單體馬桶 CW288SGUR 11 13,620 149,820 2 單體馬桶 CW889CDRTW 11 12,300 135,300 3 溫水洗淨便座 TCF4911ETR 11 31,410 345,510 特惠價 4 溫水洗淨便座 TCF23360ATW…（詳原文索引）</x:v>
      </x:c>
      <x:c r="G61" s="71" t="str">
        <x:v>marker：回傳；evidence：20251203TOTO-衛浴報價單回傳.md</x:v>
      </x:c>
      <x:c r="H61" s="71" t="str">
        <x:v>各廠商合約&amp; 報價\MD檔案\20251203TOTO-衛浴報價單回傳.md</x:v>
      </x:c>
    </x:row>
    <x:row r="62">
      <x:c r="A62" s="69" t="str">
        <x:v>SRC058</x:v>
      </x:c>
      <x:c r="B62" s="69" t="str">
        <x:v>20251204長陽企業-格來得鐵捲門報價單回傳.md</x:v>
      </x:c>
      <x:c r="C62" s="69" t="str">
        <x:v>2025-11-20</x:v>
      </x:c>
      <x:c r="D62" s="69" t="str">
        <x:v>報價／估價</x:v>
      </x:c>
      <x:c r="E62" s="70" t="n">
        <x:v>95000</x:v>
      </x:c>
      <x:c r="F62" s="71" t="str">
        <x:v>source：Markdown line 27；text：4.上述款項未全部兌現時，本公司仍保有產品所有權。</x:v>
      </x:c>
      <x:c r="G62" s="71" t="str">
        <x:v>marker：追加；evidence：&lt;td&gt;1.00&lt;/td&gt;&lt;td&gt;PCS&lt;/td&gt;&lt;td&gt;5,000&lt;/td&gt;&lt;td&gt;5,000&lt;/td&gt;&lt;td&gt;&lt;/td&gt;&lt;/tr&gt;&lt;tr&gt;&lt;td&gt;3&lt;/td&gt;&lt;td&gt;遙控器另作追加。原附5顆,共計有13顆。&lt;以下空白&gt;&lt;/td&gt;&lt;td&gt;8.00&lt;/td&gt;&lt;td&gt;顆&lt;/td&gt;&lt;t…（詳原文索引）</x:v>
      </x:c>
      <x:c r="H62" s="71" t="str">
        <x:v>各廠商合約&amp; 報價\MD檔案\20251204長陽企業-格來得鐵捲門報價單回傳.md</x:v>
      </x:c>
    </x:row>
    <x:row r="63">
      <x:c r="A63" s="69" t="str">
        <x:v>SRC059</x:v>
      </x:c>
      <x:c r="B63" s="69" t="str">
        <x:v>20251205上順家-壓花地坪報價單回傳.md</x:v>
      </x:c>
      <x:c r="C63" s="69" t="str">
        <x:v>文件未載明</x:v>
      </x:c>
      <x:c r="D63" s="69" t="str">
        <x:v>合約；報價／估價</x:v>
      </x:c>
      <x:c r="E63" s="70"/>
      <x:c r="F63" s="71" t="str">
        <x:v>source：Markdown line 21；text：項次 工程名稱 單位 數量 單價 金額 備註說明 1. 彩石硬化料(金鋼砂) M2 3kg/1m2. 數量:約160㎡ 2. 脱膜粉 M2 3. 封面劑 M2 280 4. 壓模施工工資 M2 5. 清洗養護 M2 6. 7. 8. 9. 10. 小計 280 營業稅 未稅 總合計 報價說明: 1.本工程單價之付款方式:50%現金票50%30天期票、無保留款。2.以上單價不含5%營業稅。3.本工程計價依實際工程數量為準。4.本工程不含土尾…（詳原文索引）</x:v>
      </x:c>
      <x:c r="G63" s="71" t="str">
        <x:v>marker：回傳；evidence：20251205上順家-壓花地坪報價單回傳.md</x:v>
      </x:c>
      <x:c r="H63" s="71" t="str">
        <x:v>各廠商合約&amp; 報價\MD檔案\20251205上順家-壓花地坪報價單回傳.md</x:v>
      </x:c>
    </x:row>
    <x:row r="64">
      <x:c r="A64" s="69" t="str">
        <x:v>SRC060</x:v>
      </x:c>
      <x:c r="B64" s="69" t="str">
        <x:v>20251211浩森-細清報價單回傳.md</x:v>
      </x:c>
      <x:c r="C64" s="69" t="str">
        <x:v>2025-12-08</x:v>
      </x:c>
      <x:c r="D64" s="69" t="str">
        <x:v>報價／估價</x:v>
      </x:c>
      <x:c r="E64" s="70" t="n">
        <x:v>72000</x:v>
      </x:c>
      <x:c r="F64" s="71" t="str">
        <x:v>source：Markdown line 15；text：項目 數量 單價 總價 1。交屋細清+公設清潔 $72000 $72000 派工人數:4~6人 入場日期:12/17~20 總報價金額 $72000(含稅) 室內清潔內容天花板牆面除塵全室地板除塵除膠清潔窗戶落地門窗玻璃窗溝窗框除塵除膠清洗全室房門大門關關除塵擦拭清潔 廁所馬桶洗手台牆面地板清洗廚房樹框洗手台抽油煙機瓦斯爐除塵清潔陽台磁磚地板玻璃欄杆清洗變電箱吸塵 公設清潔內容樓梯+扶手除塵清潔機械車位除塵清潔電梯內外除塵清潔梯口磁磚地板…（詳原文索引）</x:v>
      </x:c>
      <x:c r="G64" s="71" t="str">
        <x:v>marker：回傳；evidence：20251211浩森-細清報價單回傳.md</x:v>
      </x:c>
      <x:c r="H64" s="71" t="str">
        <x:v>各廠商合約&amp; 報價\MD檔案\20251211浩森-細清報價單回傳.md</x:v>
      </x:c>
    </x:row>
    <x:row r="65">
      <x:c r="A65" s="69" t="str">
        <x:v>SRC061</x:v>
      </x:c>
      <x:c r="B65" s="69" t="str">
        <x:v>20251222TOTO-衛浴報價單回傳.md</x:v>
      </x:c>
      <x:c r="C65" s="69" t="str">
        <x:v>文件未載明</x:v>
      </x:c>
      <x:c r="D65" s="69" t="str">
        <x:v>合約；報價／估價</x:v>
      </x:c>
      <x:c r="E65" s="70" t="n">
        <x:v>5</x:v>
      </x:c>
      <x:c r="F65" s="71" t="str">
        <x:v>source：Markdown line 10；text：公司名稱:向上建設股份有限公司 地址:苗栗縣竹南鎮中正路423號 案件名稱: 電話:0932-695878 聯絡人:洪建豪先生 傳真: 項次 品名 規格 數量 單價 金額 備註 1 單體馬桶 CW288SGUR 11 13,620 149,820 2 單體馬桶 CW889CDRTW 11 12,300 135,300 3 溫水洗淨便座 TCF4911ETR 11 31,410 345,510 特惠價 4 溫水洗淨便座 TCF23360AT…（詳原文索引）</x:v>
      </x:c>
      <x:c r="G65" s="71" t="str">
        <x:v>marker：追加；evidence：&gt;&lt;td&gt;18&lt;/td&gt;&lt;td&gt;淋浴控溫龍頭&lt;/td&gt;&lt;td&gt;TBV03426P-S2&lt;/td&gt;&lt;td&gt;1&lt;/td&gt;&lt;td&gt;9,000&lt;/td&gt;&lt;td&gt;9,000&lt;/td&gt;&lt;td&gt;追加&lt;/td&gt;&lt;/tr&gt;&lt;tr&gt;&lt;td&gt;19&lt;/td&gt;&lt;td&gt;升降桿&lt;/td&gt;&lt;td&gt;TBW01016…（詳原文索引）</x:v>
      </x:c>
      <x:c r="H65" s="71" t="str">
        <x:v>各廠商合約&amp; 報價\MD檔案\20251222TOTO-衛浴報價單回傳.md</x:v>
      </x:c>
    </x:row>
    <x:row r="66">
      <x:c r="A66" s="69" t="str">
        <x:v>SRC062</x:v>
      </x:c>
      <x:c r="B66" s="69" t="str">
        <x:v>20260108塑豐-一樓追加報價單回傳.md</x:v>
      </x:c>
      <x:c r="C66" s="69" t="str">
        <x:v>文件未載明</x:v>
      </x:c>
      <x:c r="D66" s="69" t="str">
        <x:v>合約；報價／估價</x:v>
      </x:c>
      <x:c r="E66" s="70" t="n">
        <x:v>267570</x:v>
      </x:c>
      <x:c r="F66" s="71" t="str">
        <x:v>source：文件未載明；text：文件未載明</x:v>
      </x:c>
      <x:c r="G66" s="71" t="str">
        <x:v>marker：追加；evidence：20260108塑豐-一樓追加報價單回傳.md；marker：追加；evidence：7\_3 (#47) 母 ISO號碼：QR-SLD-05V2.0 頁次：1/2 V1120526客戶名稱：35086向上建設股份有限公司 工程名稱：向上建設集合住宅等11戶-1F追加 電話：037…（詳原文索引）</x:v>
      </x:c>
      <x:c r="H66" s="71" t="str">
        <x:v>各廠商合約&amp; 報價\MD檔案\20260108塑豐-一樓追加報價單回傳.md</x:v>
      </x:c>
    </x:row>
    <x:row r="67">
      <x:c r="A67" s="69" t="str">
        <x:v>SRC063</x:v>
      </x:c>
      <x:c r="B67" s="69" t="str">
        <x:v>20260127 全鑫-採光罩.md</x:v>
      </x:c>
      <x:c r="C67" s="69" t="str">
        <x:v>文件未載明</x:v>
      </x:c>
      <x:c r="D67" s="69" t="str">
        <x:v>報價／估價</x:v>
      </x:c>
      <x:c r="E67" s="70" t="n">
        <x:v>648400</x:v>
      </x:c>
      <x:c r="F67" s="71" t="str">
        <x:v>source：文件未載明；text：文件未載明</x:v>
      </x:c>
      <x:c r="G67" s="71" t="str">
        <x:v>marker：文件未載明；evidence：文件未載明</x:v>
      </x:c>
      <x:c r="H67" s="71" t="str">
        <x:v>各廠商合約&amp; 報價\MD檔案\20260127 全鑫-採光罩.md</x:v>
      </x:c>
    </x:row>
    <x:row r="68">
      <x:c r="A68" s="69" t="str">
        <x:v>SRC064</x:v>
      </x:c>
      <x:c r="B68" s="69" t="str">
        <x:v>20260212 塑豐 瓦斯鋁格柵追加.md</x:v>
      </x:c>
      <x:c r="C68" s="69" t="str">
        <x:v>文件未載明</x:v>
      </x:c>
      <x:c r="D68" s="69" t="str">
        <x:v>報價／估價</x:v>
      </x:c>
      <x:c r="E68" s="70" t="n">
        <x:v>105525</x:v>
      </x:c>
      <x:c r="F68" s="71" t="str">
        <x:v>source：文件未載明；text：文件未載明</x:v>
      </x:c>
      <x:c r="G68" s="71" t="str">
        <x:v>marker：追加；evidence：20260212 塑豐 瓦斯鋁格柵追加.md；marker：追加；evidence：(追加)報價單塑豐實業股份有限公司 &lt;table&gt;&lt;tr&gt;&lt;td rowspan="2"&gt;項次&lt;/td&gt;&lt;td rowspan="2"&gt;位置&lt;/td&gt;&lt;td colspan="3"&gt;規格&lt;/td&gt;&lt;…（詳原文索引）</x:v>
      </x:c>
      <x:c r="H68" s="71" t="str">
        <x:v>各廠商合約&amp; 報價\MD檔案\20260212 塑豐 瓦斯鋁格柵追加.md</x:v>
      </x:c>
    </x:row>
    <x:row r="69">
      <x:c r="A69" s="69" t="str">
        <x:v>SRC065</x:v>
      </x:c>
      <x:c r="B69" s="69" t="str">
        <x:v>20260225 太格 客變木地板.md</x:v>
      </x:c>
      <x:c r="C69" s="69" t="str">
        <x:v>文件未載明</x:v>
      </x:c>
      <x:c r="D69" s="69" t="str">
        <x:v>合約；報價／估價</x:v>
      </x:c>
      <x:c r="E69" s="70" t="n">
        <x:v>83423</x:v>
      </x:c>
      <x:c r="F69" s="71" t="str">
        <x:v>source：Markdown line 21；text：品名 規格 單位 數量 單價 金額 備註 太格德國精工木地板美綻系列 8mm*19.3cm*138.0cm 坪 8 2,900 23,200 AC4德國原裝進口6A顏色:D3201隔音值:21dB 太格德國精工木地板美綻系列 8mm*19.3cm*138.0cm 坪 8 2,900 23,200 AC4德國原裝進口6B顏色:D3902隔音值:21dB 太格德國精工木地板美綻系列 8mm*19.3cm*138.0cm 坪 7 3,650 2…（詳原文索引）</x:v>
      </x:c>
      <x:c r="G69" s="71" t="str">
        <x:v>marker：追加；evidence：td&gt;&lt;/tr&gt;&lt;tr&gt;&lt;td colspan="7"&gt;9. 工程進行中,甲方如必須變更設計及增減工程數量時不得超過原工程圖內數量5%,增加數量超過5%以上,以乙方公司庫存選色,且追加數量之單價需雙方另行議價;如需另行辦理進口,增加的運費由甲方自行負擔。&lt;/td&gt;&lt;/tr&gt;&lt;tr&gt;…（詳原文索引）</x:v>
      </x:c>
      <x:c r="H69" s="71" t="str">
        <x:v>各廠商合約&amp; 報價\MD檔案\20260225 太格 客變木地板.md</x:v>
      </x:c>
    </x:row>
    <x:row r="70">
      <x:c r="A70" s="69" t="str">
        <x:v>SRC066</x:v>
      </x:c>
      <x:c r="B70" s="69" t="str">
        <x:v>20260312 公設電箱木作封牆.md</x:v>
      </x:c>
      <x:c r="C70" s="69" t="str">
        <x:v>文件未載明</x:v>
      </x:c>
      <x:c r="D70" s="69" t="str">
        <x:v>合約；報價／估價</x:v>
      </x:c>
      <x:c r="E70" s="70" t="n">
        <x:v>46450</x:v>
      </x:c>
      <x:c r="F70" s="71" t="str">
        <x:v>source：Markdown line 29；text：5、付款方式：※現金 ※現金匯款</x:v>
      </x:c>
      <x:c r="G70" s="71" t="str">
        <x:v>marker：變更；evidence：f626af9c86a486737cc4ae1b8f773216912d859779ddb05c39158a0ee9d75.jpg) 3、依現場尺寸實做實算，數量、尺寸和內容有變更時，均予以重新估價。 4、貨款未付清前，所有之產品權歸屬於山城裝潢工程行所有。 ## 報價單 客戶名稱…（詳原文索引）</x:v>
      </x:c>
      <x:c r="H70" s="71" t="str">
        <x:v>各廠商合約&amp; 報價\MD檔案\20260312 公設電箱木作封牆.md</x:v>
      </x:c>
    </x:row>
    <x:row r="71">
      <x:c r="A71" s="69" t="str">
        <x:v>SRC067</x:v>
      </x:c>
      <x:c r="B71" s="69" t="str">
        <x:v>20260317 全鑫 浪板更換.md</x:v>
      </x:c>
      <x:c r="C71" s="69" t="str">
        <x:v>文件未載明</x:v>
      </x:c>
      <x:c r="D71" s="69" t="str">
        <x:v>文件類型待確認</x:v>
      </x:c>
      <x:c r="E71" s="70" t="n">
        <x:v>41500</x:v>
      </x:c>
      <x:c r="F71" s="71" t="str">
        <x:v>source：文件未載明；text：文件未載明</x:v>
      </x:c>
      <x:c r="G71" s="71" t="str">
        <x:v>marker：文件未載明；evidence：文件未載明</x:v>
      </x:c>
      <x:c r="H71" s="71" t="str">
        <x:v>各廠商合約&amp; 報價\MD檔案\20260317 全鑫 浪板更換.md</x:v>
      </x:c>
    </x:row>
    <x:row r="72">
      <x:c r="A72" s="69" t="str">
        <x:v>SRC068</x:v>
      </x:c>
      <x:c r="B72" s="69" t="str">
        <x:v>20260317 全鑫 採光罩玻璃.md</x:v>
      </x:c>
      <x:c r="C72" s="69" t="str">
        <x:v>文件未載明</x:v>
      </x:c>
      <x:c r="D72" s="69" t="str">
        <x:v>文件類型待確認</x:v>
      </x:c>
      <x:c r="E72" s="70" t="n">
        <x:v>126800</x:v>
      </x:c>
      <x:c r="F72" s="71" t="str">
        <x:v>source：文件未載明；text：文件未載明</x:v>
      </x:c>
      <x:c r="G72" s="71" t="str">
        <x:v>marker：文件未載明；evidence：文件未載明</x:v>
      </x:c>
      <x:c r="H72" s="71" t="str">
        <x:v>各廠商合約&amp; 報價\MD檔案\20260317 全鑫 採光罩玻璃.md</x:v>
      </x:c>
    </x:row>
    <x:row r="73">
      <x:c r="A73" s="69" t="str">
        <x:v>SRC069</x:v>
      </x:c>
      <x:c r="B73" s="69" t="str">
        <x:v>20260317 塑豐 瓦斯錶格柵.md</x:v>
      </x:c>
      <x:c r="C73" s="69" t="str">
        <x:v>文件未載明</x:v>
      </x:c>
      <x:c r="D73" s="69" t="str">
        <x:v>報價／估價</x:v>
      </x:c>
      <x:c r="E73" s="70"/>
      <x:c r="F73" s="71" t="str">
        <x:v>source：文件未載明；text：文件未載明</x:v>
      </x:c>
      <x:c r="G73" s="71" t="str">
        <x:v>marker：追加；evidence：客戶名稱：35086向上建設股份有限公司 (追加)報價單塑豐實業股份有限公司 &lt;table&gt;&lt;tr&gt;&lt;td rowspan="2"&gt;項次&lt;/td&gt;&lt;td rowspan="2"&gt;位置&lt;/td&gt;&lt;td colspan="3"&gt;規格&lt;/td&gt;&lt;td rowspan="2"&gt;色別&lt;/td…（詳原文索引）</x:v>
      </x:c>
      <x:c r="H73" s="71" t="str">
        <x:v>各廠商合約&amp; 報價\MD檔案\20260317 塑豐 瓦斯錶格柵.md</x:v>
      </x:c>
    </x:row>
    <x:row r="74">
      <x:c r="A74" s="69" t="str">
        <x:v>SRC070</x:v>
      </x:c>
      <x:c r="B74" s="69" t="str">
        <x:v>20260319 太子種苗 狼尾草.md</x:v>
      </x:c>
      <x:c r="C74" s="69" t="str">
        <x:v>文件未載明</x:v>
      </x:c>
      <x:c r="D74" s="69" t="str">
        <x:v>報價／估價</x:v>
      </x:c>
      <x:c r="E74" s="70" t="n">
        <x:v>32550</x:v>
      </x:c>
      <x:c r="F74" s="71" t="str">
        <x:v>source：文件未載明；text：文件未載明</x:v>
      </x:c>
      <x:c r="G74" s="71" t="str">
        <x:v>marker：回傳；evidence：tr&gt;&lt;td&gt;管理費8%&lt;/td&gt;&lt;td&gt;&lt;/td&gt;&lt;/tr&gt;&lt;tr&gt;&lt;td&gt;總計&lt;/td&gt;&lt;td&gt;$32550&lt;/td&gt;&lt;/tr&gt;&lt;/table&gt; 若要接受此報價,請在此簽名後回傳： ![](images/a676977b18194295b2d67e3de821d6601d092…（詳原文索引）</x:v>
      </x:c>
      <x:c r="H74" s="71" t="str">
        <x:v>各廠商合約&amp; 報價\MD檔案\20260319 太子種苗 狼尾草.md</x:v>
      </x:c>
    </x:row>
    <x:row r="75">
      <x:c r="A75" s="69" t="str">
        <x:v>SRC071</x:v>
      </x:c>
      <x:c r="B75" s="69" t="str">
        <x:v>20260401 全鑫 圍籬.md</x:v>
      </x:c>
      <x:c r="C75" s="69" t="str">
        <x:v>文件未載明</x:v>
      </x:c>
      <x:c r="D75" s="69" t="str">
        <x:v>文件類型待確認</x:v>
      </x:c>
      <x:c r="E75" s="70" t="n">
        <x:v>37800</x:v>
      </x:c>
      <x:c r="F75" s="71" t="str">
        <x:v>source：文件未載明；text：文件未載明</x:v>
      </x:c>
      <x:c r="G75" s="71" t="str">
        <x:v>marker：文件未載明；evidence：文件未載明</x:v>
      </x:c>
      <x:c r="H75" s="71" t="str">
        <x:v>各廠商合約&amp; 報價\MD檔案\20260401 全鑫 圍籬.md</x:v>
      </x:c>
    </x:row>
    <x:row r="76">
      <x:c r="A76" s="69" t="str">
        <x:v>SRC072</x:v>
      </x:c>
      <x:c r="B76" s="69" t="str">
        <x:v>20260402花台磚.md</x:v>
      </x:c>
      <x:c r="C76" s="69" t="str">
        <x:v>文件未載明</x:v>
      </x:c>
      <x:c r="D76" s="69" t="str">
        <x:v>報價／估價</x:v>
      </x:c>
      <x:c r="E76" s="70" t="n">
        <x:v>1</x:v>
      </x:c>
      <x:c r="F76" s="71" t="str">
        <x:v>source：Markdown line 9；text：客戶廠商:向上建設股份有限公司 施工地點:高鐵附近(新東路116號旁) 工程名稱:圍牆施工 使用材料: V 百歲磚(1式21000元未稅) V 切面磚(1式22000元未稅) 一、施工範圍:基礎與施工前之任何障礙物清理,由工地負責。進料之運輸,以板車能到,堆高機在50公尺內為原則(二次搬運不在估價內);如有推磚太遠或施工難度較高,酌情貼補工資。施工高度由業主自訂,如需搭架由工地提供,高度超過2M或施工難度高者,酌增收工資補貼費用。初估丈量尺…（詳原文索引）</x:v>
      </x:c>
      <x:c r="G76" s="71" t="str">
        <x:v>marker：變更；evidence：:長15.6m、高50cm(含帽沿)計價。水泥砂及由業主現場無價供應。水電由業主提供(需就近提供)無價供應。此報價依現場初估範圍內計價.如有增加數量工資及材料價格亦會增加。如因現場變更施做造成工時延誤時.需另貼補工資。&lt;/td&gt;&lt;/tr&gt;&lt;tr&gt;&lt;td colspan="4"&gt;二、…（詳原文索引）</x:v>
      </x:c>
      <x:c r="H76" s="71" t="str">
        <x:v>各廠商合約&amp; 報價\MD檔案\20260402花台磚.md</x:v>
      </x:c>
    </x:row>
    <x:row r="77">
      <x:c r="A77" s="69" t="str">
        <x:v>SRC073</x:v>
      </x:c>
      <x:c r="B77" s="69" t="str">
        <x:v>20260408 智慧城 花台磚.md</x:v>
      </x:c>
      <x:c r="C77" s="69" t="str">
        <x:v>文件未載明</x:v>
      </x:c>
      <x:c r="D77" s="69" t="str">
        <x:v>報價／估價</x:v>
      </x:c>
      <x:c r="E77" s="70" t="n">
        <x:v>20</x:v>
      </x:c>
      <x:c r="F77" s="71" t="str">
        <x:v>source：Markdown line 9；text：客戶廠商:向上建設股份有限公司 施工地點:高鐵附近(新東路116號旁) 工程名稱:圍牆施工 使用材料: V 百歲磚(1式21000元未稅) V 切面磚(1式22000元未稅) 一.施工範圍:1.V基礎與施工前之任何障礙物清理、由工地負責。2.V進料之運輸、以板車能到,堆高機在50公尺內為原則(二次搬運不在估價內):如有推磚大道或施工难度較高,酌情貼補工資。請加工或施工需要作業,如推磚有中土地提用,高度超過圖,施工和工事。 1.V圍牆/花台施…（詳原文索引）</x:v>
      </x:c>
      <x:c r="G77" s="71" t="str">
        <x:v>marker：回傳；evidence：。(現金不折扣)請全額支付,零保留。*施工數量以施工完畢數量為準。以上報價皆不含稅金。此報價單為初估參考數量,不可當作施工完成數量,需以施工完畢後實際數量為準備註:請確認無誤後簽章回傳,方可盡快為貴公司安排施工事宜.謝謝。&lt;/td&gt;&lt;/tr&gt;&lt;tr&gt;&lt;td colspan="2"&gt;…（詳原文索引）</x:v>
      </x:c>
      <x:c r="H77" s="71" t="str">
        <x:v>各廠商合約&amp; 報價\MD檔案\20260408 智慧城 花台磚.md</x:v>
      </x:c>
    </x:row>
    <x:row r="78">
      <x:c r="A78" s="69" t="str">
        <x:v>SRC074</x:v>
      </x:c>
      <x:c r="B78" s="69" t="str">
        <x:v>20260422 工務所裝潢合約.報價.md</x:v>
      </x:c>
      <x:c r="C78" s="69" t="str">
        <x:v>文件未載明</x:v>
      </x:c>
      <x:c r="D78" s="69" t="str">
        <x:v>合約；報價／估價</x:v>
      </x:c>
      <x:c r="E78" s="70" t="n">
        <x:v>691373</x:v>
      </x:c>
      <x:c r="F78" s="71" t="str">
        <x:v>source：Markdown line 37；text：## 第七條 付款辦法；source：Markdown line 39；text：甲方付款方式應依下列規定辦理：；source：Markdown line 41；text：於簽約時支付訂金 69000 元。；source：Markdown line 43；text：一、第一期款項於舊屋翻新拆除進場或保護工程前支付簽約金計 210000 元。；source：Markdown line 45；text：二、第二期款項 於木工封板前支付簽約金計…（詳原文索引）</x:v>
      </x:c>
      <x:c r="G78" s="71" t="str">
        <x:v>marker：追加；evidence：r&gt;&lt;td&gt;一.&lt;/td&gt;&lt;td colspan="2"&gt;工程之型式顏色數量以估價單註明為準,若有更動須在該項目施作前或傢俱出貨前與設計師討論更改估價單內容,如未事先告知業主須負擔追加之工程費用,傢俱則須負擔貨運車資&lt;/td&gt;&lt;td rowspan="6"&gt;&lt;img src="im…（詳原文索引）</x:v>
      </x:c>
      <x:c r="H78" s="71" t="str">
        <x:v>各廠商合約&amp; 報價\MD檔案\20260422 工務所裝潢合約.報價.md</x:v>
      </x:c>
    </x:row>
    <x:row r="79">
      <x:c r="A79" s="69" t="str">
        <x:v>SRC075</x:v>
      </x:c>
      <x:c r="B79" s="69" t="str">
        <x:v>20260424 全鑫追加工程_人孔蓋、後側採光罩延伸_.md</x:v>
      </x:c>
      <x:c r="C79" s="69" t="str">
        <x:v>文件未載明</x:v>
      </x:c>
      <x:c r="D79" s="69" t="str">
        <x:v>文件類型待確認</x:v>
      </x:c>
      <x:c r="E79" s="70" t="n">
        <x:v>14500</x:v>
      </x:c>
      <x:c r="F79" s="71" t="str">
        <x:v>source：文件未載明；text：文件未載明</x:v>
      </x:c>
      <x:c r="G79" s="71" t="str">
        <x:v>marker：追加；evidence：20260424 全鑫追加工程_人孔蓋、後側採光罩延伸_.md；marker：追加；evidence：&gt;規格&lt;/td&gt;&lt;td&gt;數量&lt;/td&gt;&lt;td&gt;單價&lt;/td&gt;&lt;td&gt;金額&lt;/td&gt;&lt;td&gt;備註&lt;/td&gt;&lt;/tr&gt;&lt;tr&gt;&lt;td&gt;1&lt;/td&gt;&lt;td&gt;開籬下方 補打砂利康 26 米…（詳原文索引）</x:v>
      </x:c>
      <x:c r="H79" s="71" t="str">
        <x:v>各廠商合約&amp; 報價\MD檔案\20260424 全鑫追加工程_人孔蓋、後側採光罩延伸_.md</x:v>
      </x:c>
    </x:row>
    <x:row r="80">
      <x:c r="A80" s="69" t="str">
        <x:v>SRC076</x:v>
      </x:c>
      <x:c r="B80" s="69" t="str">
        <x:v>20260430 塑豐 門扇改高度.md</x:v>
      </x:c>
      <x:c r="C80" s="69" t="str">
        <x:v>文件未載明</x:v>
      </x:c>
      <x:c r="D80" s="69" t="str">
        <x:v>報價／估價</x:v>
      </x:c>
      <x:c r="E80" s="70"/>
      <x:c r="F80" s="71" t="str">
        <x:v>source：文件未載明；text：文件未載明</x:v>
      </x:c>
      <x:c r="G80" s="71" t="str">
        <x:v>marker：追加；evidence：d&gt;&lt;/td&gt;&lt;td&gt;12,000&lt;/td&gt;&lt;td&gt;469 議價&lt;/td&gt;&lt;/tr&gt;&lt;/table&gt; 電話：037-775355#366 傳真： 日期：115.04.29 (追加)報價單 ※ 如確定製作，請蓋章後回傳，謝謝！ 塑豐實業股份有限公司二.本報價單有效期限為15天。 一.…（詳原文索引）</x:v>
      </x:c>
      <x:c r="H80" s="71" t="str">
        <x:v>各廠商合約&amp; 報價\MD檔案\20260430 塑豐 門扇改高度.md</x:v>
      </x:c>
    </x:row>
    <x:row r="81">
      <x:c r="A81" s="69" t="str">
        <x:v>SRC077</x:v>
      </x:c>
      <x:c r="B81" s="69" t="str">
        <x:v>20260517 三發圍籬網.md</x:v>
      </x:c>
      <x:c r="C81" s="69" t="str">
        <x:v>文件未載明</x:v>
      </x:c>
      <x:c r="D81" s="69" t="str">
        <x:v>報價／估價</x:v>
      </x:c>
      <x:c r="E81" s="70" t="n">
        <x:v>40058</x:v>
      </x:c>
      <x:c r="F81" s="71" t="str">
        <x:v>source：Markdown line 35；text：規格 尺寸 單位 數量 單價 總價 備註 5mm*50*150mm鍍鋅鋼網 H=1550*W1900mm 片 7.0 2,950 20,650 ←上下卷圓 2"(60mm)*2.0mm鍍鋅鋼管 L=1650mm-圓底板 支 9.0 1,100 9,900 ←含沖孔焊上蓋 含粉體烤漆 材料價 配件A(4PCS/組) 60mm管用(含不銹鋼螺絲組) 組 7.0 240 1,680 配件B(2PCS/組) 組 4.0 150 600 配件C(8…（詳原文索引）</x:v>
      </x:c>
      <x:c r="G81" s="71" t="str">
        <x:v>marker：回傳；evidence：貨地點: 收貨人:&lt;/td&gt;&lt;/tr&gt;&lt;tr&gt;&lt;td colspan="7"&gt;5 單價自報價日起7天有效&lt;/td&gt;&lt;/tr&gt;&lt;tr&gt;&lt;td colspan="7"&gt;6 請確認簽章後回傳。&lt;/td&gt;&lt;/tr&gt;&lt;tr&gt;&lt;td colspan="8"&gt;&lt;匯款帳號&gt;戶名:三發製網股份有限公…（詳原文索引）</x:v>
      </x:c>
      <x:c r="H81" s="71" t="str">
        <x:v>各廠商合約&amp; 報價\MD檔案\20260517 三發圍籬網.md</x:v>
      </x:c>
    </x:row>
    <x:row r="82">
      <x:c r="A82" s="69" t="str">
        <x:v>SRC078</x:v>
      </x:c>
      <x:c r="B82" s="69" t="str">
        <x:v>20260520 7F辦公室.md</x:v>
      </x:c>
      <x:c r="C82" s="69" t="str">
        <x:v>2026-06-03</x:v>
      </x:c>
      <x:c r="D82" s="69" t="str">
        <x:v>報價／估價</x:v>
      </x:c>
      <x:c r="E82" s="70" t="n">
        <x:v>159000</x:v>
      </x:c>
      <x:c r="F82" s="71" t="str">
        <x:v>source：Markdown line 30；text：2.5屏風 | 框架:烤漆框 深灰H70cm-彩鋼平板(深灰)、H20cm 屏風布 #37-102-8 銀月灰 桌框顏色 桌板顏色圖片僅供示意,以報價文字敘述為準 7 W60*H92cm 6 片 1,456 8,736 2.5屏風 | 框架:烤漆框 深灰H70cm-彩鋼平板(深灰)、H20cm 5mm黑玻 (強化玻璃) 8 W110*H92cm 2 片 2,166 4,332 25mm 系統板 #BK2-322 平面布紋 (桌板左上、右上…（詳原文索引）</x:v>
      </x:c>
      <x:c r="G82" s="71" t="str">
        <x:v>marker：文件未載明；evidence：文件未載明</x:v>
      </x:c>
      <x:c r="H82" s="71" t="str">
        <x:v>各廠商合約&amp; 報價\MD檔案\20260520 7F辦公室.md</x:v>
      </x:c>
    </x:row>
    <x:row r="83">
      <x:c r="A83" s="69" t="str">
        <x:v>SRC079</x:v>
      </x:c>
      <x:c r="B83" s="69" t="str">
        <x:v>20260603 三發圍籬網 加運費.md</x:v>
      </x:c>
      <x:c r="C83" s="69" t="str">
        <x:v>文件未載明</x:v>
      </x:c>
      <x:c r="D83" s="69" t="str">
        <x:v>報價／估價</x:v>
      </x:c>
      <x:c r="E83" s="70" t="n">
        <x:v>44783</x:v>
      </x:c>
      <x:c r="F83" s="71" t="str">
        <x:v>source：Markdown line 35；text：規格 尺寸 單位 數量 單價 總價 備註 5mm*50*150mm鍍鋅鋼網 H=1550*W1900mm 片 7.0 2,950 20,650 ←上下卷圓 2"(60mm)*2.0mm鍍鋅鋼管 L=1650mm-圓底板 支 9.0 1,100 9,900 ←含沖孔焊上蓋含粉體烤漆材料價 配件A(4PCS/組) 60mm管用(含不銹鋼螺絲組) 組 7.0 240 1,680 配件B(2PCS/組) 組 4.0 150 600 配件C(8PC…（詳原文索引）</x:v>
      </x:c>
      <x:c r="G83" s="71" t="str">
        <x:v>marker：回傳；evidence：交貨地點:收貨人:&lt;/td&gt;&lt;/tr&gt;&lt;tr&gt;&lt;td colspan="7"&gt;5 單價自報價日起7天有效&lt;/td&gt;&lt;/tr&gt;&lt;tr&gt;&lt;td colspan="7"&gt;6 請確認簽章後回傳。&lt;/td&gt;&lt;/tr&gt;&lt;tr&gt;&lt;td colspan="8"&gt;&lt;匯款帳號&gt;戶名:三發製網股份有限公…（詳原文索引）</x:v>
      </x:c>
      <x:c r="H83" s="71" t="str">
        <x:v>各廠商合約&amp; 報價\MD檔案\20260603 三發圍籬網 加運費.md</x:v>
      </x:c>
    </x:row>
    <x:row r="84">
      <x:c r="A84" s="69" t="str">
        <x:v>SRC080</x:v>
      </x:c>
      <x:c r="B84" s="69" t="str">
        <x:v>工程合約-補充協議書.md</x:v>
      </x:c>
      <x:c r="C84" s="69" t="str">
        <x:v>2024-02-27</x:v>
      </x:c>
      <x:c r="D84" s="69" t="str">
        <x:v>補充協議書</x:v>
      </x:c>
      <x:c r="E84" s="70"/>
      <x:c r="F84" s="71" t="str">
        <x:v>source_section：15；text：為乙方承攬甲方「向上建設龍富段新建工程(112)栗商建後建字第00338號」，雙方於民國112年12月1日簽訂結構體工程合約，現就工程付款進度部分，經雙方協議變更，雙方同意後續工程付款之進度皆依本協議書所列之「向上建設龍富段新建工程-付款比例表-修正版」（詳附件）為準，另新增條款-營造施工人員如係非法聘僱，由乙方自行承擔責任，甲方不負連帶責任。；source_section：33；text：向上建設龍富段新建工程-付款比例表-修正版；source_s…（詳原文索引）</x:v>
      </x:c>
      <x:c r="G84" s="71" t="str">
        <x:v>修正</x:v>
      </x:c>
      <x:c r="H84" s="71" t="str">
        <x:v>各廠商合約&amp; 報價\MD檔案\工程合約-補充協議書.md</x:v>
      </x:c>
    </x:row>
    <x:row r="85">
      <x:c r="A85" s="69" t="str">
        <x:v>SRC081</x:v>
      </x:c>
      <x:c r="B85" s="69" t="str">
        <x:v>台灣菊水合約.md</x:v>
      </x:c>
      <x:c r="C85" s="69" t="str">
        <x:v>2024-08-14</x:v>
      </x:c>
      <x:c r="D85" s="69" t="str">
        <x:v>合約／報價</x:v>
      </x:c>
      <x:c r="E85" s="70" t="n">
        <x:v>616950</x:v>
      </x:c>
      <x:c r="F85" s="71" t="str">
        <x:v>source_section：22；text：## 第五條 付款方式：；source_section：23；text：1. 本工程預付款為工程契約總價的30%，乙方應於簽約日後起算七個工作日內送達發票，甲方即於收到發票日後起算七個工作日內付款。；source_section：24；text：2. 本工程款的完工款為工程契約總價的 60%，乙方應於完工日後起算七個工作日內送達發票，甲方即於收到發票日後七個工作日內付款。；source_section：25；text：3. 本工程款的驗收款為工程契約…（詳原文索引）</x:v>
      </x:c>
      <x:c r="G85" s="71" t="str">
        <x:v>未標示</x:v>
      </x:c>
      <x:c r="H85" s="71" t="str">
        <x:v>各廠商合約&amp; 報價\MD檔案\台灣菊水合約.md</x:v>
      </x:c>
    </x:row>
    <x:row r="86">
      <x:c r="A86" s="69" t="str">
        <x:v>SRC082</x:v>
      </x:c>
      <x:c r="B86" s="69" t="str">
        <x:v>永豐餘工程合約.md</x:v>
      </x:c>
      <x:c r="C86" s="69" t="str">
        <x:v>2023-12-01</x:v>
      </x:c>
      <x:c r="D86" s="69" t="str">
        <x:v>工程標單</x:v>
      </x:c>
      <x:c r="E86" s="70" t="n">
        <x:v>24150000</x:v>
      </x:c>
      <x:c r="F86" s="71" t="str">
        <x:v>source_section：24；text：## 六、付款辦法：；source_section：26；text：(一)開工後，乙方依實際工作進度項目請款，依付款比例表(如附件)提出估驗計價表(須加蓋公司大小章)及施工照片請款，每期請款需先完成現場堪驗後(由甲方確認無誤)，於每月25日送請款文件予甲方，甲方核對無誤後，交由信託銀行或由向上建設(股)公司於下月5日前付款給付乙方之該期工程款，並匯入乙方帳戶。(付款方式：百分百為現金。)；source_section：27；text：(二)工程計價依…（詳原文索引）</x:v>
      </x:c>
      <x:c r="G86" s="71" t="str">
        <x:v>未標示</x:v>
      </x:c>
      <x:c r="H86" s="71" t="str">
        <x:v>各廠商合約&amp; 報價\MD檔案\永豐餘工程合約.md</x:v>
      </x:c>
    </x:row>
    <x:row r="87">
      <x:c r="A87" s="69" t="str">
        <x:v>SRC083</x:v>
      </x:c>
      <x:c r="B87" s="69" t="str">
        <x:v>向上A戶-S6 修改20250520.xls</x:v>
      </x:c>
      <x:c r="C87" s="69" t="str">
        <x:v>文件未載明</x:v>
      </x:c>
      <x:c r="D87" s="69" t="str">
        <x:v>報價單</x:v>
      </x:c>
      <x:c r="E87" s="70" t="n">
        <x:v>180000</x:v>
      </x:c>
      <x:c r="F87" s="71" t="str">
        <x:v>source_section：1；text：【工作表 Sheet1 第 1 列】 | 曜陽廚具衛浴公司 | | 店址：竹南鎮博愛街226號 | 【工作表 Sheet1 第 2 列】 | | | 電話：(037)467740 | 【工作表 Sheet1 第 3 列】45797 | | | 傳真：(037)469424 | 【工作表 Sheet1 第 4 列】 | 估 價 單 | | | 【工作表 Sheet1 第 5 列】客戶: 向上建設-A戶 | 地址: | | | 電話: 【工作表 Sheet…（詳原文索引）</x:v>
      </x:c>
      <x:c r="G87" s="71" t="str">
        <x:v>未標示</x:v>
      </x:c>
      <x:c r="H87" s="71" t="str">
        <x:v>各廠商合約&amp; 報價\MD檔案\向上A戶-S6 修改20250520.xls</x:v>
      </x:c>
    </x:row>
    <x:row r="88">
      <x:c r="A88" s="69" t="str">
        <x:v>SRC084</x:v>
      </x:c>
      <x:c r="B88" s="69" t="str">
        <x:v>向上B戶-S6 修20250520.xls</x:v>
      </x:c>
      <x:c r="C88" s="69" t="str">
        <x:v>文件未載明</x:v>
      </x:c>
      <x:c r="D88" s="69" t="str">
        <x:v>報價單</x:v>
      </x:c>
      <x:c r="E88" s="70" t="n">
        <x:v>152000</x:v>
      </x:c>
      <x:c r="F88" s="71" t="str">
        <x:v>source_section：1；text：【工作表 Sheet1 第 1 列】 | 曜陽廚具衛浴公司 | | 店址：竹南鎮博愛街226號 | 【工作表 Sheet1 第 2 列】 | | | 電話：(037)467740 | 【工作表 Sheet1 第 3 列】45797 | | | 傳真：(037)469424 | 【工作表 Sheet1 第 4 列】 | 估 價 單 | | | 【工作表 Sheet1 第 5 列】客戶: 向上建設-B戶 | 地址: | | | 電話: 【工作表 Sheet…（詳原文索引）</x:v>
      </x:c>
      <x:c r="G88" s="71" t="str">
        <x:v>未標示</x:v>
      </x:c>
      <x:c r="H88" s="71" t="str">
        <x:v>各廠商合約&amp; 報價\MD檔案\向上B戶-S6 修20250520.xls</x:v>
      </x:c>
    </x:row>
    <x:row r="89">
      <x:c r="A89" s="69" t="str">
        <x:v>SRC085</x:v>
      </x:c>
      <x:c r="B89" s="69" t="str">
        <x:v>向上B戶-S6 修改B戶3樓 客變20250520.xls</x:v>
      </x:c>
      <x:c r="C89" s="69" t="str">
        <x:v>文件未載明</x:v>
      </x:c>
      <x:c r="D89" s="69" t="str">
        <x:v>報價單</x:v>
      </x:c>
      <x:c r="E89" s="70" t="n">
        <x:v>164000</x:v>
      </x:c>
      <x:c r="F89" s="71" t="str">
        <x:v>source_section：1；text：【工作表 Sheet1 第 1 列】 | 曜陽廚具衛浴公司 | | 店址：竹南鎮博愛街226號 | 【工作表 Sheet1 第 2 列】 | | | 電話：(037)467740 | 【工作表 Sheet1 第 3 列】45797 | | | 傳真：(037)469424 | 【工作表 Sheet1 第 4 列】 | 估 價 單 | | | 【工作表 Sheet1 第 5 列】客戶: 向上建設-B戶3樓客變 | 地址:苗栗縣後龍鎮新東路116號旁 | …（詳原文索引）</x:v>
      </x:c>
      <x:c r="G89" s="71" t="str">
        <x:v>客變</x:v>
      </x:c>
      <x:c r="H89" s="71" t="str">
        <x:v>各廠商合約&amp; 報價\MD檔案\向上B戶-S6 修改B戶3樓 客變20250520.xls</x:v>
      </x:c>
    </x:row>
    <x:row r="90">
      <x:c r="A90" s="69" t="str">
        <x:v>SRC086</x:v>
      </x:c>
      <x:c r="B90" s="69" t="str">
        <x:v>信興水電工程標單.md</x:v>
      </x:c>
      <x:c r="C90" s="69" t="str">
        <x:v>文件未載明</x:v>
      </x:c>
      <x:c r="D90" s="69" t="str">
        <x:v>工程標單</x:v>
      </x:c>
      <x:c r="E90" s="70" t="n">
        <x:v>12</x:v>
      </x:c>
      <x:c r="F90" s="71" t="str"/>
      <x:c r="G90" s="71" t="str">
        <x:v>未標示</x:v>
      </x:c>
      <x:c r="H90" s="71" t="str">
        <x:v>各廠商合約&amp; 報價\MD檔案\信興水電工程標單.md</x:v>
      </x:c>
    </x:row>
    <x:row r="91">
      <x:c r="A91" s="69" t="str">
        <x:v>SRC087</x:v>
      </x:c>
      <x:c r="B91" s="69" t="str">
        <x:v>崇友實業合約_升降設備安裝承攬合約書_.md</x:v>
      </x:c>
      <x:c r="C91" s="69" t="str">
        <x:v>文件未載明</x:v>
      </x:c>
      <x:c r="D91" s="69" t="str">
        <x:v>合約</x:v>
      </x:c>
      <x:c r="E91" s="70" t="n">
        <x:v>381000</x:v>
      </x:c>
      <x:c r="F91" s="71" t="str">
        <x:v>source_section：10；text：四條：付款辦法（以下各期金額均含加值型營業稅）：；source_section：11；text：1、安裝完成時給付新台幣貳拾伍萬肆仟元整（票期30天）。；source_section：12；text：2、交車驗收完成時給付，新台幣壹拾貳萬柒仟元整（票期30天）。；source_section：64；text：&lt;table&gt;&lt;tr&gt;&lt;td&gt;機號&lt;/td&gt;&lt;td&gt;機種&lt;/td&gt;&lt;td&gt;規格&lt;/td&gt;&lt;td&gt;單價&lt;/td&gt;&lt;td&gt;台數&lt;/td&gt;&lt;td&gt;總價…（詳原文索引）</x:v>
      </x:c>
      <x:c r="G91" s="71" t="str">
        <x:v>未標示</x:v>
      </x:c>
      <x:c r="H91" s="71" t="str">
        <x:v>各廠商合約&amp; 報價\MD檔案\崇友實業合約_升降設備安裝承攬合約書_.md</x:v>
      </x:c>
    </x:row>
    <x:row r="92">
      <x:c r="A92" s="69" t="str">
        <x:v>SRC088</x:v>
      </x:c>
      <x:c r="B92" s="69" t="str">
        <x:v>崇友實業合約_升降設備買賣合約書_.md</x:v>
      </x:c>
      <x:c r="C92" s="69" t="str">
        <x:v>文件未載明</x:v>
      </x:c>
      <x:c r="D92" s="69" t="str">
        <x:v>圖面／選色表</x:v>
      </x:c>
      <x:c r="E92" s="70" t="n">
        <x:v>889000</x:v>
      </x:c>
      <x:c r="F92" s="71" t="str">
        <x:v>source_section：6；text：第三條：付款辦法（以下各期金額均含加值型營業稅）：；source_section：7；text：1、第一期款：甲方於簽約時付訂金新台幣貳拾伍萬肆仟元整（票期30天）；source_section：8；text：2、第二期款：甲方應於貨抵工地時給付新台幣陸拾參萬伍仟元整（票期30天），；source_section：22；text：2、甲方未能按本合約第三條約定付款及如期兌現時，乙方得請求一次付清總價款或解除本合約，無條件取回已運抵工地之貨品或收回已安裝…（詳原文索引）</x:v>
      </x:c>
      <x:c r="G92" s="71" t="str">
        <x:v>未標示</x:v>
      </x:c>
      <x:c r="H92" s="71" t="str">
        <x:v>各廠商合約&amp; 報價\MD檔案\崇友實業合約_升降設備買賣合約書_.md</x:v>
      </x:c>
    </x:row>
    <x:row r="93">
      <x:c r="A93" s="69" t="str">
        <x:v>SRC089</x:v>
      </x:c>
      <x:c r="B93" s="69" t="str">
        <x:v>富謙工程合約 _泥座_.md</x:v>
      </x:c>
      <x:c r="C93" s="69" t="str">
        <x:v>2024-09-01</x:v>
      </x:c>
      <x:c r="D93" s="69" t="str">
        <x:v>工程標單</x:v>
      </x:c>
      <x:c r="E93" s="70"/>
      <x:c r="F93" s="71" t="str">
        <x:v>source_section：19；text：## 第六條、付款辦法：；source_section：21；text：一、付款方式：；source_section：25；text：## 三、估驗請款：；source_section：26；text：（一）預付款：於估驗請款後十個工作日內付款。；source_section：27；text：（二）階段請款：在施工期間乙方應依甲方核實估驗請款後，後；source_section：31；text：四、全部工程經正式驗收合格，甲方應付清總工程款，於乙方開…（詳原文索引）</x:v>
      </x:c>
      <x:c r="G93" s="71" t="str">
        <x:v>未標示</x:v>
      </x:c>
      <x:c r="H93" s="71" t="str">
        <x:v>各廠商合約&amp; 報價\MD檔案\富謙工程合約 _泥座_.md</x:v>
      </x:c>
    </x:row>
    <x:row r="94">
      <x:c r="A94" s="69" t="str">
        <x:v>SRC090</x:v>
      </x:c>
      <x:c r="B94" s="69" t="str">
        <x:v>暖風機圖面.md</x:v>
      </x:c>
      <x:c r="C94" s="69" t="str">
        <x:v>文件未載明</x:v>
      </x:c>
      <x:c r="D94" s="69" t="str">
        <x:v>圖面／選色表</x:v>
      </x:c>
      <x:c r="E94" s="70"/>
      <x:c r="F94" s="71" t="str"/>
      <x:c r="G94" s="71" t="str">
        <x:v>未標示</x:v>
      </x:c>
      <x:c r="H94" s="71" t="str">
        <x:v>各廠商合約&amp; 報價\MD檔案\暖風機圖面.md</x:v>
      </x:c>
    </x:row>
    <x:row r="95">
      <x:c r="A95" s="69" t="str">
        <x:v>SRC091</x:v>
      </x:c>
      <x:c r="B95" s="69" t="str">
        <x:v>電梯.md</x:v>
      </x:c>
      <x:c r="C95" s="69" t="str">
        <x:v>2024-02-23</x:v>
      </x:c>
      <x:c r="D95" s="69" t="str">
        <x:v>圖面／選色表</x:v>
      </x:c>
      <x:c r="E95" s="70"/>
      <x:c r="F95" s="71" t="str"/>
      <x:c r="G95" s="71" t="str">
        <x:v>未標示</x:v>
      </x:c>
      <x:c r="H95" s="71" t="str">
        <x:v>各廠商合約&amp; 報價\MD檔案\電梯.md</x:v>
      </x:c>
    </x:row>
    <x:row r="96">
      <x:c r="A96" s="69" t="str">
        <x:v>SRC092</x:v>
      </x:c>
      <x:c r="B96" s="69" t="str">
        <x:v>磁磚廠商預抓費用.jpg</x:v>
      </x:c>
      <x:c r="C96" s="69" t="str">
        <x:v>文件未載明</x:v>
      </x:c>
      <x:c r="D96" s="69" t="str">
        <x:v>影像／待人工確認</x:v>
      </x:c>
      <x:c r="E96" s="70"/>
      <x:c r="F96" s="71" t="str"/>
      <x:c r="G96" s="71" t="str">
        <x:v>未標示</x:v>
      </x:c>
      <x:c r="H96" s="71" t="str">
        <x:v>各廠商合約&amp; 報價\MD檔案\磁磚廠商預抓費用.jpg</x:v>
      </x:c>
    </x:row>
    <x:row r="97">
      <x:c r="A97" s="69" t="str">
        <x:v>SRC093</x:v>
      </x:c>
      <x:c r="B97" s="69" t="str">
        <x:v>興吉發工程合約 _隔音墊_.md</x:v>
      </x:c>
      <x:c r="C97" s="69" t="str">
        <x:v>2024-08-06</x:v>
      </x:c>
      <x:c r="D97" s="69" t="str">
        <x:v>合約</x:v>
      </x:c>
      <x:c r="E97" s="70"/>
      <x:c r="F97" s="71" t="str">
        <x:v>source_section：27；text：## 四、付款方式：；source_section：29；text：2. 工程款：安裝完成(逐次)支付總價之70% 新台幣：293,998元整含稅(票期30天)；source_section：30；text：每階段施工完畢，經由甲方點收確認無誤後，方可提供發票於甲方請款。最後一期工程款請款前，乙方提供完工款發票時，須一併提供內政部核准的檢測單位屏科大試驗報告。；source_section：31；text：3. 保留款: 總價之 $10 \%$ 新台…（詳原文索引）</x:v>
      </x:c>
      <x:c r="G97" s="71" t="str">
        <x:v>未標示</x:v>
      </x:c>
      <x:c r="H97" s="71" t="str">
        <x:v>各廠商合約&amp; 報價\MD檔案\興吉發工程合約 _隔音墊_.md</x:v>
      </x:c>
    </x:row>
  </x:sheetData>
  <x:mergeCells>
    <x:mergeCell ref="A1:H2"/>
  </x:mergeCells>
  <x:pageMargins left="0.7" right="0.7" top="0.75" bottom="0.75" header="0.3" footer="0.3"/>
  <x:tableParts count="1">
    <x:tablePart xmlns:r="http://schemas.openxmlformats.org/officeDocument/2006/relationships" r:id="Readfda5e0c0d4a4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8.130000114440918" hidden="0" customWidth="1"/>
    <x:col min="2" max="2" width="13.75" hidden="0" customWidth="1"/>
    <x:col min="3" max="3" width="18.75" hidden="0" customWidth="1"/>
    <x:col min="4" max="4" width="13.75" hidden="0" customWidth="1"/>
    <x:col min="5" max="5" width="106.25" hidden="0" customWidth="1"/>
  </x:cols>
  <x:sheetData>
    <x:row r="1" ht="28" customHeight="1">
      <x:c r="A1" s="3" t="str">
        <x:v>原文索引｜完整 MD 與原始檔文字內容</x:v>
      </x:c>
      <x:c r="B1" s="3" t="str">
        <x:v>原文索引｜完整 MD 與原始檔文字內容</x:v>
      </x:c>
      <x:c r="C1" s="3" t="str">
        <x:v>原文索引｜完整 MD 與原始檔文字內容</x:v>
      </x:c>
      <x:c r="D1" s="3" t="str">
        <x:v>原文索引｜完整 MD 與原始檔文字內容</x:v>
      </x:c>
      <x:c r="E1" s="3" t="str">
        <x:v>原文索引｜完整 MD 與原始檔文字內容</x:v>
      </x:c>
    </x:row>
    <x:row r="2" ht="28" customHeight="1">
      <x:c r="A2" s="3" t="str">
        <x:v>原文索引｜完整 MD 與原始檔文字內容</x:v>
      </x:c>
      <x:c r="B2" s="3" t="str">
        <x:v>原文索引｜完整 MD 與原始檔文字內容</x:v>
      </x:c>
      <x:c r="C2" s="3" t="str">
        <x:v>原文索引｜完整 MD 與原始檔文字內容</x:v>
      </x:c>
      <x:c r="D2" s="3" t="str">
        <x:v>原文索引｜完整 MD 與原始檔文字內容</x:v>
      </x:c>
      <x:c r="E2" s="3" t="str">
        <x:v>原文索引｜完整 MD 與原始檔文字內容</x:v>
      </x:c>
    </x:row>
    <x:row r="3">
      <x:c r="A3" s="6" t="str">
        <x:v>每一份來源均保留全文或可讀文字分段；影像型 JPG 無文字層者僅標示待人工確認，未產生虛構文字。</x:v>
      </x:c>
      <x:c r="B3" s="6" t="str">
        <x:v>每一份來源均保留全文或可讀文字分段；影像型 JPG 無文字層者僅標示待人工確認，未產生虛構文字。</x:v>
      </x:c>
      <x:c r="C3" s="6" t="str">
        <x:v>每一份來源均保留全文或可讀文字分段；影像型 JPG 無文字層者僅標示待人工確認，未產生虛構文字。</x:v>
      </x:c>
      <x:c r="D3" s="6" t="str">
        <x:v>每一份來源均保留全文或可讀文字分段；影像型 JPG 無文字層者僅標示待人工確認，未產生虛構文字。</x:v>
      </x:c>
      <x:c r="E3" s="6" t="str">
        <x:v>每一份來源均保留全文或可讀文字分段；影像型 JPG 無文字層者僅標示待人工確認，未產生虛構文字。</x:v>
      </x:c>
    </x:row>
    <x:row r="4">
      <x:c r="A4" s="66" t="str">
        <x:v>來源ID</x:v>
      </x:c>
      <x:c r="B4" s="66" t="str">
        <x:v>分段</x:v>
      </x:c>
      <x:c r="C4" s="66" t="str">
        <x:v>來源類型</x:v>
      </x:c>
      <x:c r="D4" s="66" t="str">
        <x:v>位置</x:v>
      </x:c>
      <x:c r="E4" s="66" t="str">
        <x:v>原文內容</x:v>
      </x:c>
    </x:row>
    <x:row r="5">
      <x:c r="A5" s="69" t="str">
        <x:v>SRC002</x:v>
      </x:c>
      <x:c r="B5" s="69" t="str">
        <x:v>原文1</x:v>
      </x:c>
      <x:c r="C5" s="69" t="str">
        <x:v>Markdown</x:v>
      </x:c>
      <x:c r="D5" s="69" t="str">
        <x:v>第1–15行</x:v>
      </x:c>
      <x:c r="E5" s="71" t="str">
        <x:v>報價單
公司地址：新竹市公道五路三段538號
TEL: 03-5337638 分機: 618 傳真: 03-5337708
統一編號：23968262（建信）89359135（晉展）
E-mail: totoleeda@gmail.com
&lt;table&gt;&lt;tr&gt;&lt;td colspan="3"&gt;公司名稱:向上建設股份有限公司&lt;/td&gt;&lt;td colspan="4"&gt;地址:苗栗縣竹南鎮中正路423號&lt;/td&gt;&lt;td&gt;&lt;/td&gt;&lt;td&gt;&lt;/td&gt;&lt;td&gt;&lt;/td&gt;&lt;td&gt;&lt;/td&gt;&lt;td&gt;&lt;/td&gt;&lt;/tr&gt;&lt;tr&gt;&lt;td colspan="3"&gt;案件名稱:&lt;/td&gt;&lt;td colspan="4"&gt;電話:0932-695878&lt;/td&gt;&lt;td&gt;&lt;/td&gt;&lt;td&gt;&lt;/td&gt;&lt;td&gt;&lt;/td&gt;&lt;td&gt;&lt;/td&gt;&lt;td&gt;&lt;/td&gt;&lt;/tr&gt;&lt;tr&gt;&lt;td colspan="3"&gt;聯絡人:洪建豪先生&lt;/td&gt;&lt;td colspan="4"&gt;傳真:&lt;/td&gt;&lt;td&gt;&lt;/td&gt;&lt;td&gt;&lt;/td&gt;&lt;td&gt;&lt;/td&gt;&lt;td&gt;&lt;/td&gt;&lt;td&gt;&lt;/td&gt;&lt;/tr&gt;&lt;tr&gt;&lt;td&gt;項次&lt;/td&gt;&lt;td&gt;品名&lt;/td&gt;&lt;td&gt;規格&lt;/td&gt;&lt;td&gt;數量&lt;/td&gt;&lt;td&gt;單價&lt;/td&gt;&lt;td&gt;金額&lt;/td&gt;&lt;td&gt;備註&lt;/td&gt;&lt;td&gt;&lt;/td&gt;&lt;td&gt;&lt;/td&gt;&lt;td&gt;&lt;/td&gt;&lt;td&gt;&lt;/td&gt;&lt;td&gt;&lt;/td&gt;&lt;/tr&gt;&lt;tr&gt;&lt;td&gt;1&lt;/td&gt;&lt;td&gt;單體馬桶&lt;/td&gt;&lt;td&gt;CW288SGUR&lt;/td&gt;&lt;td&gt;11&lt;/td&gt;&lt;td&gt;13,620&lt;/td&gt;&lt;td&gt;149,820&lt;/td&gt;&lt;td&gt;&lt;/td&gt;&lt;td&gt;&lt;/td&gt;&lt;td&gt;&lt;/td&gt;&lt;td&gt;&lt;/td&gt;&lt;td&gt;&lt;/td&gt;&lt;td&gt;&lt;/td&gt;&lt;/tr&gt;&lt;tr&gt;&lt;td&gt;2&lt;/td&gt;&lt;td&gt;單體馬桶&lt;/td&gt;&lt;td&gt;CW889CDRTW&lt;/td&gt;&lt;td&gt;11&lt;/td&gt;&lt;td&gt;12,300&lt;/td&gt;&lt;td&gt;135,300&lt;/td&gt;&lt;td&gt;&lt;/td&gt;&lt;td&gt;&lt;/td&gt;&lt;td&gt;&lt;/td&gt;&lt;td&gt;&lt;/td&gt;&lt;td&gt;&lt;/td&gt;&lt;td&gt;&lt;/td&gt;&lt;/tr&gt;&lt;tr&gt;&lt;td&gt;3&lt;/td&gt;&lt;td&gt;溫水洗淨便座&lt;/td&gt;&lt;td&gt;TCF4911ETR&lt;/td&gt;&lt;td&gt;11&lt;/td&gt;&lt;td&gt;31,410&lt;/td&gt;&lt;td&gt;345,510&lt;/td&gt;&lt;td&gt;特惠價&lt;/td&gt;&lt;td&gt;&lt;/td&gt;&lt;td&gt;&lt;/td&gt;&lt;td&gt;&lt;/td&gt;&lt;td&gt;&lt;/td&gt;&lt;td&gt;&lt;/td&gt;&lt;/tr&gt;&lt;tr&gt;&lt;td&gt;4&lt;/td&gt;&lt;td&gt;溫水洗淨便座&lt;/td&gt;&lt;td&gt;TCF23360ATW&lt;/td&gt;&lt;td&gt;11&lt;/td&gt;&lt;td&gt;11,160&lt;/td&gt;&lt;td&gt;122,760&lt;/td&gt;&lt;td&gt;特惠價&lt;/td&gt;&lt;td&gt;&lt;/td&gt;&lt;td&gt;&lt;/td&gt;&lt;td&gt;&lt;/td&gt;&lt;td&gt;&lt;/td&gt;&lt;td&gt;&lt;/td&gt;&lt;/tr&gt;&lt;tr&gt;&lt;td&gt;5&lt;/td&gt;&lt;td&gt;檯面盆&lt;/td&gt;&lt;td&gt;L5616CE&lt;/td&gt;&lt;td&gt;11&lt;/td&gt;&lt;td&gt;7,920&lt;/td&gt;&lt;td&gt;87,120&lt;/td&gt;&lt;td&gt;&lt;/td&gt;&lt;td&gt;&lt;/td&gt;&lt;td&gt;&lt;/td&gt;&lt;td&gt;&lt;/td&gt;&lt;td&gt;&lt;/td&gt;&lt;td&gt;&lt;/td&gt;&lt;/tr&gt;&lt;tr&gt;&lt;td&gt;6&lt;/td&gt;&lt;td&gt;檯面盆&lt;/td&gt;&lt;td&gt;LW1615CTW&lt;/td&gt;&lt;td&gt;11&lt;/td&gt;&lt;td&gt;8,220&lt;/td&gt;&lt;td&gt;90,420&lt;/td&gt;&lt;td&gt;&lt;/td&gt;&lt;td&gt;&lt;/td&gt;&lt;td&gt;&lt;/td&gt;&lt;td&gt;&lt;/td&gt;&lt;td&gt;&lt;/td&gt;&lt;td&gt;&lt;/td&gt;&lt;/tr&gt;&lt;tr&gt;&lt;td&gt;7&lt;/td&gt;&lt;td&gt;白色浴櫃&lt;/td&gt;&lt;td&gt;C-1615&lt;/td&gt;&lt;td&gt;11&lt;/td&gt;&lt;td&gt;6,500&lt;/td&gt;&lt;td&gt;71,500&lt;/td&gt;&lt;td&gt;需開衛生紙孔&lt;/td&gt;&lt;td&gt;&lt;/td&gt;&lt;td&gt;&lt;/td&gt;&lt;td&gt;&lt;/td&gt;&lt;td&gt;&lt;/td&gt;&lt;td&gt;&lt;/td&gt;&lt;/tr&gt;&lt;tr&gt;&lt;td&gt;8&lt;/td&gt;&lt;td&gt;面盆龍頭&lt;/td&gt;&lt;td&gt;TLG02301PC&lt;/td&gt;&lt;td&gt;22&lt;/td&gt;&lt;td&gt;6,780&lt;/td&gt;&lt;td&gt;149,160&lt;/td&gt;&lt;td&gt;&lt;/td&gt;&lt;td&gt;&lt;/td&gt;&lt;td&gt;&lt;/td&gt;&lt;td&gt;&lt;/td&gt;&lt;td&gt;&lt;/td&gt;&lt;td&gt;&lt;/td&gt;&lt;/tr&gt;&lt;tr&gt;&lt;td&gt;9&lt;/td&gt;&lt;td&gt;淋浴控溫龍頭&lt;/td&gt;&lt;td&gt;TBV03426P-S2&lt;/td&gt;&lt;td&gt;22&lt;/td&gt;&lt;td&gt;8,160&lt;/td&gt;&lt;td&gt;179,520&lt;/td&gt;&lt;td&gt;&lt;/td&gt;&lt;td&gt;&lt;/td&gt;&lt;td&gt;&lt;/td&gt;&lt;td&gt;&lt;/td&gt;&lt;td&gt;&lt;/td&gt;&lt;td&gt;&lt;/td&gt;&lt;/tr&gt;&lt;tr&gt;&lt;td&gt;10&lt;/td&gt;&lt;td&gt;蓮蓬頭一段&lt;/td&gt;&lt;td&gt;9A519RY-1&lt;/td&gt;&lt;td&gt;11&lt;/td&gt;&lt;td&gt;2,160&lt;/td&gt;&lt;td&gt;23,760&lt;/td&gt;&lt;td&gt;&lt;/td&gt;&lt;td&gt;&lt;/td&gt;&lt;td&gt;&lt;/td&gt;&lt;td&gt;&lt;/td&gt;&lt;td&gt;&lt;/td&gt;&lt;td&gt;&lt;/td&gt;&lt;/tr&gt;&lt;tr&gt;&lt;td&gt;11&lt;/td&gt;&lt;td&gt;蓮蓬頭三段&lt;/td&gt;&lt;td&gt;9A520SY-1&lt;/td&gt;&lt;td&gt;11&lt;/td&gt;&lt;td&gt;3,520&lt;/td&gt;&lt;td&gt;38,720&lt;/td&gt;&lt;td&gt;&lt;/td&gt;&lt;td&gt;&lt;/td&gt;&lt;td&gt;&lt;/td&gt;&lt;td&gt;&lt;/td&gt;&lt;td&gt;&lt;/td&gt;&lt;td&gt;&lt;/td&gt;&lt;/tr&gt;&lt;tr&gt;&lt;td&gt;12&lt;/td&gt;&lt;td&gt;升降桿&lt;/td&gt;&lt;td&gt;TBW01016P&lt;/td&gt;&lt;td&gt;22&lt;/td&gt;&lt;td&gt;1,560&lt;/td&gt;&lt;td&gt;34,320&lt;/td&gt;&lt;td&gt;&lt;/td&gt;&lt;td&gt;&lt;/td&gt;&lt;td&gt;&lt;/td&gt;&lt;td&gt;&lt;/td&gt;&lt;td&gt;&lt;/td&gt;&lt;td&gt;&lt;/td&gt;&lt;/tr&gt;&lt;tr&gt;&lt;td&gt;13&lt;/td&gt;&lt;td&gt;安裝費&lt;/td&gt;&lt;td&gt;&lt;/td&gt;&lt;td&gt;1&lt;/td&gt;&lt;td&gt;105,600&lt;/td&gt;&lt;td&gt;105,600&lt;/td&gt;&lt;td&gt;訂金40萬元&lt;/td&gt;&lt;td&gt;&lt;/td&gt;&lt;td&gt;&lt;/td&gt;&lt;td&gt;&lt;/td&gt;&lt;td&gt;&lt;/td&gt;&lt;td&gt;&lt;/td&gt;&lt;/tr&gt;&lt;tr&gt;&lt;td&gt;14&lt;/td&gt;&lt;td&gt;&lt;/td&gt;&lt;td&gt;&lt;/td&gt;&lt;td&gt;&lt;/td&gt;&lt;td&gt;&lt;/td&gt;&lt;td&gt;&lt;/td&gt;&lt;td&gt;&lt;/td&gt;&lt;td&gt;&lt;/td&gt;&lt;td&gt;&lt;/td&gt;&lt;td&gt;&lt;/td&gt;&lt;td&gt;&lt;/td&gt;&lt;td&gt;&lt;/td&gt;&lt;/tr&gt;&lt;tr&gt;&lt;td&gt;15&lt;/td&gt;&lt;td&gt;&lt;/td&gt;&lt;td&gt;&lt;/td&gt;&lt;td&gt;&lt;/td&gt;&lt;td&gt;&lt;/td&gt;&lt;td&gt;&lt;/td&gt;&lt;td&gt;實收1577000元含稅價&lt;/td&gt;&lt;td&gt;&lt;/td&gt;&lt;td&gt;&lt;/td&gt;&lt;td&gt;&lt;/td&gt;&lt;td&gt;&lt;/td&gt;&lt;td&gt;&lt;/td&gt;&lt;/tr&gt;&lt;tr&gt;&lt;td&gt;16&lt;/td&gt;&lt;td&gt;&lt;/td&gt;&lt;td&gt;&lt;/td&gt;&lt;td colspan="3"&gt;小計 1,533,510&lt;/td&gt;&lt;td&gt;元整&lt;/td&gt;&lt;td&gt;&lt;/td&gt;&lt;td&gt;&lt;/td&gt;&lt;td&gt;&lt;/td&gt;&lt;td&gt;&lt;/td&gt;&lt;td&gt;&lt;/td&gt;&lt;/tr&gt;&lt;tr&gt;&lt;td&gt;17&lt;/td&gt;&lt;td&gt;&lt;/td&gt;&lt;td&gt;&lt;/td&gt;&lt;td colspan="3"&gt;稅額 76,676&lt;/td&gt;&lt;td&gt;元整&lt;/td&gt;&lt;td&gt;&lt;/td&gt;&lt;td&gt;&lt;/td&gt;&lt;td&gt;&lt;/td&gt;&lt;td&gt;&lt;/td&gt;&lt;td&gt;&lt;/td&gt;&lt;/tr&gt;&lt;tr&gt;&lt;td&gt;&lt;/td&gt;&lt;td&gt;&lt;/td&gt;&lt;td&gt;&lt;/td&gt;&lt;td colspan="3"&gt;總計 1,610,186&lt;/td&gt;&lt;td&gt;元整&lt;/td&gt;&lt;td&gt;&lt;/td&gt;&lt;td&gt;&lt;/td&gt;&lt;td&gt;&lt;/td&gt;&lt;td&gt;&lt;/td&gt;&lt;td&gt;&lt;/td&gt;&lt;/tr&gt;&lt;tr&gt;&lt;td rowspan="13" colspan="3"&gt;1.本報價單在有效期限內使生效.有效期限至2022年10月28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1.遙控器內為測試用電池,安裝後三個月內需更換,請使用碳鋅電池.2.瓷器.五金零件請使用軟質抹布.海綿沾中性清潔劑或牙膏清潔保養.3.衛洗麗溫水洗淨便座為電子類產品.應用軟質抹布沾中性清潔劑擦拭4.如因天災或不可抗力之事由,供應商之產線匱乏,致本契約產品不能繼續供應時,雙方得同意更換其它產品取代之。&lt;/td&gt;&lt;td rowspan="13" colspan="4"&gt;9.若付款方式為匯款/轉帳,請提供帳號後5碼及匯款人姓名。◆匯款帳戶如下:銀行:台灣土地銀行 東新竹分行(銀行代碼:005)戶名:晉展股份有限公司 帳號:103-001-005883&lt;/td&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able&gt;
買方確認簽名：
公司章確認簽名：
</x:v>
      </x:c>
    </x:row>
    <x:row r="6">
      <x:c r="A6" s="69" t="str">
        <x:v>SRC003</x:v>
      </x:c>
      <x:c r="B6" s="69" t="str">
        <x:v>原文1</x:v>
      </x:c>
      <x:c r="C6" s="69" t="str">
        <x:v>Markdown</x:v>
      </x:c>
      <x:c r="D6" s="69" t="str">
        <x:v>第1–30行</x:v>
      </x:c>
      <x:c r="E6" s="71" t="str">
        <x:v>## 川島地質工程股份有限公司
新竹市明湖路1006巷104弄1號
TEL:03-5207618 FAX:03-5207619
E-Mail: w5207618@gmail.com
## 工程報價單
業主：葉富傑建築師事務所
名稱: 後龍鎮龍富段614地號地質鑽探工程
地點：
日期:112/6/13
頁次:1-1
&lt;table&gt;&lt;tr&gt;&lt;td&gt;&lt;/td&gt;&lt;td&gt;項目&lt;/td&gt;&lt;td&gt;單位&lt;/td&gt;&lt;td&gt;數量&lt;/td&gt;&lt;td&gt;單價&lt;/td&gt;&lt;td&gt;複價&lt;/td&gt;&lt;td&gt;備註&lt;/td&gt;&lt;/tr&gt;&lt;tr&gt;&lt;td&gt;&lt;/td&gt;&lt;td&gt;現場鑽探:2孔*6m&lt;/td&gt;&lt;td&gt;&lt;/td&gt;&lt;td&gt;&lt;/td&gt;&lt;td&gt;&lt;/td&gt;&lt;td&gt;&lt;/td&gt;&lt;td&gt;&lt;/td&gt;&lt;/tr&gt;&lt;tr&gt;&lt;td&gt;壹&lt;/td&gt;&lt;td&gt;地質鑽探&lt;/td&gt;&lt;td&gt;式&lt;/td&gt;&lt;td&gt;1&lt;/td&gt;&lt;td&gt;35000&lt;/td&gt;&lt;td&gt;35000&lt;/td&gt;&lt;td&gt;&lt;/td&gt;&lt;/tr&gt;&lt;tr&gt;&lt;td&gt;&lt;/td&gt;&lt;td&gt;工作項目如下:&lt;/td&gt;&lt;td&gt;&lt;/td&gt;&lt;td&gt;&lt;/td&gt;&lt;td&gt;&lt;/td&gt;&lt;td&gt;&lt;/td&gt;&lt;td&gt;&lt;/td&gt;&lt;/tr&gt;&lt;tr&gt;&lt;td&gt;1&lt;/td&gt;&lt;td&gt;土層鑽探&lt;/td&gt;&lt;td&gt;&lt;/td&gt;&lt;td&gt;&lt;/td&gt;&lt;td&gt;&lt;/td&gt;&lt;td&gt;&lt;/td&gt;&lt;td&gt;&lt;/td&gt;&lt;/tr&gt;&lt;tr&gt;&lt;td&gt;2&lt;/td&gt;&lt;td&gt;卵礫石層鑽探&lt;/td&gt;&lt;td&gt;&lt;/td&gt;&lt;td&gt;&lt;/td&gt;&lt;td&gt;&lt;/td&gt;&lt;td&gt;&lt;/td&gt;&lt;td&gt;&lt;/td&gt;&lt;/tr&gt;&lt;tr&gt;&lt;td&gt;3&lt;/td&gt;&lt;td&gt;標準貫入試驗&lt;/td&gt;&lt;td&gt;&lt;/td&gt;&lt;td&gt;&lt;/td&gt;&lt;td&gt;&lt;/td&gt;&lt;td&gt;&lt;/td&gt;&lt;td&gt;&lt;/td&gt;&lt;/tr&gt;&lt;tr&gt;&lt;td&gt;4&lt;/td&gt;&lt;td&gt;劈管取樣&lt;/td&gt;&lt;td&gt;&lt;/td&gt;&lt;td&gt;&lt;/td&gt;&lt;td&gt;&lt;/td&gt;&lt;td&gt;&lt;/td&gt;&lt;td&gt;&lt;/td&gt;&lt;/tr&gt;&lt;tr&gt;&lt;td&gt;5&lt;/td&gt;&lt;td&gt;三寸薄管取樣壹支&lt;/td&gt;&lt;td&gt;&lt;/td&gt;&lt;td&gt;&lt;/td&gt;&lt;td&gt;&lt;/td&gt;&lt;td&gt;&lt;/td&gt;&lt;td&gt;&lt;/td&gt;&lt;/tr&gt;&lt;tr&gt;&lt;td&gt;6&lt;/td&gt;&lt;td&gt;移機費&lt;/td&gt;&lt;td&gt;&lt;/td&gt;&lt;td&gt;&lt;/td&gt;&lt;td&gt;&lt;/td&gt;&lt;td&gt;&lt;/td&gt;&lt;td&gt;&lt;/td&gt;&lt;/tr&gt;&lt;tr&gt;&lt;td&gt;7&lt;/td&gt;&lt;td&gt;給水設備費&lt;/td&gt;&lt;td&gt;&lt;/td&gt;&lt;td&gt;&lt;/td&gt;&lt;td&gt;&lt;/td&gt;&lt;td&gt;&lt;/td&gt;&lt;td&gt;&lt;/td&gt;&lt;/tr&gt;&lt;tr&gt;&lt;td&gt;8&lt;/td&gt;&lt;td&gt;機具搬運費&lt;/td&gt;&lt;td&gt;&lt;/td&gt;&lt;td&gt;&lt;/td&gt;&lt;td&gt;&lt;/td&gt;&lt;td&gt;&lt;/td&gt;&lt;td&gt;&lt;/td&gt;&lt;/tr&gt;&lt;tr&gt;&lt;td&gt;9&lt;/td&gt;&lt;td&gt;一般物理性試驗&lt;/td&gt;&lt;td&gt;&lt;/td&gt;&lt;td&gt;&lt;/td&gt;&lt;td&gt;&lt;/td&gt;&lt;td&gt;&lt;/td&gt;&lt;td&gt;&lt;/td&gt;&lt;/tr&gt;&lt;tr&gt;&lt;td&gt;10&lt;/td&gt;&lt;td&gt;力學試驗壹組&lt;/td&gt;&lt;td&gt;&lt;/td&gt;&lt;td&gt;&lt;/td&gt;&lt;td&gt;&lt;/td&gt;&lt;td&gt;&lt;/td&gt;&lt;td&gt;&lt;/td&gt;&lt;/tr&gt;&lt;tr&gt;&lt;td&gt;11&lt;/td&gt;&lt;td&gt;承載力分析&lt;/td&gt;&lt;td&gt;&lt;/td&gt;&lt;td&gt;&lt;/td&gt;&lt;td&gt;&lt;/td&gt;&lt;td&gt;&lt;/td&gt;&lt;td&gt;&lt;/td&gt;&lt;/tr&gt;&lt;tr&gt;&lt;td&gt;12&lt;/td&gt;&lt;td&gt;報告書裝訂(簽證)&lt;/td&gt;&lt;td&gt;&lt;/td&gt;&lt;td&gt;&lt;/td&gt;&lt;td&gt;&lt;/td&gt;&lt;td&gt;&lt;/td&gt;&lt;td&gt;&lt;/td&gt;&lt;/tr&gt;&lt;tr&gt;&lt;td&gt;&lt;/td&gt;&lt;td&gt;小計&lt;/td&gt;&lt;td colspan="3"&gt;&lt;/td&gt;&lt;td&gt;35000&lt;/td&gt;&lt;td&gt;&lt;/td&gt;&lt;/tr&gt;&lt;tr&gt;&lt;td&gt;&lt;/td&gt;&lt;td&gt;營業稅&lt;/td&gt;&lt;td&gt;式&lt;/td&gt;&lt;td&gt;1&lt;/td&gt;&lt;td&gt;1750&lt;/td&gt;&lt;td&gt;1750&lt;/td&gt;&lt;td&gt;&lt;/td&gt;&lt;/tr&gt;&lt;tr&gt;&lt;td&gt;&lt;/td&gt;&lt;td&gt;合計&lt;/td&gt;&lt;td&gt;&lt;/td&gt;&lt;td&gt;&lt;/td&gt;&lt;td&gt;&lt;/td&gt;&lt;td&gt;36750&lt;/td&gt;&lt;td&gt;&lt;/td&gt;&lt;/tr&gt;&lt;tr&gt;&lt;td colspan="7"&gt;工程總價::新臺幣叁萬陸仟柒佰伍拾元整&lt;/td&gt;&lt;/tr&gt;&lt;/table&gt;
公司：  
負責人：
![](images/d9deb81995e901274bf227a10411048b1bb7f3b7343626c3e9220a8afde1d387.jpg)
![](images/4af6ecacad909aef521c911268b729a1a3c63e8143e40f74805b3d30d45b811b.jpg)
\*\*現場請業主整地及整一個斜坡
</x:v>
      </x:c>
    </x:row>
    <x:row r="7">
      <x:c r="A7" s="69" t="str">
        <x:v>SRC004</x:v>
      </x:c>
      <x:c r="B7" s="69" t="str">
        <x:v>原文1</x:v>
      </x:c>
      <x:c r="C7" s="69" t="str">
        <x:v>Markdown</x:v>
      </x:c>
      <x:c r="D7" s="69" t="str">
        <x:v>第1–31行</x:v>
      </x:c>
      <x:c r="E7" s="71" t="str">
        <x:v>&lt;table&gt;&lt;tr&gt;&lt;td colspan="3"&gt;客戶名稱:向上建設 洪建豪 0932-695878
工程名稱:向上建設集合住宅等11戶新建工程&lt;/td&gt;&lt;td&gt;日期:112年12月12日&lt;/td&gt;&lt;/tr&gt;&lt;tr&gt;&lt;td&gt;材料部份:&lt;/td&gt;&lt;td&gt;&lt;/td&gt;&lt;td&gt;&lt;/td&gt;&lt;td&gt;新悅有限公司&lt;/td&gt;&lt;/tr&gt;&lt;tr&gt;&lt;td&gt;鋁窗 (YKK產品皆為外框10CM;通風門含定位桿)&lt;/td&gt;&lt;td&gt;1,777,023&lt;/td&gt;&lt;td&gt;&lt;/td&gt;&lt;td&gt;報價專用章&lt;/td&gt;&lt;/tr&gt;&lt;tr&gt;&lt;td&gt;紗窗 (採黑色PET+HDPE紗網;推開窗採用自動收納捲軸式紗窗)&lt;/td&gt;&lt;td&gt;322,965&lt;/td&gt;&lt;td&gt;&lt;/td&gt;&lt;td rowspan="2"&gt;統一編號:85054879
TEL:(04)2534-6963
FAX:(04)2534-6967
台中市潭子區
興華一路137號
聯絡人:王世佑0932-161530&lt;/td&gt;&lt;/tr&gt;&lt;tr&gt;&lt;td&gt;玻璃 (除註明外,其餘為22MM開口;不含玻璃,客戶自理)&lt;/td&gt;&lt;td&gt;&lt;/td&gt;&lt;td&gt;&lt;/td&gt;&lt;/tr&gt;&lt;tr&gt;&lt;td&gt;工資部份:&lt;/td&gt;&lt;td&gt;&lt;/td&gt;&lt;td&gt;&lt;/td&gt;&lt;td&gt;&lt;/td&gt;&lt;/tr&gt;&lt;tr&gt;&lt;td&gt;按裝 (焊接施工;含膨脹螺絲施作於結構上)&lt;/td&gt;&lt;td&gt;181,656&lt;/td&gt;&lt;td&gt;&lt;/td&gt;&lt;td&gt;&lt;/td&gt;&lt;/tr&gt;&lt;tr&gt;&lt;td&gt;拆紙 (限乙次,不含清潔)&lt;/td&gt;&lt;td&gt;13,617&lt;/td&gt;&lt;td&gt;&lt;/td&gt;&lt;td&gt;&lt;/td&gt;&lt;/tr&gt;&lt;tr&gt;&lt;td&gt;塞水路 (10*10mm單面施工,道康寧791;現場預留開口尺寸若與報價不符)&lt;/td&gt;&lt;td&gt;83,520&lt;/td&gt;&lt;td&gt;&lt;/td&gt;&lt;td&gt;&lt;/td&gt;&lt;/tr&gt;&lt;tr&gt;&lt;td&gt;合計,則價格另議)&lt;/td&gt;&lt;td&gt;2,378,781&lt;/td&gt;&lt;td&gt;(未稅)&lt;/td&gt;&lt;td&gt;&lt;/td&gt;&lt;/tr&gt;&lt;tr&gt;&lt;td&gt;5%稅金&lt;/td&gt;&lt;td&gt;118,939&lt;/td&gt;&lt;td&gt;&lt;/td&gt;&lt;td&gt;&lt;/td&gt;&lt;/tr&gt;&lt;tr&gt;&lt;td&gt;總計&lt;/td&gt;&lt;td&gt;2,497,720&lt;/td&gt;&lt;td&gt;(含稅、實價)&lt;/td&gt;&lt;td&gt;&lt;/td&gt;&lt;/tr&gt;&lt;/table&gt;
地址:台中市潭子區興華一路137號 TEL:(04)2534-6963 FAX:(04)2534-6967 E-mail:Xinyue.S.B@gmail.com
日期：112年12月12日
客戶名稱：向上建設 洪建豪 0932-695878
## 新悅有限公司 YKK鋁門窗 報價單
客戶名稱：向上建設 洪建豪 0932-695878
工程名稱：向上建設 集合住宅等11戶新建工程
&lt;table&gt;&lt;tr&gt;&lt;td colspan="15"&gt;工程名稱:向上建設集合住宅等11戶新建工程 日期:112年12月12日&lt;/td&gt;&lt;/tr&gt;&lt;tr&gt;&lt;td rowspan="2"&gt;項次&lt;/td&gt;&lt;td rowspan="2"&gt;圖號&lt;/td&gt;&lt;td rowspan="2"&gt;產品型號&lt;/td&gt;&lt;td colspan="2"&gt;外框尺寸(mm)&lt;/td&gt;&lt;td rowspan="2"&gt;數量(樘)&lt;/td&gt;&lt;td&gt;鋁窗&lt;/td&gt;&lt;td&gt;紗窗&lt;/td&gt;&lt;td&gt;玻璃&lt;/td&gt;&lt;td&gt;按裝&lt;/td&gt;&lt;td&gt;拆紙&lt;/td&gt;&lt;td&gt;塞水路&lt;/td&gt;&lt;td rowspan="2"&gt;小計&lt;/td&gt;&lt;td rowspan="2"&gt;合計&lt;/td&gt;&lt;td rowspan="2"&gt;備註&lt;/td&gt;&lt;/tr&gt;&lt;tr&gt;&lt;td&gt;W&lt;/td&gt;&lt;td&gt;H&lt;/td&gt;&lt;td&gt;單價&lt;/td&gt;&lt;td&gt;單價&lt;/td&gt;&lt;td&gt;單價&lt;/td&gt;&lt;td&gt;單價&lt;/td&gt;&lt;td&gt;單價&lt;/td&gt;&lt;td&gt;單價&lt;/td&gt;&lt;/tr&gt;&lt;tr&gt;&lt;td&gt;1&lt;/td&gt;&lt;td&gt;D4&lt;/td&gt;&lt;td&gt;YRB-A100固定+通風門(外開)/M&lt;/td&gt;&lt;td&gt;900&lt;/td&gt;&lt;td&gt;2700&lt;/td&gt;&lt;td&gt;13&lt;/td&gt;&lt;td&gt;22,502&lt;/td&gt;&lt;td&gt;3,340&lt;/td&gt;&lt;td&gt;-&lt;/td&gt;&lt;td&gt;1,944&lt;/td&gt;&lt;td&gt;146&lt;/td&gt;&lt;td&gt;1,080&lt;/td&gt;&lt;td&gt;29,012&lt;/td&gt;&lt;td&gt;377,156&lt;/td&gt;&lt;td&gt;18MM&lt;/td&gt;&lt;/tr&gt;&lt;tr&gt;&lt;td&gt;2&lt;/td&gt;&lt;td&gt;DW1&lt;/td&gt;&lt;td&gt;YRB-A1002枚橫拉/橫拉段窗/M&lt;/td&gt;&lt;td&gt;2200&lt;/td&gt;&lt;td&gt;2600&lt;/td&gt;&lt;td&gt;11&lt;/td&gt;&lt;td&gt;31,088&lt;/td&gt;&lt;td&gt;4,327&lt;/td&gt;&lt;td&gt;-&lt;/td&gt;&lt;td&gt;4,576&lt;/td&gt;&lt;td&gt;343&lt;/td&gt;&lt;td&gt;1,440&lt;/td&gt;&lt;td&gt;41,774&lt;/td&gt;&lt;td&gt;459,514&lt;/td&gt;&lt;td&gt;22MM·T3&lt;/td&gt;&lt;/tr&gt;&lt;tr&gt;&lt;td&gt;3&lt;/td&gt;&lt;td&gt;DW2&lt;/td&gt;&lt;td&gt;YRB-A1002枚橫拉/橫拉段窗/M&lt;/td&gt;&lt;td&gt;1600&lt;/td&gt;&lt;td&gt;2600&lt;/td&gt;&lt;td&gt;6&lt;/td&gt;&lt;td&gt;27,840&lt;/td&gt;&lt;td&gt;4,059&lt;/td&gt;&lt;td&gt;-&lt;/td&gt;&lt;td&gt;3,328&lt;/td&gt;&lt;td&gt;250&lt;/td&gt;&lt;td&gt;1,260&lt;/td&gt;&lt;td&gt;36,737&lt;/td&gt;&lt;td&gt;220,422&lt;/td&gt;&lt;td&gt;22MM·T3&lt;/td&gt;&lt;/tr&gt;&lt;tr&gt;&lt;td&gt;4&lt;/td&gt;&lt;td&gt;W1&lt;/td&gt;&lt;td&gt;YRB-A1002枚橫拉/橫拉段窗/M&lt;/td&gt;&lt;td&gt;1400&lt;/td&gt;&lt;td&gt;1600&lt;/td&gt;&lt;td&gt;22&lt;/td&gt;&lt;td&gt;20,690&lt;/td&gt;&lt;td&gt;3,227&lt;/td&gt;&lt;td&gt;-&lt;/td&gt;&lt;td&gt;1,792&lt;/td&gt;&lt;td&gt;134&lt;/td&gt;&lt;td&gt;900&lt;/td&gt;&lt;td&gt;26,743&lt;/td&gt;&lt;td&gt;588,346&lt;/td&gt;&lt;td&gt;22MM·T3&lt;/td&gt;&lt;/tr&gt;&lt;tr&gt;&lt;td&gt;5&lt;/td&gt;&lt;td&gt;W2A&lt;/td&gt;&lt;td&gt;YRB-A100推開窗/XMY&lt;/td&gt;&lt;td&gt;600&lt;/td&gt;&lt;td&gt;1100&lt;/td&gt;&lt;td&gt;12&lt;/td&gt;&lt;td&gt;8,628&lt;/td&gt;&lt;td&gt;3,287&lt;/td&gt;&lt;td&gt;-&lt;/td&gt;&lt;td&gt;800&lt;/td&gt;&lt;td&gt;60&lt;/td&gt;&lt;td&gt;510&lt;/td&gt;&lt;td&gt;13,285&lt;/td&gt;&lt;td&gt;159,420&lt;/td&gt;&lt;td&gt;22MM&lt;/td&gt;&lt;/tr&gt;&lt;tr&gt;&lt;td&gt;6&lt;/td&gt;&lt;td&gt;W2B&lt;/td&gt;&lt;td&gt;YRB-A100推開窗/XMY&lt;/td&gt;&lt;td&gt;600&lt;/td&gt;&lt;td&gt;1100&lt;/td&gt;&lt;td&gt;15&lt;/td&gt;&lt;td&gt;8,628&lt;/td&gt;&lt;td&gt;3,287&lt;/td&gt;&lt;td&gt;-&lt;/td&gt;&lt;td&gt;800&lt;/td&gt;&lt;td&gt;60&lt;/td&gt;&lt;td&gt;510&lt;/td&gt;&lt;td&gt;13,285&lt;/td&gt;&lt;td&gt;199,275&lt;/td&gt;&lt;td&gt;22MM&lt;/td&gt;&lt;/tr&gt;&lt;tr&gt;&lt;td&gt;7&lt;/td&gt;&lt;td&gt;W3&lt;/td&gt;&lt;td&gt;YRB-A1002枚橫拉段窗/M&lt;/td&gt;&lt;td&gt;600&lt;/td&gt;&lt;td&gt;600&lt;/td&gt;&lt;td&gt;22&lt;/td&gt;&lt;td&gt;8,273&lt;/td&gt;&lt;td&gt;1,389&lt;/td&gt;&lt;td&gt;-&lt;/td&gt;&lt;td&gt;800&lt;/td&gt;&lt;td&gt;60&lt;/td&gt;&lt;td&gt;360&lt;/td&gt;&lt;td&gt;10,882&lt;/td&gt;&lt;td&gt;239,404&lt;/td&gt;&lt;td&gt;22MM·T3&lt;/td&gt;&lt;/tr&gt;&lt;tr&gt;&lt;td&gt;8&lt;/td&gt;&lt;td&gt;W4&lt;/td&gt;&lt;td&gt;YRB-A1002枚橫拉段窗/M&lt;/td&gt;&lt;td&gt;1000&lt;/td&gt;&lt;td&gt;600&lt;/td&gt;&lt;td&gt;5&lt;/td&gt;&lt;td&gt;9,289&lt;/td&gt;&lt;td&gt;1,481&lt;/td&gt;&lt;td&gt;-&lt;/td&gt;&lt;td&gt;800&lt;/td&gt;&lt;td&gt;60&lt;/td&gt;&lt;td&gt;480&lt;/td&gt;&lt;td&gt;12,110&lt;/td&gt;&lt;td&gt;60,550&lt;/td&gt;&lt;td&gt;22MM·T3&lt;/td&gt;&lt;/tr&gt;&lt;tr&gt;&lt;td&gt;9&lt;/td&gt;&lt;td&gt;W5&lt;/td&gt;&lt;td&gt;YRB-A100百葉窗(固定/脫著)/MSUS&lt;/td&gt;&lt;td&gt;1200&lt;/td&gt;&lt;td&gt;1200&lt;/td&gt;&lt;td&gt;2&lt;/td&gt;&lt;td&gt;20,413&lt;/td&gt;&lt;td&gt;3,442&lt;/td&gt;&lt;td&gt;-&lt;/td&gt;&lt;td&gt;1,152&lt;/td&gt;&lt;td&gt;86&lt;/td&gt;&lt;td&gt;720&lt;/td&gt;&lt;td&gt;25,813&lt;/td&gt;&lt;td&gt;51,626&lt;/td&gt;&lt;td&gt;&lt;/td&gt;&lt;/tr&gt;&lt;tr&gt;&lt;td&gt;10&lt;/td&gt;&lt;td&gt;W6&lt;/td&gt;&lt;td&gt;YRB-A1002枚橫拉/橫拉段窗/M&lt;/td&gt;&lt;td&gt;900&lt;/td&gt;&lt;td&gt;1600&lt;/td&gt;&lt;td&gt;1&lt;/td&gt;&lt;td&gt;18,076&lt;/td&gt;&lt;td&gt;3,004&lt;/td&gt;&lt;td&gt;-&lt;/td&gt;&lt;td&gt;1,152&lt;/td&gt;&lt;td&gt;86&lt;/td&gt;&lt;td&gt;750&lt;/td&gt;&lt;td&gt;23,068&lt;/td&gt;&lt;td&gt;23,068&lt;/td&gt;&lt;td&gt;22MM·T3&lt;/td&gt;&lt;/tr&gt;&lt;tr&gt;&lt;td colspan="2"&gt;本頁小計&lt;/td&gt;&lt;td&gt;&lt;/td&gt;&lt;td&gt;&lt;/td&gt;&lt;td&gt;&lt;/td&gt;&lt;td&gt;109&lt;/td&gt;&lt;td&gt;&lt;/td&gt;&lt;td&gt;&lt;/td&gt;&lt;td&gt;&lt;/td&gt;&lt;td&gt;&lt;/td&gt;&lt;td&gt;&lt;/td&gt;&lt;td&gt;&lt;/td&gt;&lt;td&gt;&lt;/td&gt;&lt;td&gt;$2,378,781&lt;/td&gt;&lt;td&gt;&lt;/td&gt;&lt;/tr&gt;&lt;/table&gt;
地址:台中市潭子區興華一路137號
TEL:(04)2534-6963 FAX:(04)2534-6967 E-mail:Xinyue.S.B@gmail.com
## 新悅有限公司 YKK 鋁門窗 報價單
客戶名稱：向上建設 洪建豪 0932-695878
&lt;table&gt;&lt;tr&gt;&lt;td rowspan="2"&gt;項次&lt;/td&gt;&lt;td rowspan="2"&gt;圖號&lt;/td&gt;&lt;td rowspan="2"&gt;產品型號&lt;/td&gt;&lt;td colspan="2"&gt;外框尺寸(mm)&lt;/td&gt;&lt;td rowspan="2"&gt;數量(樘)&lt;/td&gt;&lt;td&gt;鋁窗&lt;/td&gt;&lt;td&gt;紗窗&lt;/td&gt;&lt;td&gt;玻璃&lt;/td&gt;&lt;td&gt;按裝&lt;/td&gt;&lt;td&gt;拆紙&lt;/td&gt;&lt;td&gt;塞水路&lt;/td&gt;&lt;td rowspan="2"&gt;小計&lt;/td&gt;&lt;td rowspan="2"&gt;合計&lt;/td&gt;&lt;td rowspan="2"&gt;備註&lt;/td&gt;&lt;/tr&gt;&lt;tr&gt;&lt;td&gt;W&lt;/td&gt;&lt;td&gt;H&lt;/td&gt;&lt;td&gt;單價&lt;/td&gt;&lt;td&gt;單價&lt;/td&gt;&lt;td&gt;單價&lt;/td&gt;&lt;td&gt;單價&lt;/td&gt;&lt;td&gt;單價&lt;/td&gt;&lt;td&gt;單價&lt;/td&gt;&lt;/tr&gt;&lt;tr&gt;&lt;td&gt;11&lt;/td&gt;&lt;td&gt;WA&lt;/td&gt;&lt;td&gt;YRB-A1002枚橫拉窗/M&lt;/td&gt;&lt;td&gt;600&lt;/td&gt;&lt;td&gt;600&lt;/td&gt;&lt;td&gt;0&lt;/td&gt;&lt;td&gt;8,273&lt;/td&gt;&lt;td&gt;1,389&lt;/td&gt;&lt;td&gt;-&lt;/td&gt;&lt;td&gt;800&lt;/td&gt;&lt;td&gt;60&lt;/td&gt;&lt;td&gt;360&lt;/td&gt;&lt;td&gt;10,882&lt;/td&gt;&lt;td&gt;-&lt;/td&gt;&lt;td&gt;22MM·T3無數量&lt;/td&gt;&lt;/tr&gt;&lt;tr&gt;&lt;td&gt;12&lt;/td&gt;&lt;td&gt;WB&lt;/td&gt;&lt;td&gt;YRB-A1002枚橫拉窗/M&lt;/td&gt;&lt;td&gt;600&lt;/td&gt;&lt;td&gt;600&lt;/td&gt;&lt;td&gt;0&lt;/td&gt;&lt;td&gt;8,273&lt;/td&gt;&lt;td&gt;1,389&lt;/td&gt;&lt;td&gt;-&lt;/td&gt;&lt;td&gt;800&lt;/td&gt;&lt;td&gt;60&lt;/td&gt;&lt;td&gt;360&lt;/td&gt;&lt;td&gt;10,882&lt;/td&gt;&lt;td&gt;-&lt;/td&gt;&lt;td&gt;22MM·T3無數量&lt;/td&gt;&lt;/tr&gt;&lt;tr&gt;&lt;td&gt;13&lt;/td&gt;&lt;td&gt;&lt;/td&gt;&lt;td&gt;以下空白&lt;/td&gt;&lt;td&gt;&lt;/td&gt;&lt;td&gt;&lt;/td&gt;&lt;td&gt;&lt;/td&gt;&lt;td&gt;&lt;/td&gt;&lt;td&gt;&lt;/td&gt;&lt;td&gt;&lt;/td&gt;&lt;td&gt;&lt;/td&gt;&lt;td&gt;&lt;/td&gt;&lt;td&gt;&lt;/td&gt;&lt;td&gt;&lt;/td&gt;&lt;td&gt;&lt;/td&gt;&lt;td&gt;&lt;/td&gt;&lt;/tr&gt;&lt;tr&gt;&lt;td&gt;14&lt;/td&gt;&lt;td&gt;&lt;/td&gt;&lt;td&gt;&lt;/td&gt;&lt;td&gt;&lt;/td&gt;&lt;td&gt;&lt;/td&gt;&lt;td&gt;&lt;/td&gt;&lt;td&gt;&lt;/td&gt;&lt;td&gt;&lt;/td&gt;&lt;td&gt;&lt;/td&gt;&lt;td&gt;&lt;/td&gt;&lt;td&gt;&lt;/td&gt;&lt;td&gt;&lt;/td&gt;&lt;td&gt;&lt;/td&gt;&lt;td&gt;&lt;/td&gt;&lt;td&gt;&lt;/td&gt;&lt;/tr&gt;&lt;tr&gt;&lt;td&gt;15&lt;/td&gt;&lt;td&gt;&lt;/td&gt;&lt;td&gt;&lt;/td&gt;&lt;td&gt;&lt;/td&gt;&lt;td&gt;&lt;/td&gt;&lt;td&gt;&lt;/td&gt;&lt;td&gt;&lt;/td&gt;&lt;td&gt;&lt;/td&gt;&lt;td&gt;&lt;/td&gt;&lt;td&gt;&lt;/td&gt;&lt;td&gt;&lt;/td&gt;&lt;td&gt;&lt;/td&gt;&lt;td&gt;&lt;/td&gt;&lt;td&gt;&lt;/td&gt;&lt;td&gt;&lt;/td&gt;&lt;/tr&gt;&lt;tr&gt;&lt;td&gt;16&lt;/td&gt;&lt;td&gt;&lt;/td&gt;&lt;td&gt;&lt;/td&gt;&lt;td&gt;&lt;/td&gt;&lt;td&gt;&lt;/td&gt;&lt;td&gt;&lt;/td&gt;&lt;td&gt;&lt;/td&gt;&lt;td&gt;&lt;/td&gt;&lt;td&gt;&lt;/td&gt;&lt;td&gt;&lt;/td&gt;&lt;td&gt;&lt;/td&gt;&lt;td&gt;&lt;/td&gt;&lt;td&gt;&lt;/td&gt;&lt;td&gt;&lt;/td&gt;&lt;td&gt;&lt;/td&gt;&lt;/tr&gt;&lt;tr&gt;&lt;td&gt;17&lt;/td&gt;&lt;td&gt;&lt;/td&gt;&lt;td&gt;&lt;/td&gt;&lt;td&gt;&lt;/td&gt;&lt;td&gt;&lt;/td&gt;&lt;td&gt;&lt;/td&gt;&lt;td&gt;&lt;/td&gt;&lt;td&gt;&lt;/td&gt;&lt;td&gt;&lt;/td&gt;&lt;td&gt;&lt;/td&gt;&lt;td&gt;&lt;/td&gt;&lt;td&gt;&lt;/td&gt;&lt;td&gt;&lt;/td&gt;&lt;td&gt;&lt;/td&gt;&lt;td&gt;&lt;/td&gt;&lt;/tr&gt;&lt;tr&gt;&lt;td&gt;18&lt;/td&gt;&lt;td&gt;&lt;/td&gt;&lt;td&gt;&lt;/td&gt;&lt;td&gt;&lt;/td&gt;&lt;td&gt;&lt;/td&gt;&lt;td&gt;&lt;/td&gt;&lt;td&gt;&lt;/td&gt;&lt;td&gt;&lt;/td&gt;&lt;td&gt;&lt;/td&gt;&lt;td&gt;&lt;/td&gt;&lt;td&gt;&lt;/td&gt;&lt;td&gt;&lt;/td&gt;&lt;td&gt;&lt;/td&gt;&lt;td&gt;&lt;/td&gt;&lt;td&gt;&lt;/td&gt;&lt;/tr&gt;&lt;tr&gt;&lt;td&gt;19&lt;/td&gt;&lt;td&gt;&lt;/td&gt;&lt;td&gt;&lt;/td&gt;&lt;td&gt;&lt;/td&gt;&lt;td&gt;&lt;/td&gt;&lt;td&gt;&lt;/td&gt;&lt;td&gt;&lt;/td&gt;&lt;td&gt;&lt;/td&gt;&lt;td&gt;&lt;/td&gt;&lt;td&gt;&lt;/td&gt;&lt;td&gt;&lt;/td&gt;&lt;td&gt;&lt;/td&gt;&lt;td&gt;&lt;/td&gt;&lt;td&gt;&lt;/td&gt;&lt;td&gt;&lt;/td&gt;&lt;/tr&gt;&lt;tr&gt;&lt;td&gt;20&lt;/td&gt;&lt;td&gt;&lt;/td&gt;&lt;td&gt;&lt;/td&gt;&lt;td&gt;&lt;/td&gt;&lt;td&gt;&lt;/td&gt;&lt;td&gt;&lt;/td&gt;&lt;td&gt;&lt;/td&gt;&lt;td&gt;&lt;/td&gt;&lt;td&gt;&lt;/td&gt;&lt;td&gt;&lt;/td&gt;&lt;td&gt;&lt;/td&gt;&lt;td&gt;&lt;/td&gt;&lt;td&gt;&lt;/td&gt;&lt;td&gt;&lt;/td&gt;&lt;td&gt;&lt;/td&gt;&lt;/tr&gt;&lt;tr&gt;&lt;td colspan="2"&gt;本頁小計&lt;/td&gt;&lt;td&gt;&lt;/td&gt;&lt;td&gt;&lt;/td&gt;&lt;td&gt;&lt;/td&gt;&lt;td&gt;0&lt;/td&gt;&lt;td&gt;&lt;/td&gt;&lt;td&gt;&lt;/td&gt;&lt;td&gt;&lt;/td&gt;&lt;td&gt;&lt;/td&gt;&lt;td&gt;&lt;/td&gt;&lt;td&gt;&lt;/td&gt;&lt;td&gt;&lt;/td&gt;&lt;td&gt;$ -&lt;/td&gt;&lt;td&gt;&lt;/td&gt;&lt;/tr&gt;&lt;/table&gt;
地址:台中市潭子區興華一路137號 TEL:(04)2534-6963 FAX:(04)2534-6967 E-mail:Xinyue.S.B@gmail.com
</x:v>
      </x:c>
    </x:row>
    <x:row r="8">
      <x:c r="A8" s="69" t="str">
        <x:v>SRC005</x:v>
      </x:c>
      <x:c r="B8" s="69" t="str">
        <x:v>原文1</x:v>
      </x:c>
      <x:c r="C8" s="69" t="str">
        <x:v>Markdown</x:v>
      </x:c>
      <x:c r="D8" s="69" t="str">
        <x:v>第1–19行</x:v>
      </x:c>
      <x:c r="E8" s="71" t="str">
        <x:v>TOTO
報價單
建信自動化有限公司 晉展股份有限公司
公司地址：新竹市公道五路三段538號
TEL：03-5337638 分機：618 傳真：03-5337708
統一編號：23968262（建信）89359135（晉展）
E-mail : totoleeda@gmail.com
&lt;table&gt;&lt;tr&gt;&lt;td colspan="3"&gt;公司名稱:向上建設股份有限公司&lt;/td&gt;&lt;td colspan="4"&gt;地址:苗栗縣竹南鎮中正路423號&lt;/td&gt;&lt;/tr&gt;&lt;tr&gt;&lt;td colspan="3"&gt;案件名稱:&lt;/td&gt;&lt;td colspan="4"&gt;電話:0932-695878&lt;/td&gt;&lt;/tr&gt;&lt;tr&gt;&lt;td colspan="3"&gt;聯絡人:洪建豪先生&lt;/td&gt;&lt;td colspan="4"&gt;傳真:&lt;/td&gt;&lt;/tr&gt;&lt;tr&gt;&lt;td&gt;項次&lt;/td&gt;&lt;td&gt;品名&lt;/td&gt;&lt;td&gt;規格&lt;/td&gt;&lt;td&gt;數量&lt;/td&gt;&lt;td&gt;單價&lt;/td&gt;&lt;td&gt;金額&lt;/td&gt;&lt;td&gt;備註&lt;/td&gt;&lt;/tr&gt;&lt;tr&gt;&lt;td&gt;1&lt;/td&gt;&lt;td&gt;單體馬桶&lt;/td&gt;&lt;td&gt;CW288SGUR&lt;/td&gt;&lt;td&gt;11&lt;/td&gt;&lt;td&gt;13,620&lt;/td&gt;&lt;td&gt;149,820&lt;/td&gt;&lt;td&gt;&lt;/td&gt;&lt;/tr&gt;&lt;tr&gt;&lt;td&gt;2&lt;/td&gt;&lt;td&gt;單體馬桶&lt;/td&gt;&lt;td&gt;CW889CDRTW&lt;/td&gt;&lt;td&gt;11&lt;/td&gt;&lt;td&gt;12,300&lt;/td&gt;&lt;td&gt;135,300&lt;/td&gt;&lt;td&gt;&lt;/td&gt;&lt;/tr&gt;&lt;tr&gt;&lt;td&gt;3&lt;/td&gt;&lt;td&gt;溫水洗淨便座&lt;/td&gt;&lt;td&gt;TCF4911ETR&lt;/td&gt;&lt;td&gt;11&lt;/td&gt;&lt;td&gt;31,410&lt;/td&gt;&lt;td&gt;345,510&lt;/td&gt;&lt;td&gt;特惠價&lt;/td&gt;&lt;/tr&gt;&lt;tr&gt;&lt;td&gt;4&lt;/td&gt;&lt;td&gt;溫水洗淨便座&lt;/td&gt;&lt;td&gt;TCF23360ATW&lt;/td&gt;&lt;td&gt;11&lt;/td&gt;&lt;td&gt;11,160&lt;/td&gt;&lt;td&gt;122,760&lt;/td&gt;&lt;td&gt;特惠價&lt;/td&gt;&lt;/tr&gt;&lt;tr&gt;&lt;td&gt;5&lt;/td&gt;&lt;td&gt;檯面盆&lt;/td&gt;&lt;td&gt;LW1615CTW&lt;/td&gt;&lt;td&gt;22&lt;/td&gt;&lt;td&gt;8,220&lt;/td&gt;&lt;td&gt;180,840&lt;/td&gt;&lt;td&gt;&lt;/td&gt;&lt;/tr&gt;&lt;tr&gt;&lt;td&gt;6&lt;/td&gt;&lt;td&gt;白色浴櫃&lt;/td&gt;&lt;td&gt;C-1615&lt;/td&gt;&lt;td&gt;22&lt;/td&gt;&lt;td&gt;6,500&lt;/td&gt;&lt;td&gt;143,000&lt;/td&gt;&lt;td&gt;需開衛生紙孔&lt;/td&gt;&lt;/tr&gt;&lt;tr&gt;&lt;td&gt;7&lt;/td&gt;&lt;td&gt;面盆龍頭&lt;/td&gt;&lt;td&gt;TLG02301PC&lt;/td&gt;&lt;td&gt;22&lt;/td&gt;&lt;td&gt;6,780&lt;/td&gt;&lt;td&gt;149,160&lt;/td&gt;&lt;td&gt;&lt;/td&gt;&lt;/tr&gt;&lt;tr&gt;&lt;td&gt;8&lt;/td&gt;&lt;td&gt;淋浴控溫龍頭&lt;/td&gt;&lt;td&gt;TBV03426P-S2&lt;/td&gt;&lt;td&gt;22&lt;/td&gt;&lt;td&gt;8,160&lt;/td&gt;&lt;td&gt;179,520&lt;/td&gt;&lt;td&gt;&lt;/td&gt;&lt;/tr&gt;&lt;tr&gt;&lt;td&gt;9&lt;/td&gt;&lt;td&gt;蓮蓬頭一段&lt;/td&gt;&lt;td&gt;9A519RY-1&lt;/td&gt;&lt;td&gt;11&lt;/td&gt;&lt;td&gt;2,160&lt;/td&gt;&lt;td&gt;23,760&lt;/td&gt;&lt;td&gt;&lt;/td&gt;&lt;/tr&gt;&lt;tr&gt;&lt;td&gt;10&lt;/td&gt;&lt;td&gt;蓮蓬頭三段&lt;/td&gt;&lt;td&gt;9A520SY-1&lt;/td&gt;&lt;td&gt;11&lt;/td&gt;&lt;td&gt;3,520&lt;/td&gt;&lt;td&gt;38,720&lt;/td&gt;&lt;td&gt;&lt;/td&gt;&lt;/tr&gt;&lt;tr&gt;&lt;td&gt;11&lt;/td&gt;&lt;td&gt;升降桿&lt;/td&gt;&lt;td&gt;TBW01016P&lt;/td&gt;&lt;td&gt;22&lt;/td&gt;&lt;td&gt;1,560&lt;/td&gt;&lt;td&gt;34,320&lt;/td&gt;&lt;td&gt;&lt;/td&gt;&lt;/tr&gt;&lt;tr&gt;&lt;td&gt;12&lt;/td&gt;&lt;td&gt;暖風乾燥機(線控220V)&lt;/td&gt;&lt;td&gt;TYB3151AAR&lt;/td&gt;&lt;td&gt;22&lt;/td&gt;&lt;td&gt;9,700&lt;/td&gt;&lt;td&gt;213,400&lt;/td&gt;&lt;td&gt;&lt;/td&gt;&lt;/tr&gt;&lt;tr&gt;&lt;td&gt;13&lt;/td&gt;&lt;td&gt;安裝費&lt;/td&gt;&lt;td&gt;&lt;/td&gt;&lt;td&gt;1&lt;/td&gt;&lt;td&gt;132,000&lt;/td&gt;&lt;td&gt;132,000&lt;/td&gt;&lt;td&gt;訂金40萬元&lt;/td&gt;&lt;/tr&gt;&lt;tr&gt;&lt;td&gt;14&lt;/td&gt;&lt;td&gt;&lt;/td&gt;&lt;td&gt;&lt;/td&gt;&lt;td&gt;&lt;/td&gt;&lt;td&gt;&lt;/td&gt;&lt;td&gt;&lt;/td&gt;&lt;td&gt;&lt;/td&gt;&lt;/tr&gt;&lt;tr&gt;&lt;td&gt;15&lt;/td&gt;&lt;td&gt;&lt;/td&gt;&lt;td&gt;&lt;/td&gt;&lt;td&gt;&lt;/td&gt;&lt;td&gt;&lt;/td&gt;&lt;td&gt;&lt;/td&gt;&lt;td&gt;實收1,907,330元含稅價&lt;/td&gt;&lt;/tr&gt;&lt;tr&gt;&lt;td&gt;16&lt;/td&gt;&lt;td&gt;&lt;/td&gt;&lt;td&gt;&lt;/td&gt;&lt;td colspan="3"&gt;小計 1,848,110&lt;/td&gt;&lt;td&gt;元整&lt;/td&gt;&lt;/tr&gt;&lt;tr&gt;&lt;td&gt;17&lt;/td&gt;&lt;td&gt;&lt;/td&gt;&lt;td&gt;&lt;/td&gt;&lt;td colspan="3"&gt;稅額 92,406&lt;/td&gt;&lt;td&gt;元整&lt;/td&gt;&lt;/tr&gt;&lt;tr&gt;&lt;td&gt;18&lt;/td&gt;&lt;td&gt;&lt;/td&gt;&lt;td&gt;&lt;/td&gt;&lt;td colspan="3"&gt;總計 1,940,516&lt;/td&gt;&lt;td&gt;元整&lt;/td&gt;&lt;/tr&gt;&lt;tr&gt;&lt;td colspan="3"&gt;1.本報價單在有效期限內使生效.有效期限至 113年1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6.本報價單僅限本案使用,不得挪為其他案件使用。7.基於誠信保密原則,本報價單均不得揭露予第三人知悉。8.如因天災或不可抗力之事由,供應商之產線匱乏,致本契約產品不能繼續供應時,雙方得同意更換其它產品取代之。&lt;/td&gt;&lt;td colspan="4"&gt;9.若付款方式為匯款/轉帳,請提供帳號後5碼及匯款人姓名。◆匯款帳戶如下:銀行:台灣土地銀行 東新竹分行 (銀行代碼:005)戶名:晉展股份有限公司 帳號:103-001-005883:1.遙控器內為測試用電池,安裝後三個月內需更換,請使用碳鋅電池.2.瓷器.五金零件請使用軟質抹布.海綿沾中性清潔劑或牙膏清潔保養.3.衛洗麗溫水洗淨便座為電子類產品.應用軟質抹布沾中性清潔劑擦拭保養請勿用水清洗 承辦人:李建達 0921-980012報價日期:112年12月26日&lt;/td&gt;&lt;/tr&gt;&lt;/table&gt;
買方確認簽名：
公司章確認簽名：
</x:v>
      </x:c>
    </x:row>
    <x:row r="9">
      <x:c r="A9" s="69" t="str">
        <x:v>SRC006</x:v>
      </x:c>
      <x:c r="B9" s="69" t="str">
        <x:v>原文1</x:v>
      </x:c>
      <x:c r="C9" s="69" t="str">
        <x:v>Markdown</x:v>
      </x:c>
      <x:c r="D9" s="69" t="str">
        <x:v>第1–29行</x:v>
      </x:c>
      <x:c r="E9" s="71" t="str">
        <x:v>## 國璽寶建材 昌盛磁磚
## 報價明細表
## 向上建設股份有限公司
工地名稱：11間
工地聯絡人：
工地地址：後龍
TEL:
FAX:
聯絡人: 洪先生
113年03月26日
&lt;table&gt;&lt;tr&gt;&lt;td&gt;項次&lt;/td&gt;&lt;td&gt;廠牌/品名&lt;/td&gt;&lt;td&gt;規格/公分&lt;/td&gt;&lt;td&gt;單位&lt;/td&gt;&lt;td&gt;單價&lt;/td&gt;&lt;td&gt;備註&lt;/td&gt;&lt;/tr&gt;&lt;tr&gt;&lt;td&gt;1&lt;/td&gt;&lt;td&gt;H086710U&lt;/td&gt;&lt;td&gt;6*22.7&lt;/td&gt;&lt;td&gt;片&lt;/td&gt;&lt;td&gt;$3.2&lt;/td&gt;&lt;td&gt;外牆磚&lt;/td&gt;&lt;/tr&gt;&lt;tr&gt;&lt;td&gt;2&lt;/td&gt;&lt;td&gt;DB6F02.25&lt;/td&gt;&lt;td&gt;60*60&lt;/td&gt;&lt;td&gt;片&lt;/td&gt;&lt;td&gt;$135&lt;/td&gt;&lt;td&gt;客餐廳&lt;/td&gt;&lt;/tr&gt;&lt;tr&gt;&lt;td&gt;3&lt;/td&gt;&lt;td&gt;JH36M302.304&lt;/td&gt;&lt;td&gt;30*60&lt;/td&gt;&lt;td&gt;片&lt;/td&gt;&lt;td&gt;$58&lt;/td&gt;&lt;td&gt;浴室壁地&lt;/td&gt;&lt;/tr&gt;&lt;tr&gt;&lt;td&gt;4&lt;/td&gt;&lt;td&gt;JH36A915C&lt;/td&gt;&lt;td&gt;30*60&lt;/td&gt;&lt;td&gt;片&lt;/td&gt;&lt;td&gt;$75&lt;/td&gt;&lt;td&gt;浴室花磚&lt;/td&gt;&lt;/tr&gt;&lt;tr&gt;&lt;td&gt;5&lt;/td&gt;&lt;td&gt;2713&lt;/td&gt;&lt;td&gt;20*27&lt;/td&gt;&lt;td&gt;片&lt;/td&gt;&lt;td&gt;$20&lt;/td&gt;&lt;td&gt;樓梯&lt;/td&gt;&lt;/tr&gt;&lt;tr&gt;&lt;td&gt;6&lt;/td&gt;&lt;td&gt;2003&lt;/td&gt;&lt;td&gt;20*20&lt;/td&gt;&lt;td&gt;片&lt;/td&gt;&lt;td&gt;$11&lt;/td&gt;&lt;td&gt;樓梯&lt;/td&gt;&lt;/tr&gt;&lt;tr&gt;&lt;td&gt;7&lt;/td&gt;&lt;td&gt;2005&lt;/td&gt;&lt;td&gt;20*20&lt;/td&gt;&lt;td&gt;片&lt;/td&gt;&lt;td&gt;$11&lt;/td&gt;&lt;td&gt;陽台&lt;/td&gt;&lt;/tr&gt;&lt;tr&gt;&lt;td&gt;8&lt;/td&gt;&lt;td&gt;TS2306&lt;/td&gt;&lt;td&gt;20*20&lt;/td&gt;&lt;td&gt;片&lt;/td&gt;&lt;td&gt;$12&lt;/td&gt;&lt;td&gt;陽台(不退貨)&lt;/td&gt;&lt;/tr&gt;&lt;tr&gt;&lt;td&gt;9&lt;/td&gt;&lt;td&gt;3005&lt;/td&gt;&lt;td&gt;30*30&lt;/td&gt;&lt;td&gt;片&lt;/td&gt;&lt;td&gt;$28&lt;/td&gt;&lt;td&gt;露臺&lt;/td&gt;&lt;/tr&gt;&lt;tr&gt;&lt;td&gt;10&lt;/td&gt;&lt;td&gt;60702&lt;/td&gt;&lt;td&gt;60*60&lt;/td&gt;&lt;td&gt;片&lt;/td&gt;&lt;td&gt;$95&lt;/td&gt;&lt;td&gt;梯間地&lt;/td&gt;&lt;/tr&gt;&lt;tr&gt;&lt;td&gt;11&lt;/td&gt;&lt;td&gt;96012&lt;/td&gt;&lt;td&gt;30*60&lt;/td&gt;&lt;td&gt;片&lt;/td&gt;&lt;td&gt;$58&lt;/td&gt;&lt;td&gt;電梯壁&lt;/td&gt;&lt;/tr&gt;&lt;tr&gt;&lt;td&gt;12&lt;/td&gt;&lt;td&gt;加工費&lt;/td&gt;&lt;td&gt;30*60&lt;/td&gt;&lt;td&gt;每公分&lt;/td&gt;&lt;td&gt;$0.5&lt;/td&gt;&lt;td&gt;&lt;/td&gt;&lt;/tr&gt;&lt;tr&gt;&lt;td&gt;備註&lt;/td&gt;&lt;td colspan="5"&gt;(1)以上報價均不含5%營業稅 (2)電匯 (3)本報價單有效期間自即日起至113年05月30日 (4)庫存品.二丁掛.異形磚.拆箱不退貨 (5)以上報價若無誤 本報價單視同合約草書煩請用印回傳 謝謝!&lt;/td&gt;&lt;/tr&gt;&lt;/table&gt;
TEL:037-473966 FAX:037-462250
統編: 58004068
業務：王滢婷 電話：0932-183507
地址:苗栗縣竹南鎮維新路410號
</x:v>
      </x:c>
    </x:row>
    <x:row r="10">
      <x:c r="A10" s="69" t="str">
        <x:v>SRC007</x:v>
      </x:c>
      <x:c r="B10" s="69" t="str">
        <x:v>原文1</x:v>
      </x:c>
      <x:c r="C10" s="69" t="str">
        <x:v>Markdown</x:v>
      </x:c>
      <x:c r="D10" s="69" t="str">
        <x:v>第1–51行</x:v>
      </x:c>
      <x:c r="E10" s="71" t="str">
        <x:v>報價日期：2024/5/6
客戶：向上建設
統編：90057101
聯絡人：蘇怡樺
連絡電話：0975210366
&lt;table&gt;&lt;tr&gt;&lt;td&gt;項目&lt;/td&gt;&lt;td&gt;產品名稱&lt;/td&gt;&lt;td&gt;功能&lt;/td&gt;&lt;td&gt;數量&lt;/td&gt;&lt;td&gt;單價&lt;/td&gt;&lt;td&gt;建商優惠價&lt;/td&gt;&lt;/tr&gt;&lt;tr&gt;&lt;td&gt;1&lt;/td&gt;&lt;td&gt;台熱牌TCM-210BS&lt;/td&gt;&lt;td&gt;遙控升降/LED照明&lt;/td&gt;&lt;td&gt;1&lt;/td&gt;&lt;td&gt;11,800&lt;/td&gt;&lt;td&gt;10620&lt;/td&gt;&lt;/tr&gt;&lt;tr&gt;&lt;td&gt;2&lt;/td&gt;&lt;td&gt;&lt;/td&gt;&lt;td&gt;&lt;/td&gt;&lt;td&gt;&lt;/td&gt;&lt;td&gt;&lt;/td&gt;&lt;td&gt;&lt;/td&gt;&lt;/tr&gt;&lt;tr&gt;&lt;td&gt;3&lt;/td&gt;&lt;td&gt;&lt;/td&gt;&lt;td&gt;&lt;/td&gt;&lt;td&gt;&lt;/td&gt;&lt;td&gt;&lt;/td&gt;&lt;td&gt;&lt;/td&gt;&lt;/tr&gt;&lt;tr&gt;&lt;td&gt;4&lt;/td&gt;&lt;td&gt;&lt;/td&gt;&lt;td&gt;&lt;/td&gt;&lt;td&gt;&lt;/td&gt;&lt;td&gt;&lt;/td&gt;&lt;td&gt;&lt;/td&gt;&lt;/tr&gt;&lt;tr&gt;&lt;td&gt;5&lt;/td&gt;&lt;td&gt;&lt;/td&gt;&lt;td&gt;&lt;/td&gt;&lt;td&gt;&lt;/td&gt;&lt;td&gt;&lt;/td&gt;&lt;td&gt;&lt;/td&gt;&lt;/tr&gt;&lt;tr&gt;&lt;td colspan="4"&gt;&lt;/td&gt;&lt;td&gt;總價未稅&lt;/td&gt;&lt;td&gt;10620&lt;/td&gt;&lt;/tr&gt;&lt;/table&gt;
備註：
1. 本報價單有效期為七天經簽字或蓋章後,即視為正式訂單。
2.如需用到配件另計。
3.台熱牌智能鎖保固二年、
(24H 0800-068-068 售後服務)
自安裝起超過保固，
經原廠安裝認證技師提供故障品維修報價提供修繕。
4.付款方式:現金.匯款
5.匯款資訊：銀行代碼007
帳號 207-10-002693
戶名：鎖庫企業社
轉帳後請回傳截圖或告知帳號後五碼
客戶簽章：專公股向
日期：
![](images/932140a2fda673ce729c3b09c2439232b797a28033390250baf204d0c4e4ba4a.jpg)
鎖庫智能有限公司
聯絡人：施姵帆
電話： 0933707365
市話：(02)8261-9923
客服專線：0800-068-069
</x:v>
      </x:c>
    </x:row>
    <x:row r="11">
      <x:c r="A11" s="69" t="str">
        <x:v>SRC008</x:v>
      </x:c>
      <x:c r="B11" s="69" t="str">
        <x:v>原文1</x:v>
      </x:c>
      <x:c r="C11" s="69" t="str">
        <x:v>Markdown</x:v>
      </x:c>
      <x:c r="D11" s="69" t="str">
        <x:v>第1–51行</x:v>
      </x:c>
      <x:c r="E11" s="71" t="str">
        <x:v>報價日期：2024/3/20
客戶：向上建設
統編：90057101
聯絡人：蘇怡樺
連絡電話：0975210366
&lt;table&gt;&lt;tr&gt;&lt;td&gt;項目&lt;/td&gt;&lt;td&gt;產品名稱&lt;/td&gt;&lt;td&gt;功能&lt;/td&gt;&lt;td&gt;數量&lt;/td&gt;&lt;td&gt;單價&lt;/td&gt;&lt;td&gt;建商優惠價&lt;/td&gt;&lt;/tr&gt;&lt;tr&gt;&lt;td&gt;1&lt;/td&gt;&lt;td&gt;飛利浦7300&lt;/td&gt;&lt;td&gt;指紋/密碼/卡片/鑰匙/藍芽&lt;/td&gt;&lt;td&gt;1&lt;/td&gt;&lt;td&gt;22,000&lt;/td&gt;&lt;td&gt;13500&lt;/td&gt;&lt;/tr&gt;&lt;tr&gt;&lt;td&gt;2&lt;/td&gt;&lt;td&gt;耶魯7216A&lt;/td&gt;&lt;td&gt;指紋/密碼/卡片/鑰匙/&lt;/td&gt;&lt;td&gt;1&lt;/td&gt;&lt;td&gt;27,000&lt;/td&gt;&lt;td&gt;16000&lt;/td&gt;&lt;/tr&gt;&lt;tr&gt;&lt;td&gt;3&lt;/td&gt;&lt;td&gt;&lt;/td&gt;&lt;td&gt;&lt;/td&gt;&lt;td&gt;&lt;/td&gt;&lt;td&gt;&lt;/td&gt;&lt;td&gt;&lt;/td&gt;&lt;/tr&gt;&lt;tr&gt;&lt;td&gt;4&lt;/td&gt;&lt;td&gt;&lt;/td&gt;&lt;td&gt;&lt;/td&gt;&lt;td&gt;&lt;/td&gt;&lt;td&gt;&lt;/td&gt;&lt;td&gt;&lt;/td&gt;&lt;/tr&gt;&lt;tr&gt;&lt;td&gt;5&lt;/td&gt;&lt;td&gt;&lt;/td&gt;&lt;td&gt;&lt;/td&gt;&lt;td&gt;&lt;/td&gt;&lt;td&gt;&lt;/td&gt;&lt;td&gt;&lt;/td&gt;&lt;/tr&gt;&lt;tr&gt;&lt;td colspan="4"&gt;&lt;/td&gt;&lt;td&gt;總價未稅&lt;/td&gt;&lt;td&gt;&lt;/td&gt;&lt;/tr&gt;&lt;/table&gt;
備註：
1. 本報價單有效期為七天經簽字或蓋章後, 即視為正式訂單。
2.如需用到配件另計。
3.飛利浦智能鎖保固三年、耶魯智能鎖保固兩年
(24H 0800-068-068 售後服務)
自安裝起超過保固，
經原廠安裝認證技師提供故障品維修報價提供修繕。
4.付款方式:現金.匯款
5.匯款資訊：銀行代碼007
帳號 207-10-002693
戶名：鎖庫企業社
轉帳後請回傳截圖或告知帳號後五碼
客戶簽章：
日期：
![](images/48aa2b791a9af2b41934e3315139a53d76d4a4f19fac4daaf854aca96660b798.jpg)
鎖庫智能有限公司
聯絡人：施姵帆
電話：0933707365
市話：(02)8261-9923
客服專線：0800-068-069
</x:v>
      </x:c>
    </x:row>
    <x:row r="12">
      <x:c r="A12" s="69" t="str">
        <x:v>SRC009</x:v>
      </x:c>
      <x:c r="B12" s="69" t="str">
        <x:v>原文1</x:v>
      </x:c>
      <x:c r="C12" s="69" t="str">
        <x:v>Markdown</x:v>
      </x:c>
      <x:c r="D12" s="69" t="str">
        <x:v>第1–74行</x:v>
      </x:c>
      <x:c r="E12" s="71" t="str">
        <x:v>图 霍 著
GU DUO DUO
## 報價單
詢價單位：展昇營造開發有限公司
统一編號：89499282
住址：
联络人：陕正陽 0926-027-455
雪 桔：
電子信箱：
傅真：
詢價名稱：窗角結構壁面防裂元件自立验算单列 2016.2815元
- 事民百答记本，[133168]元
- 事民百答明本，[133106]元
- 事民百答明本，[135592]元
&lt;table&gt;&lt;tr&gt;&lt;td&gt;品名&lt;/td&gt;&lt;td&gt;規格&lt;/td&gt;&lt;td&gt;產品編號&lt;/td&gt;&lt;td&gt;數量&lt;/td&gt;&lt;td&gt;單價&lt;/td&gt;&lt;td&gt;稅金&lt;/td&gt;&lt;td&gt;總價&lt;/td&gt;&lt;/tr&gt;&lt;tr&gt;&lt;td&gt;固多多-窗角結構壁面防裂元件&lt;/td&gt;&lt;td&gt;冷轧鋼板用料15cm(2片式)&lt;/td&gt;&lt;td&gt;B152(第9代)&lt;/td&gt;&lt;td&gt;267枚&lt;/td&gt;&lt;td&gt;420元&lt;/td&gt;&lt;td&gt;稅外&lt;/td&gt;&lt;td&gt;112.140元&lt;/td&gt;&lt;/tr&gt;&lt;/table&gt;
\*本項報價針對 責司做最優惠報價。原因：因應 責司善盞營建業社會責任，為提升建築品質，使用最新發明因多多 GU DUO DUO-窗角結構壁面防裂元件期解決長久以來門窗扭角龜裂情形之改善，予以最優惠之報價及配套方式推廣。
\*訂購數量為267枚+贈送數量為6枚，合計總出貨數量為273枚（以實際出貨量按計單價不變贈送2%不變。）
\*享有最優惠報價之公司，應有義務配合本公司於貴司建案外鑑或可供廣告之處所，懸掛有關於本公司因多多GU DUO DUO-窗角站轉壁面防裂元件宣傳...等廣告事宜。
\*本報價單請訂貨廠商確認後，蓋章回傳06-5988169
報價總計為 新台幣 1 拾 1 萬 2 仟 1 佰 4 拾 0 元整(未稅)
\*交貨條件：一次交清
\*交貨時間：確定交貨通知日起，交貨日期約為15天。
\* 預定交货時間：113/5/20
\*交貨地點：356 苗栗縣後龍鎮新東路 116 琥旁
\*收貨人：陳正陽 聯絡電話：0926-027-455
\*付款约定：月結現金(例如：5月26日至6月25日交貨結算後，於7月25日前以現金或即期支票一次付清。)
※本報價早經雙方簽章確認後，將視為簡易合約書，不須另訂其他合約內容。  
※本項報價有效日自報價日起15天內有效
本公司正常上班日才提供出货服务
報價廠商：漢成黃篆社
負責人：林志成
電話：06-5988109
传真：06-5988169
![](images/9b0e65a8a6a10b2e2958832adbb2ff698d2b8e96cc3819be9f72926126143b9c.jpg)
E-mail: jc065988109@yahoo.com.tw
通訊地址：台南市新化區中山路808巷19號
經手業務：梅鎮洲 0915-905-555 (JC-108)
研發主任：林先生 0937-346-873
[Unreadable]
![](images/c21ca54f3f4a8a2c9b9ab77323e2484fec430f247106c07a2ee210695346ce29.jpg)
</x:v>
      </x:c>
    </x:row>
    <x:row r="13">
      <x:c r="A13" s="69" t="str">
        <x:v>SRC010</x:v>
      </x:c>
      <x:c r="B13" s="69" t="str">
        <x:v>原文1</x:v>
      </x:c>
      <x:c r="C13" s="69" t="str">
        <x:v>Markdown</x:v>
      </x:c>
      <x:c r="D13" s="69" t="str">
        <x:v>第1–26行</x:v>
      </x:c>
      <x:c r="E13" s="71" t="str">
        <x:v>客戶：向上建設
聯絡人：洪建豪 總經理
聯絡電話：0932-695-878
113年05月15日
工地地址：
隆昌窯業(股)公司 新竹分公司
新竹縣竹北市莊敬北路220號
TEL:03-5509480 FAX:03-5508062
&lt;table&gt;&lt;tr&gt;&lt;td&gt;項次&lt;/td&gt;&lt;td&gt;型號&lt;/td&gt;&lt;td&gt;色別&lt;/td&gt;&lt;td&gt;品名&lt;/td&gt;&lt;td&gt;數量&lt;/td&gt;&lt;td&gt;未稅單價&lt;/td&gt;&lt;td&gt;未稅單價&lt;/td&gt;&lt;td&gt;備註&lt;/td&gt;&lt;/tr&gt;&lt;tr&gt;&lt;td colspan="8"&gt;&lt;/td&gt;&lt;/tr&gt;&lt;tr&gt;&lt;td&gt;1&lt;/td&gt;&lt;td&gt;9K3300G-160&lt;/td&gt;&lt;td&gt;白框&lt;/td&gt;&lt;td&gt;一字三門5mm透明強化玻璃橫拉門-W160*H185CM以內&lt;/td&gt;&lt;td&gt;18&lt;/td&gt;&lt;td&gt;$ 7,900&lt;/td&gt;&lt;td&gt;$ 142,200&lt;/td&gt;&lt;td&gt;附門檻請泥作預埋/含拉門安裝&lt;/td&gt;&lt;/tr&gt;&lt;tr&gt;&lt;td&gt;2&lt;/td&gt;&lt;td&gt;9KH8100-160&lt;/td&gt;&lt;td&gt;無框&lt;/td&gt;&lt;td&gt;自由夾具一字型8mm強化玻璃-W160*H190CM&lt;/td&gt;&lt;td&gt;18&lt;/td&gt;&lt;td&gt;$ 11,000&lt;/td&gt;&lt;td&gt;$ 198,000&lt;/td&gt;&lt;td&gt;附門檻請泥作預埋/含拉門安裝&lt;/td&gt;&lt;/tr&gt;&lt;tr&gt;&lt;td colspan="8"&gt;&lt;img src="images/273b59660c0b5bf0b4d7580dce668f580eadb446cf2550193fdf949d62824792.jpg"/&gt; 此圖僅供參考 9K3300G-160 白框一字三門 5mm強化玻璃-W160*H185CM內 &lt;img src="images/d8a9df24d8ce0e020d1778e47db4c50f29bbfb201b0aebd2bb882b87fa687f03.jpg"/&gt; 此圖僅供參考 9KH8100-160 無框自由夾具一字形 8mm強化玻璃-W160*H190CM內&lt;/td&gt;&lt;/tr&gt;&lt;tr&gt;&lt;td rowspan="3" colspan="6"&gt;主管: 經辦: 蘇彥齊 0912-236-790&lt;/td&gt;&lt;td&gt;未稅總價:&lt;/td&gt;&lt;td&gt;$340,200&lt;/td&gt;&lt;/tr&gt;&lt;tr&gt;&lt;td&gt;5%營業稅:&lt;/td&gt;&lt;td&gt;$17,010&lt;/td&gt;&lt;/tr&gt;&lt;tr&gt;&lt;td&gt;含稅總價:&lt;/td&gt;&lt;td&gt;$357,210&lt;/td&gt;&lt;/tr&gt;&lt;/table&gt;
1. 如蒙惠顧，請預付訂金三成。  
2. 本報價有效期為報價日起10天。  
3. 以上價格皆為未稅價格，營業稅另計，且不含施工。  
4. 請於出貨前30天通知賣方，以利備貨準備。下貨地點以一樓為限。  
5. 保固期限為交貨完畢起算一年。  
6. 付款方式：訂金於交貨前兌現 / 請開立現金票支付貨款 / 訂金於尾款扣除。
客戶確認：
</x:v>
      </x:c>
    </x:row>
    <x:row r="14">
      <x:c r="A14" s="69" t="str">
        <x:v>SRC011</x:v>
      </x:c>
      <x:c r="B14" s="69" t="str">
        <x:v>原文1</x:v>
      </x:c>
      <x:c r="C14" s="69" t="str">
        <x:v>Markdown</x:v>
      </x:c>
      <x:c r="D14" s="69" t="str">
        <x:v>第1–26行</x:v>
      </x:c>
      <x:c r="E14" s="71" t="str">
        <x:v>客戶：向上建設
聯絡人：洪建豪 總經理
聯絡電話：0932-695-878
工地地址：
113年06月07日
隆昌窯業(股)公司 新竹分公司
新竹縣竹北市莊敬北路220號
TEL:03-5509480 FAX:03-5508062
&lt;table&gt;&lt;tr&gt;&lt;td&gt;項次&lt;/td&gt;&lt;td&gt;型號&lt;/td&gt;&lt;td&gt;色別&lt;/td&gt;&lt;td&gt;品名&lt;/td&gt;&lt;td&gt;數量&lt;/td&gt;&lt;td&gt;未稅單價&lt;/td&gt;&lt;td&gt;未稅單價&lt;/td&gt;&lt;td&gt;備註&lt;/td&gt;&lt;/tr&gt;&lt;tr&gt;&lt;td colspan="8"&gt;&lt;/td&gt;&lt;/tr&gt;&lt;tr&gt;&lt;td&gt;1&lt;/td&gt;&lt;td&gt;9K8100G-160&lt;/td&gt;&lt;td&gt;黑框&lt;/td&gt;&lt;td&gt;一字型自由夾具8mm透明強化玻璃橫拉門-W160*H190CM以內&lt;/td&gt;&lt;td&gt;18&lt;/td&gt;&lt;td&gt;$ 14,000&lt;/td&gt;&lt;td&gt;$ 252,000&lt;/td&gt;&lt;td&gt;附門檻請泥作預埋/含拉門安裝&lt;/td&gt;&lt;/tr&gt;&lt;tr&gt;&lt;td colspan="8"&gt;&lt;img src="images/eab44060ac30be2c4240ea44d56bb065aa447627ee50d3caa38cf6800c6af722.jpg"/&gt;此圖僅供參考9KH8100-160黑框自由夾具一字形8mm強化玻璃-W160*H190CM內&lt;/td&gt;&lt;/tr&gt;&lt;tr&gt;&lt;td rowspan="3" colspan="6"&gt;主管: 經辦: 蘇彥齊 0912-236-790&lt;/td&gt;&lt;td&gt;未稅總價:&lt;/td&gt;&lt;td&gt;$252,000&lt;/td&gt;&lt;/tr&gt;&lt;tr&gt;&lt;td&gt;5%營業稅:&lt;/td&gt;&lt;td&gt;$12,600&lt;/td&gt;&lt;/tr&gt;&lt;tr&gt;&lt;td&gt;含稅總價:&lt;/td&gt;&lt;td&gt;$264,600&lt;/td&gt;&lt;/tr&gt;&lt;/table&gt;
1. 如蒙惠顧，請預付訂金三成。  
2. 本報價有效期為報價日起10天。  
3. 以上價格皆為未稅價格，營業稅另計，且不含施工。  
4. 請於出貨前30天通知賣方，以利備貨準備。下貨地點以一樓為限。  
5. 保固期限為交貨完畢起算一年。  
6. 付款方式：訂金於交貨前兌現 / 請開立現金票支付貨款 / 訂金於尾款扣除。
客戶確認：
</x:v>
      </x:c>
    </x:row>
    <x:row r="15">
      <x:c r="A15" s="69" t="str">
        <x:v>SRC012</x:v>
      </x:c>
      <x:c r="B15" s="69" t="str">
        <x:v>原文1</x:v>
      </x:c>
      <x:c r="C15" s="69" t="str">
        <x:v>Markdown</x:v>
      </x:c>
      <x:c r="D15" s="69" t="str">
        <x:v>第1–31行</x:v>
      </x:c>
      <x:c r="E15" s="71" t="str">
        <x:v>## 協力建材有限公司 金協和建材有限公司
## 材料報價單
TEL:037-475616 FAX: 037-480329
地址:苗栗縣竹南鎮大厝里12鄰獅山70-12號
客戶：向上建設
聯絡人:蘇特助03-777-5355#366
地址：苗栗縣後龍工地
日期:113/06/20
業務:魏義軒
電話:0956-889902
&lt;table&gt;&lt;tr&gt;&lt;td&gt;&lt;/td&gt;&lt;td&gt;品牌&lt;/td&gt;&lt;td&gt;規格&lt;/td&gt;&lt;td&gt;包裝&lt;/td&gt;&lt;td&gt;單位&lt;/td&gt;&lt;td&gt;單價&lt;/td&gt;&lt;td&gt;備註欄&lt;/td&gt;&lt;/tr&gt;&lt;tr&gt;&lt;td rowspan="2"&gt;紅磚&lt;/td&gt;&lt;td rowspan="2"&gt;竹東磚&lt;/td&gt;&lt;td rowspan="2"&gt;5*10*21&lt;/td&gt;&lt;td&gt;&lt;/td&gt;&lt;td&gt;塊&lt;/td&gt;&lt;td&gt;2.5&lt;/td&gt;&lt;td&gt;10000磚以上 拖車送到&lt;/td&gt;&lt;/tr&gt;&lt;tr&gt;&lt;td&gt;&lt;/td&gt;&lt;td&gt;塊&lt;/td&gt;&lt;td&gt;3.3&lt;/td&gt;&lt;td&gt;店出&lt;/td&gt;&lt;/tr&gt;&lt;tr&gt;&lt;td rowspan="5"&gt;砂&lt;/td&gt;&lt;td&gt;粗砂&lt;/td&gt;&lt;td rowspan="4"&gt;&lt;/td&gt;&lt;td&gt;&lt;/td&gt;&lt;td&gt;米&lt;/td&gt;&lt;td&gt;1100&lt;/td&gt;&lt;td&gt;地板料&lt;/td&gt;&lt;/tr&gt;&lt;tr&gt;&lt;td&gt;細砂&lt;/td&gt;&lt;td&gt;&lt;/td&gt;&lt;td&gt;米&lt;/td&gt;&lt;td&gt;1100&lt;/td&gt;&lt;td&gt;部分高屏砂&lt;/td&gt;&lt;/tr&gt;&lt;tr&gt;&lt;td&gt;A細砂&lt;/td&gt;&lt;td&gt;&lt;/td&gt;&lt;td&gt;米&lt;/td&gt;&lt;td&gt;1200&lt;/td&gt;&lt;td&gt;較多高屏砂 近中砂顆粒&lt;/td&gt;&lt;/tr&gt;&lt;tr&gt;&lt;td&gt;高屏砂&lt;/td&gt;&lt;td&gt;&lt;/td&gt;&lt;td&gt;米&lt;/td&gt;&lt;td&gt;1300&lt;/td&gt;&lt;td&gt;低含泥量 有出廠證明&lt;/td&gt;&lt;/tr&gt;&lt;tr&gt;&lt;td colspan="6"&gt;車子米數依車斗實際數量(非他其它家灌水)&lt;/td&gt;&lt;/tr&gt;&lt;tr&gt;&lt;td rowspan="2"&gt;水泥&lt;/td&gt;&lt;td&gt;台泥(品牌)&lt;/td&gt;&lt;td&gt;&lt;/td&gt;&lt;td&gt;40kg&lt;/td&gt;&lt;td&gt;包&lt;/td&gt;&lt;td&gt;165&lt;/td&gt;&lt;td rowspan="2"&gt;目前價格&lt;/td&gt;&lt;/tr&gt;&lt;tr&gt;&lt;td&gt;亞泥(洋房)&lt;/td&gt;&lt;td&gt;&lt;/td&gt;&lt;td&gt;40kg&lt;/td&gt;&lt;td&gt;包&lt;/td&gt;&lt;td&gt;165&lt;/td&gt;&lt;/tr&gt;&lt;tr&gt;&lt;td&gt;&lt;/td&gt;&lt;td colspan="6"&gt;此價格為黏著劑一起配合價&lt;/td&gt;&lt;/tr&gt;&lt;tr&gt;&lt;td rowspan="3"&gt;黏著劑&lt;/td&gt;&lt;td&gt;巴師父&lt;/td&gt;&lt;td&gt;黏著劑&lt;/td&gt;&lt;td&gt;25kg&lt;/td&gt;&lt;td&gt;包&lt;/td&gt;&lt;td&gt;155&lt;/td&gt;&lt;td&gt;30*30以下適用同潤泰830等級&lt;/td&gt;&lt;/tr&gt;&lt;tr&gt;&lt;td&gt;德國亞德士&lt;/td&gt;&lt;td&gt;X1&lt;/td&gt;&lt;td&gt;25kg&lt;/td&gt;&lt;td&gt;包&lt;/td&gt;&lt;td&gt;220&lt;/td&gt;&lt;td&gt;80*80以下是適用同南星與潤泰850等級通過CNS12311&lt;/td&gt;&lt;/tr&gt;&lt;tr&gt;&lt;td&gt;南星黏著劑&lt;/td&gt;&lt;td&gt;&lt;/td&gt;&lt;td&gt;25kg&lt;/td&gt;&lt;td&gt;包&lt;/td&gt;&lt;td&gt;270&lt;/td&gt;&lt;td&gt;&lt;/td&gt;&lt;/tr&gt;&lt;tr&gt;&lt;td rowspan="3"&gt;填縫劑&lt;/td&gt;&lt;td&gt;巴師父&lt;/td&gt;&lt;td&gt;本色&lt;/td&gt;&lt;td&gt;25kg&lt;/td&gt;&lt;td&gt;包&lt;/td&gt;&lt;td&gt;140&lt;/td&gt;&lt;td&gt;其他顏色另議&lt;/td&gt;&lt;/tr&gt;&lt;tr&gt;&lt;td&gt;巴師父&lt;/td&gt;&lt;td&gt;本色細縫&lt;/td&gt;&lt;td&gt;5kg&lt;/td&gt;&lt;td&gt;桶&lt;/td&gt;&lt;td&gt;250&lt;/td&gt;&lt;td&gt;其他顏色另議&lt;/td&gt;&lt;/tr&gt;&lt;tr&gt;&lt;td&gt;德國亞德士&lt;/td&gt;&lt;td&gt;細縫拋光&lt;/td&gt;&lt;td&gt;5kg&lt;/td&gt;&lt;td&gt;包&lt;/td&gt;&lt;td&gt;350&lt;/td&gt;&lt;td&gt;需提早訂貨 全顏色統一價&lt;/td&gt;&lt;/tr&gt;&lt;tr&gt;&lt;td rowspan="2"&gt;潤泰乾拌砂&lt;/td&gt;&lt;td colspan="2"&gt;粉光材(細)330&lt;/td&gt;&lt;td rowspan="2"&gt;40kg&lt;/td&gt;&lt;td&gt;包&lt;/td&gt;&lt;td&gt;150&lt;/td&gt;&lt;td&gt;目前價格&lt;/td&gt;&lt;/tr&gt;&lt;tr&gt;&lt;td colspan="2"&gt;地板材(粗)190&lt;/td&gt;&lt;td&gt;包&lt;/td&gt;&lt;td&gt;140&lt;/td&gt;&lt;td&gt;目前價格&lt;/td&gt;&lt;/tr&gt;&lt;tr&gt;&lt;td&gt;雜項&lt;/td&gt;&lt;td colspan="2"&gt;品牌/項目/內容&lt;/td&gt;&lt;td&gt;包裝&lt;/td&gt;&lt;td&gt;單位&lt;/td&gt;&lt;td&gt;單價&lt;/td&gt;&lt;td&gt;備註欄&lt;/td&gt;&lt;/tr&gt;&lt;tr&gt;&lt;td&gt;新舊水泥接著劑&lt;/td&gt;&lt;td colspan="2"&gt;SP-001&lt;/td&gt;&lt;td&gt;5加侖&lt;/td&gt;&lt;td&gt;桶&lt;/td&gt;&lt;td&gt;1900&lt;/td&gt;&lt;td&gt;與SP360同工廠(員合工業)&lt;/td&gt;&lt;/tr&gt;&lt;tr&gt;&lt;td&gt;防水劑&lt;/td&gt;&lt;td colspan="2"&gt;六合化工(員和化工)&lt;/td&gt;&lt;td&gt;5加侖&lt;/td&gt;&lt;td&gt;桶&lt;/td&gt;&lt;td&gt;400&lt;/td&gt;&lt;td&gt;&lt;/td&gt;&lt;/tr&gt;&lt;tr&gt;&lt;td&gt;防水粉&lt;/td&gt;&lt;td colspan="2"&gt;亞德士&lt;/td&gt;&lt;td&gt;1kg&lt;/td&gt;&lt;td&gt;包&lt;/td&gt;&lt;td&gt;250&lt;/td&gt;&lt;td&gt;符合標準CNS3763&lt;/td&gt;&lt;/tr&gt;&lt;tr&gt;&lt;td&gt;磁磚保護板&lt;/td&gt;&lt;td colspan="2"&gt;白色不透明PP&lt;/td&gt;&lt;td&gt;3*6呎&lt;/td&gt;&lt;td&gt;片&lt;/td&gt;&lt;td&gt;17&lt;/td&gt;&lt;td&gt;&lt;/td&gt;&lt;/tr&gt;&lt;tr&gt;&lt;td&gt;膠帶&lt;/td&gt;&lt;td colspan="2"&gt;布紋膠帶&lt;/td&gt;&lt;td&gt;寬5cm&lt;/td&gt;&lt;td&gt;捲&lt;/td&gt;&lt;td&gt;45&lt;/td&gt;&lt;td&gt;90呎每條6個&lt;/td&gt;&lt;/tr&gt;&lt;tr&gt;&lt;td&gt;無收縮水泥漿&lt;/td&gt;&lt;td colspan="2"&gt;6000磅&lt;/td&gt;&lt;td&gt;25kg&lt;/td&gt;&lt;td&gt;包&lt;/td&gt;&lt;td&gt;320&lt;/td&gt;&lt;td&gt;&lt;/td&gt;&lt;/tr&gt;&lt;tr&gt;&lt;td&gt;海菜粉&lt;/td&gt;&lt;td colspan="2"&gt;#10000&lt;/td&gt;&lt;td&gt;25kg&lt;/td&gt;&lt;td&gt;包&lt;/td&gt;&lt;td&gt;8600&lt;/td&gt;&lt;td&gt;南星&lt;/td&gt;&lt;/tr&gt;&lt;tr&gt;&lt;td&gt;楣樑&lt;/td&gt;&lt;td colspan="2"&gt;5*10&lt;/td&gt;&lt;td&gt;5*10&lt;/td&gt;&lt;td&gt;公分&lt;/td&gt;&lt;td&gt;1.5&lt;/td&gt;&lt;td&gt;內含#3鋼筋兩隻&lt;/td&gt;&lt;/tr&gt;&lt;tr&gt;&lt;td rowspan="3"&gt;門檻&lt;/td&gt;&lt;td colspan="2" rowspan="3"&gt;高分子亮面人造石&lt;/td&gt;&lt;td&gt;6*6*6&lt;/td&gt;&lt;td&gt;公分&lt;/td&gt;&lt;td&gt;3&lt;/td&gt;&lt;td rowspan="3"&gt;若貴工地主管方便提供圖面敝司可協助計算及統計數量以利現場進貨時間與分料作業&lt;/td&gt;&lt;/tr&gt;&lt;tr&gt;&lt;td&gt;6*6*10&lt;/td&gt;&lt;td&gt;公分&lt;/td&gt;&lt;td&gt;4&lt;/td&gt;&lt;/tr&gt;&lt;tr&gt;&lt;td&gt;6*6*15&lt;/td&gt;&lt;td&gt;公分&lt;/td&gt;&lt;td&gt;5&lt;/td&gt;&lt;/tr&gt;&lt;tr&gt;&lt;td&gt;清潔劑&lt;/td&gt;&lt;td colspan="2"&gt;磁磚清潔劑&lt;/td&gt;&lt;td&gt;20L&lt;/td&gt;&lt;td&gt;桶&lt;/td&gt;&lt;td&gt;500&lt;/td&gt;&lt;td&gt;&lt;/td&gt;&lt;/tr&gt;&lt;tr&gt;&lt;td colspan="2"&gt;SPC卡扣地板&lt;/td&gt;&lt;td&gt;&lt;/td&gt;&lt;td colspan="2"&gt;厚度8mm&lt;/td&gt;&lt;td&gt;2500/坪&lt;/td&gt;&lt;td&gt;連工帶料 地坪需平整&lt;/td&gt;&lt;/tr&gt;&lt;/table&gt;
一、以上產品單價均為未稅價。
二、以上價格隨物價波動調整。若有調整將提早半個月以新報價單通知工地現場人員。
三、依實際進貨數量請款100% 30天期票。
四、工程需出大料，敬請提早兩天通知，方便敝司安排車次，以利工程順利進行。
五、此報價單有效期限為一個月
</x:v>
      </x:c>
    </x:row>
    <x:row r="16">
      <x:c r="A16" s="69" t="str">
        <x:v>SRC013</x:v>
      </x:c>
      <x:c r="B16" s="69" t="str">
        <x:v>原文1</x:v>
      </x:c>
      <x:c r="C16" s="69" t="str">
        <x:v>Markdown</x:v>
      </x:c>
      <x:c r="D16" s="69" t="str">
        <x:v>第1–70行</x:v>
      </x:c>
      <x:c r="E16" s="71" t="str">
        <x:v>![](images/300ed174cf257a413f906cd47345cbaa741519c805334e63aa5f2c4b0b496a74.jpg)
總計 764,453日期：113.06.20
3.以上價格含本體及五金，按裝、嵌補(水泥砂業主提供)、塞水路(一般型)不含清潔及吊車費。
&lt;table&gt;&lt;tr&gt;&lt;td rowspan="2"&gt;圖號&lt;/td&gt;&lt;td colspan="7"&gt;規格&lt;/td&gt;&lt;td rowspan="2"&gt;數量&lt;/td&gt;&lt;td rowspan="2"&gt;單價&lt;/td&gt;&lt;td rowspan="2"&gt;複價&lt;/td&gt;&lt;td rowspan="2"&gt;備註&lt;/td&gt;&lt;/tr&gt;&lt;tr&gt;&lt;td&gt;型式&lt;/td&gt;&lt;td&gt;窗型&lt;/td&gt;&lt;td&gt;併列&lt;/td&gt;&lt;td&gt;W(cm)&lt;/td&gt;&lt;td&gt;H1(cm)&lt;/td&gt;&lt;td&gt;H(cm)&lt;/td&gt;&lt;td&gt;色別&lt;/td&gt;&lt;/tr&gt;&lt;tr&gt;&lt;td&gt;D3&lt;/td&gt;&lt;td&gt;玻纖防火門&lt;/td&gt;&lt;td&gt;玻纖防火門(雅雕CT-03)&lt;/td&gt;&lt;td&gt;&lt;/td&gt;&lt;td&gt;110&lt;/td&gt;&lt;td&gt;&lt;/td&gt;&lt;td&gt;230&lt;/td&gt;&lt;td&gt;&lt;/td&gt;&lt;td&gt;11&lt;/td&gt;&lt;td&gt;66,186&lt;/td&gt;&lt;td&gt;728,050&lt;/td&gt;&lt;td&gt;3D重型鉸鍊CN-127、下降條DW-900、隱藏式門弓器POWRE 1505&lt;/td&gt;&lt;/tr&gt;&lt;tr&gt;&lt;td&gt;&lt;/td&gt;&lt;td&gt;以下空白&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 colspan="7"&gt;小計&lt;/td&gt;&lt;td&gt;&lt;/td&gt;&lt;td&gt;0&lt;/td&gt;&lt;td&gt;&lt;/td&gt;&lt;td&gt;728,050&lt;/td&gt;&lt;td&gt;&lt;/td&gt;&lt;/tr&gt;&lt;/table&gt;
地址：苗栗縣頭份市自強路二段477號 電話：037-636192（代表） 傳真：037-626860
電話：037-775355-366傳真：
※ 如確定製作，請蓋章後回傳，謝謝！
塑豐實業股份有限公司報價單(第二次議價)
E-mail : sfsy5@ms24.hinet.net
2.防火門五金詳備註，門框不含門檻、門扇不含未說明之特殊五金。
4.以上報價含電子鎖開孔費用，不含電子鎖。
工程名稱:向上建設集合住宅等11戶新建工程
客戶名稱：向上建設股份有限公司聯絡人：李姿誼(業務)
![](images/9529e1ef39f4a28c86e1d0bd54459f8c63480b6b1bd6eb3c392a9ce6d6b901d7.jpg)
手機：0937-771336
地址：苗栗縣頭份市自強路二段477號 電話：(037)636-192(代表) 傳真：(037)626-860
總計 253,617話：037-775355#366 傳真：
&lt;table&gt;&lt;tr&gt;&lt;td rowspan="2"&gt;圖號&lt;/td&gt;&lt;td colspan="5"&gt;規格&lt;/td&gt;&lt;td rowspan="2"&gt;數量&lt;/td&gt;&lt;td rowspan="2"&gt;單價&lt;/td&gt;&lt;td rowspan="2"&gt;複價&lt;/td&gt;&lt;td rowspan="2"&gt;備註&lt;/td&gt;&lt;/tr&gt;&lt;tr&gt;&lt;td&gt;型式&lt;/td&gt;&lt;td&gt;W(cm)&lt;/td&gt;&lt;td&gt;H1(cm)&lt;/td&gt;&lt;td&gt;H(cm)&lt;/td&gt;&lt;td&gt;色別&lt;/td&gt;&lt;/tr&gt;&lt;tr&gt;&lt;td&gt;D02&lt;/td&gt;&lt;td&gt;60A烤漆鋼板門(單扇)+遮煙&lt;/td&gt;&lt;td&gt;90&lt;/td&gt;&lt;td&gt;&lt;/td&gt;&lt;td&gt;210&lt;/td&gt;&lt;td&gt;粉體烤漆(基本色)&lt;/td&gt;&lt;td&gt;8&lt;/td&gt;&lt;td&gt;27,250&lt;/td&gt;&lt;td&gt;218,000&lt;/td&gt;&lt;td&gt;平推鎖、天地鉸鏈、門弓器、下降條&lt;/td&gt;&lt;/tr&gt;&lt;tr&gt;&lt;td&gt;D07&lt;/td&gt;&lt;td&gt;烤漆鋼板門(單扇)&lt;/td&gt;&lt;td&gt;120&lt;/td&gt;&lt;td&gt;&lt;/td&gt;&lt;td&gt;210&lt;/td&gt;&lt;td&gt;粉體烤漆(基本色)&lt;/td&gt;&lt;td&gt;1&lt;/td&gt;&lt;td&gt;23,541&lt;/td&gt;&lt;td&gt;23,541&lt;/td&gt;&lt;td&gt;分離式水平鎖、天地鉸鏈、門弓器&lt;/td&gt;&lt;/tr&gt;&lt;tr&gt;&lt;td&gt;&lt;/td&gt;&lt;td&gt;以下空白&lt;/td&gt;&lt;td&gt;&lt;/td&gt;&lt;td&gt;&lt;/td&gt;&lt;td&gt;&lt;/td&gt;&lt;td&gt;&lt;/td&gt;&lt;td&gt;&lt;/td&gt;&lt;td&gt;-&lt;/td&gt;&lt;td&gt;-&lt;/td&gt;&lt;td&gt;&lt;/td&gt;&lt;/tr&gt;&lt;tr&gt;&lt;td colspan="5"&gt;小計&lt;/td&gt;&lt;td&gt;&lt;/td&gt;&lt;td&gt;9&lt;/td&gt;&lt;td&gt;&lt;/td&gt;&lt;td&gt;241,540&lt;/td&gt;&lt;td&gt;&lt;/td&gt;&lt;/tr&gt;&lt;/table&gt;
税金 12,077
日期：113.06.20報價單(第二次議價單)
※ 如確定製作，請蓋章後回傳，謝謝！
## 塑豐實業股份有限公司
工程名稱：向上建設集合住宅等11戶新建工程(後龍鎮龍富段614地號)
E-mail : sfsy5@ms24.hinet.net
5.報價單有效期限15天。
客戶名稱：向上建設股份有限公司
![](images/76a321232d495768c845b47e6042d492e58bcad6a26f7989d3390cae1b99b64e.jpg)
地址：苗栗縣頭份鎮田寮里自強路二段477號 TEL：037-636192(代表) FAX：037-626860※ 如確定製作，請蓋章後回傳，謝謝！
四.南亞百葉通風口的標準尺寸為38cm\*23cm，不含其他挖孔費用。
二.以上價格含本體、按裝(圖號D6採固定片施工)、塞水路(一般型，雙面矽利康)，嵌補(僅圖號D6，水泥及砂由業主提供)，但不含玻璃、清潔及吊車費。
三.南亞房間門五金採用雕花鉸鍊、水平鎖、門止，浴廁門五金採用不鏽鋼鉸鍊、水平鎖，但均不含門弓器。
五.本報價單有效期限為15天。
&lt;table&gt;&lt;tr&gt;&lt;td colspan="11"&gt;工程名稱:向上建設集合住宅等11戶新建工程(後龍鎮龍富段614地號) 電話:037-775355#366傳真:&lt;/td&gt;&lt;td&gt;&lt;/td&gt;&lt;/tr&gt;&lt;tr&gt;&lt;td rowspan="2"&gt;圖號&lt;/td&gt;&lt;td colspan="6"&gt;規格&lt;/td&gt;&lt;td rowspan="2"&gt;色別&lt;/td&gt;&lt;td rowspan="2"&gt;數量&lt;/td&gt;&lt;td rowspan="2"&gt;單樘小計&lt;/td&gt;&lt;td rowspan="2"&gt;複價&lt;/td&gt;&lt;td rowspan="2"&gt;備註&lt;/td&gt;&lt;/tr&gt;&lt;tr&gt;&lt;td&gt;型式&lt;/td&gt;&lt;td&gt;窗型&lt;/td&gt;&lt;td&gt;併列&lt;/td&gt;&lt;td&gt;W(cm)&lt;/td&gt;&lt;td&gt;H1(cm)&lt;/td&gt;&lt;td&gt;H(cm)&lt;/td&gt;&lt;/tr&gt;&lt;tr&gt;&lt;td&gt;D5&lt;/td&gt;&lt;td&gt;D7G00&lt;/td&gt;&lt;td&gt;南亞房間門&lt;/td&gt;&lt;td&gt;-&lt;/td&gt;&lt;td&gt;90&lt;/td&gt;&lt;td&gt;-&lt;/td&gt;&lt;td&gt;210&lt;/td&gt;&lt;td&gt;木紋色#3DF&lt;/td&gt;&lt;td&gt;28&lt;/td&gt;&lt;td&gt;11,100&lt;/td&gt;&lt;td&gt;310,800&lt;/td&gt;&lt;td&gt;87P&lt;/td&gt;&lt;/tr&gt;&lt;tr&gt;&lt;td&gt;D6&lt;/td&gt;&lt;td&gt;D5G00&lt;/td&gt;&lt;td&gt;南亞浴廁門&lt;/td&gt;&lt;td&gt;-&lt;/td&gt;&lt;td&gt;75&lt;/td&gt;&lt;td&gt;-&lt;/td&gt;&lt;td&gt;210&lt;/td&gt;&lt;td&gt;牙白色#0A1&lt;/td&gt;&lt;td&gt;22&lt;/td&gt;&lt;td&gt;8,900&lt;/td&gt;&lt;td&gt;195,800&lt;/td&gt;&lt;td&gt;88P附百葉通風口&lt;/td&gt;&lt;/tr&gt;&lt;tr&gt;&lt;td colspan="7"&gt;小計&lt;/td&gt;&lt;td&gt;&lt;/td&gt;&lt;td&gt;50&lt;/td&gt;&lt;td&gt;&lt;/td&gt;&lt;td&gt;506,600&lt;/td&gt;&lt;td&gt;&lt;/td&gt;&lt;/tr&gt;&lt;tr&gt;&lt;td colspan="12"&gt;報價說明 稅金 25,330一.圖號D5採用後炭式門框(主框12cm),圖號D6採用南亞SMC慶祥門外框X69F7(16cm)系列產品,顏色詳色 總計 531,930&lt;/td&gt;&lt;/tr&gt;&lt;/table&gt;
日期：113.06.20
報價單
塑鷹實業股份有限公司客戶名稱：向上建設股份有限公司
</x:v>
      </x:c>
    </x:row>
    <x:row r="17">
      <x:c r="A17" s="69" t="str">
        <x:v>SRC014</x:v>
      </x:c>
      <x:c r="B17" s="69" t="str">
        <x:v>原文1</x:v>
      </x:c>
      <x:c r="C17" s="69" t="str">
        <x:v>Markdown</x:v>
      </x:c>
      <x:c r="D17" s="69" t="str">
        <x:v>第1–114行</x:v>
      </x:c>
      <x:c r="E17" s="71" t="str">
        <x:v>塑豐實業股份有限公司
客戶名稱：向上建設股份有限公司報價單(第二次議價)
&lt;table&gt;&lt;tr&gt;&lt;td colspan="12"&gt;工程名稱:向上建設集合住宅等11戶新建工程 電話:037-775355-366傳真:&lt;/td&gt;&lt;/tr&gt;&lt;tr&gt;&lt;td rowspan="2"&gt;圖號&lt;/td&gt;&lt;td colspan="7"&gt;規格&lt;/td&gt;&lt;td rowspan="2"&gt;數量&lt;/td&gt;&lt;td rowspan="2"&gt;單價&lt;/td&gt;&lt;td rowspan="2"&gt;複價&lt;/td&gt;&lt;td rowspan="2"&gt;備註&lt;/td&gt;&lt;/tr&gt;&lt;tr&gt;&lt;td&gt;型式&lt;/td&gt;&lt;td&gt;窗型&lt;/td&gt;&lt;td&gt;併列&lt;/td&gt;&lt;td&gt;W(cm)&lt;/td&gt;&lt;td&gt;H1(cm)&lt;/td&gt;&lt;td&gt;H(cm)&lt;/td&gt;&lt;td&gt;色別&lt;/td&gt;&lt;/tr&gt;&lt;tr&gt;&lt;td&gt;D3&lt;/td&gt;&lt;td&gt;玻纖防火門&lt;/td&gt;&lt;td&gt;玻纖防火門(雅雕CT-03)&lt;/td&gt;&lt;td&gt;&lt;/td&gt;&lt;td&gt;110&lt;/td&gt;&lt;td&gt;&lt;/td&gt;&lt;td&gt;230&lt;/td&gt;&lt;td&gt;&lt;/td&gt;&lt;td&gt;11&lt;/td&gt;&lt;td&gt;66,186&lt;/td&gt;&lt;td&gt;728,050&lt;/td&gt;&lt;td&gt;3D重型鉸鍊CN-127、下降條DW-900、隱藏式門弓器POWRE 1505&lt;/td&gt;&lt;/tr&gt;&lt;tr&gt;&lt;td&gt;&lt;/td&gt;&lt;td&gt;以下空白&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 colspan="7"&gt;小計&lt;/td&gt;&lt;td&gt;&lt;/td&gt;&lt;td&gt;0&lt;/td&gt;&lt;td&gt;&lt;/td&gt;&lt;td&gt;728,050&lt;/td&gt;&lt;td&gt;&lt;/td&gt;&lt;/tr&gt;&lt;/table&gt;
報價說明
1.以上門框採用凸型氣密1.5t鍍鋅烤漆門框(框深23公分)。
2. 防火門五金詳備註，門框不含門鑑、門扇不含來說明之特殊五金。
3. 以上價格含本體及五金，按裝、崁補(水泥砂業主提供)、塞水路(一般型)不含清潔及吊車費。
4.以上報價合電子鎖開孔費用，不含電子鎖。
地址：苗栗縣頭份市自強路二段477號 電話：037-636192（代表）傳真：037-626860
E-mail : sfsy5@ms24.hinet.net※ 如確定製作，請蓋章後回傳，謝謝
日期：113.06.20
![](images/cb07cf06acf8d770fb484b85221500412a98996cd6af49c19d77797a6355d517.jpg)
税金 36,403總計 764,453
![](images/c7fd508ae441beb3eacaf6928581dbe83f702395ab53d0f1d207f86c7b351d1e.jpg)
公開 P.M. \$764,453
消防全圈板門：\$253,617
合同、洽洽明：\$531.930
Total: 1,550,000
客戶名稱：向上建設股份有限公司
工程名稱：向上建設集合住宅等11戶新建工程(後龍鎮龍富段614地號)
塑豐實業股份有限公司
報價單
日期：113.06.20
&lt;table&gt;&lt;tr&gt;&lt;td rowspan="2"&gt;圖號&lt;/td&gt;&lt;td colspan="6"&gt;規格&lt;/td&gt;&lt;td rowspan="2"&gt;色別&lt;/td&gt;&lt;td rowspan="2"&gt;數量&lt;/td&gt;&lt;td rowspan="2"&gt;單樘小計&lt;/td&gt;&lt;td rowspan="2"&gt;複價291512&lt;/td&gt;&lt;td rowspan="2"&gt;備註&lt;/td&gt;&lt;/tr&gt;&lt;tr&gt;&lt;td&gt;型式&lt;/td&gt;&lt;td&gt;窗型&lt;/td&gt;&lt;td&gt;併列&lt;/td&gt;&lt;td&gt;W(cm)&lt;/td&gt;&lt;td&gt;H1(cm)&lt;/td&gt;&lt;td&gt;H(cm)&lt;/td&gt;&lt;/tr&gt;&lt;tr&gt;&lt;td&gt;D5&lt;/td&gt;&lt;td&gt;D7G00&lt;/td&gt;&lt;td&gt;南亞房間門&lt;/td&gt;&lt;td&gt;-&lt;/td&gt;&lt;td&gt;90&lt;/td&gt;&lt;td&gt;-&lt;/td&gt;&lt;td&gt;210&lt;/td&gt;&lt;td&gt;木紋色#3DF&lt;/td&gt;&lt;td&gt;28&lt;/td&gt;&lt;td&gt;11,100&lt;/td&gt;&lt;td&gt;310,800&lt;/td&gt;&lt;td&gt;87P&lt;/td&gt;&lt;/tr&gt;&lt;tr&gt;&lt;td&gt;D6&lt;/td&gt;&lt;td&gt;D5G00&lt;/td&gt;&lt;td&gt;南亞浴廁門&lt;/td&gt;&lt;td&gt;-&lt;/td&gt;&lt;td&gt;75&lt;/td&gt;&lt;td&gt;-&lt;/td&gt;&lt;td&gt;210&lt;/td&gt;&lt;td&gt;牙白色#0A1&lt;/td&gt;&lt;td&gt;22&lt;/td&gt;&lt;td&gt;8,900&lt;/td&gt;&lt;td&gt;195,800&lt;/td&gt;&lt;td&gt;88P附百葉通風口&lt;/td&gt;&lt;/tr&gt;&lt;tr&gt;&lt;td colspan="7"&gt;小計&lt;/td&gt;&lt;td&gt;&lt;/td&gt;&lt;td&gt;50&lt;/td&gt;&lt;td&gt;&lt;/td&gt;&lt;td&gt;506,600&lt;/td&gt;&lt;td&gt;&lt;/td&gt;&lt;/tr&gt;&lt;tr&gt;&lt;td colspan="12"&gt;報價說明稅金 25,330一.圖號D5採用後崁式門框(主框12cm),圖號D6採用南亞SMC慶祥門外框X69F7(16cm)系列產品,顏色詳色 總計 531,930若採用其它魚系價格另議。&lt;/td&gt;&lt;/tr&gt;&lt;/table&gt;
二.以上價格含本體、接裝(圖號D6採固定片施工)、塞水路(一般型·雙面矽利康)、坡補(僅圖號D6·水泥及砂由業主提供)，但不含玻璃、清潔及吊車費。
三.南亞房間門五金採用雕花鉸鍊、水平鏃、門止，沿廁門五金採用不鏽鋼鉸鍊、水平鏃，但均不含門弓器。
四.南亞百葉通風口的標準尺寸為38cm\*23cm，不含其他挖孔費用。
地址：苗栗縣頭份鎮田寮里自強路二段477號 TEL：037-636192(代表) FAX：037-626860
※ 如確定製作，請蓋章後回傳，謝謝
![](images/cab7dcd4b28979475ba27d21d91a510741aabd63f2e9a08a5ddd9d2193956781.jpg)
![](images/2df8ea04f13253f86c08df168b9eec0d1231f8ddcd02b37ff9bbbcdf79b86c96.jpg)
$\frac{1}{2}x - 1 &gt; 0$ 客戶名稱：向上建設股份有限公司朔豐實業股份有限公司
報價單
(先生)
日期：113.10.16
&lt;table&gt;&lt;tr&gt;&lt;td colspan="11"&gt;工程名稱:向上建設集合住宅等11戶新建工程(後龍鎮龍富段614地號) 電話:037-775355#366 傳真:&lt;/td&gt;&lt;td&gt;&lt;/td&gt;&lt;/tr&gt;&lt;tr&gt;&lt;td rowspan="2"&gt;圖號&lt;/td&gt;&lt;td colspan="6"&gt;規格&lt;/td&gt;&lt;td rowspan="2"&gt;色別&lt;/td&gt;&lt;td rowspan="2"&gt;數量&lt;/td&gt;&lt;td rowspan="2"&gt;單樘小計&lt;/td&gt;&lt;td rowspan="2"&gt;複價&lt;/td&gt;&lt;td rowspan="2"&gt;備註&lt;/td&gt;&lt;/tr&gt;&lt;tr&gt;&lt;td&gt;型式&lt;/td&gt;&lt;td&gt;窗型&lt;/td&gt;&lt;td&gt;併列&lt;/td&gt;&lt;td&gt;W(cm)&lt;/td&gt;&lt;td&gt;H1(cm)&lt;/td&gt;&lt;td&gt;H(cm)&lt;/td&gt;&lt;/tr&gt;&lt;tr&gt;&lt;td&gt;D5&lt;/td&gt;&lt;td&gt;D7G00&lt;/td&gt;&lt;td&gt;南亞房間門&lt;/td&gt;&lt;td&gt;-&lt;/td&gt;&lt;td&gt;90&lt;/td&gt;&lt;td&gt;-&lt;/td&gt;&lt;td&gt;210&lt;/td&gt;&lt;td&gt;木紋色#3DF&lt;/td&gt;&lt;td&gt;28&lt;/td&gt;&lt;td&gt;10,054&lt;/td&gt;&lt;td&gt;281,512&lt;/td&gt;&lt;td&gt;87P&lt;/td&gt;&lt;/tr&gt;&lt;tr&gt;&lt;td colspan="7"&gt;小計&lt;/td&gt;&lt;td&gt;&lt;/td&gt;&lt;td&gt;28&lt;/td&gt;&lt;td&gt;&lt;/td&gt;&lt;td&gt;281,512&lt;/td&gt;&lt;td&gt;&lt;/td&gt;&lt;/tr&gt;&lt;tr&gt;&lt;td colspan="12"&gt;報價說明 稅金 14,076一.以上採用南亞SMC慶祥門外框X69F7(16cm)系列產品·顏色詳色別。 總計 295,588若採用其它色系價格足議。&lt;/td&gt;&lt;/tr&gt;&lt;/table&gt;
二.以上價格含本體、按裝(固定片施工)、墨水路(一般型·雙面矽利康)、玻補(水泥及砂由業主提供)，但不含玻璃、清潔及吊車費。
三.南亞房間門五金採用雕花鉸鏃、水平鑛、門止，不含門弓器及特殊五金。
五.本報價單有效期限為15天。
地址：苗栗縣頭份鎮田寮里自強路二段477號 TEL：037-636192(代表) FAX：037-026800(代表) 037-026800(代表) 聯絡人：李姿誼 0937-771336
![](images/fc8ff7b41ce0d29b9fa3b19261972f5e7ebc381c4d6e5dcb9ad1e7958a033697.jpg)
※ 如確定製作，請蓋章後回傳，謝謝！
![](images/549b49ea0df32ee7c3c0b2104c9e788193f3dbe873278c5f7acc6a2f372d46be.jpg)
![](images/76eee14e6544165cccb63f26948171239a81a21715a6e854b9a5c18bb75c9db6.jpg)
塑豐實業股份有限公司報價單（第二次議價單）
&lt;table&gt;&lt;tr&gt;&lt;td rowspan="2"&gt;圖號&lt;/td&gt;&lt;td colspan="5"&gt;規格&lt;/td&gt;&lt;td rowspan="2"&gt;數量&lt;/td&gt;&lt;td rowspan="2"&gt;單價&lt;/td&gt;&lt;td rowspan="2"&gt;複價&lt;/td&gt;&lt;td rowspan="2"&gt;備註&lt;/td&gt;&lt;/tr&gt;&lt;tr&gt;&lt;td&gt;型式&lt;/td&gt;&lt;td&gt;W(cm)&lt;/td&gt;&lt;td&gt;H1(cm)&lt;/td&gt;&lt;td&gt;H(cm)&lt;/td&gt;&lt;td&gt;色別&lt;/td&gt;&lt;/tr&gt;&lt;tr&gt;&lt;td&gt;D02&lt;/td&gt;&lt;td&gt;60A烤漆鋼板門(單扇)+遮煙&lt;/td&gt;&lt;td&gt;90&lt;/td&gt;&lt;td&gt;&lt;/td&gt;&lt;td&gt;210&lt;/td&gt;&lt;td&gt;粉體烤漆(基本色)&lt;/td&gt;&lt;td&gt;8&lt;/td&gt;&lt;td&gt;27,250&lt;/td&gt;&lt;td&gt;218,000&lt;/td&gt;&lt;td&gt;平推鎖、天地鉸鏈、門弓器、下降條&lt;/td&gt;&lt;/tr&gt;&lt;tr&gt;&lt;td&gt;D07&lt;/td&gt;&lt;td&gt;烤漆鋼板門(單扇)&lt;/td&gt;&lt;td&gt;120&lt;/td&gt;&lt;td&gt;&lt;/td&gt;&lt;td&gt;210&lt;/td&gt;&lt;td&gt;粉體烤漆(基本色)&lt;/td&gt;&lt;td&gt;1&lt;/td&gt;&lt;td&gt;23,541&lt;/td&gt;&lt;td&gt;23,541&lt;/td&gt;&lt;td&gt;分離式水平鎖、天地鉸鏈、門弓器&lt;/td&gt;&lt;/tr&gt;&lt;tr&gt;&lt;td&gt;&lt;/td&gt;&lt;td&gt;以下空白&lt;/td&gt;&lt;td&gt;&lt;/td&gt;&lt;td&gt;&lt;/td&gt;&lt;td&gt;&lt;/td&gt;&lt;td&gt;&lt;/td&gt;&lt;td&gt;&lt;/td&gt;&lt;td&gt;-&lt;/td&gt;&lt;td&gt;-&lt;/td&gt;&lt;td&gt;&lt;/td&gt;&lt;/tr&gt;&lt;tr&gt;&lt;td colspan="5"&gt;小計&lt;/td&gt;&lt;td&gt;&lt;/td&gt;&lt;td&gt;9&lt;/td&gt;&lt;td&gt;&lt;/td&gt;&lt;td&gt;241,540&lt;/td&gt;&lt;td&gt;&lt;/td&gt;&lt;/tr&gt;&lt;/table&gt;
報價說明
1. 鍍鋅鋼板門框板厚1.6mm、框深F2/100mm、門扇板厚1.0mm，表面採一般粉體烤漆(基本色)，價格不含門檻及未說明之特殊五金。
3.圖號D02防火門附防火標章及證明書。
2.以上價格含本體、按裝、嵌補、臺水路(一般型·雙面砂利康)，不含清潔及吊車費。
4. 備料期45\~60天。
5.報價單有效期限15天。
E-mail : sfsy5@ms24.hinet.net
地址：苗栗縣頭份市自強路二段477號 電話：(037)636-192(代表) 傳真：(037)626-860
※ 如確定製作，請蓋章後回傳，謝謝
![](images/a18d55be8bd014e007fe095463cafcad94160c57be066d5df08b6b387d291f1b.jpg)
日期：113.06.20
税金 12,077總計 253,617
![](images/5e53409df8229fcd79b04e86f304814c441c25c78d96b37bcd31ef712b9ffb51.jpg)
賠益人：李奕誼(業務)
手機：0937-771336
</x:v>
      </x:c>
    </x:row>
    <x:row r="18">
      <x:c r="A18" s="69" t="str">
        <x:v>SRC015</x:v>
      </x:c>
      <x:c r="B18" s="69" t="str">
        <x:v>原文1</x:v>
      </x:c>
      <x:c r="C18" s="69" t="str">
        <x:v>Markdown</x:v>
      </x:c>
      <x:c r="D18" s="69" t="str">
        <x:v>第1–53行</x:v>
      </x:c>
      <x:c r="E18" s="71" t="str">
        <x:v>地址：苗栗縣竹南鎮博愛街332-1號
## 報價單
服務電話：0953666508;037476888
日期：2025年7月3日
客戶名稱
公司：向上建設
統編：90057101
施工地點
聯絡人：蘇特助
苗栗高鐵
電話：0975210336
&lt;table&gt;&lt;tr&gt;&lt;td&gt;敘述&lt;/td&gt;&lt;td&gt;&lt;/td&gt;&lt;td&gt;數量&lt;/td&gt;&lt;td&gt;單價&lt;/td&gt;&lt;td&gt;小記&lt;/td&gt;&lt;/tr&gt;&lt;tr&gt;&lt;td&gt;1 草皮&lt;/td&gt;&lt;td&gt;坪&lt;/td&gt;&lt;td&gt;19&lt;/td&gt;&lt;td&gt;500&lt;/td&gt;&lt;td&gt;9500&lt;/td&gt;&lt;/tr&gt;&lt;tr&gt;&lt;td&gt;2 植草磚植草&lt;/td&gt;&lt;td&gt;M2&lt;/td&gt;&lt;td&gt;63&lt;/td&gt;&lt;td&gt;250&lt;/td&gt;&lt;td&gt;15750&lt;/td&gt;&lt;/tr&gt;&lt;tr&gt;&lt;td&gt;3 鋙草工資&lt;/td&gt;&lt;td&gt;式&lt;/td&gt;&lt;td&gt;1&lt;/td&gt;&lt;td&gt;5000&lt;/td&gt;&lt;td&gt;5000&lt;/td&gt;&lt;/tr&gt;&lt;tr&gt;&lt;td&gt;4 植草磚鋪設工資&lt;/td&gt;&lt;td&gt;M2&lt;/td&gt;&lt;td&gt;63&lt;/td&gt;&lt;td&gt;250&lt;/td&gt;&lt;td&gt;15750&lt;/td&gt;&lt;/tr&gt;&lt;tr&gt;&lt;td&gt;5 人行步道修復&lt;/td&gt;&lt;td&gt;式&lt;/td&gt;&lt;td&gt;1&lt;/td&gt;&lt;td&gt;6500&lt;/td&gt;&lt;td&gt;6500&lt;/td&gt;&lt;/tr&gt;&lt;tr&gt;&lt;td&gt;6 種樹&lt;/td&gt;&lt;td&gt;式&lt;/td&gt;&lt;td&gt;1&lt;/td&gt;&lt;td&gt;7000&lt;/td&gt;&lt;td&gt;7000&lt;/td&gt;&lt;/tr&gt;&lt;tr&gt;&lt;td&gt;7 平板磚鋪設&lt;/td&gt;&lt;td&gt;M2&lt;/td&gt;&lt;td&gt;9&lt;/td&gt;&lt;td&gt;250&lt;/td&gt;&lt;td&gt;2250&lt;/td&gt;&lt;/tr&gt;&lt;tr&gt;&lt;td&gt;8 四角水磨石&lt;/td&gt;&lt;td&gt;口径包外60CM&lt;/td&gt;&lt;td&gt;6&lt;/td&gt;&lt;td&gt;6190&lt;/td&gt;&lt;td&gt;37140&lt;/td&gt;&lt;/tr&gt;&lt;tr&gt;&lt;td&gt;9 追加小葉欖仁&lt;/td&gt;&lt;td&gt;株&lt;/td&gt;&lt;td&gt;1&lt;/td&gt;&lt;td&gt;2500&lt;/td&gt;&lt;td&gt;2500&lt;/td&gt;&lt;/tr&gt;&lt;tr&gt;&lt;td&gt;10 追加植草磚植草&lt;/td&gt;&lt;td&gt;M2&lt;/td&gt;&lt;td&gt;63&lt;/td&gt;&lt;td&gt;250&lt;/td&gt;&lt;td&gt;15750&lt;/td&gt;&lt;/tr&gt;&lt;tr&gt;&lt;td&gt;11 追加草皮&lt;/td&gt;&lt;td&gt;坪&lt;/td&gt;&lt;td&gt;19&lt;/td&gt;&lt;td&gt;500&lt;/td&gt;&lt;td&gt;9500&lt;/td&gt;&lt;/tr&gt;&lt;tr&gt;&lt;td&gt;12 追加鋪草種樹工資&lt;/td&gt;&lt;td&gt;式&lt;/td&gt;&lt;td&gt;1&lt;/td&gt;&lt;td&gt;6000&lt;/td&gt;&lt;td&gt;6000&lt;/td&gt;&lt;/tr&gt;&lt;tr&gt;&lt;td&gt;13&lt;/td&gt;&lt;td&gt;&lt;/td&gt;&lt;td&gt;&lt;/td&gt;&lt;td&gt;&lt;/td&gt;&lt;td&gt;0&lt;/td&gt;&lt;/tr&gt;&lt;/table&gt;
備註
1. 頂樓種樹含土方, 此項目服務不另計費
2.頂樓種樹需全吊配合
3.鋼索固定一米450含五金工資
4.童軍繩固定按株計算 一株連工帶料2500
5.白鐵支撐 畫草圖參考
若要接受此報價,請在此簽名後回傳：
合計
税金
總計
管理費8%
\$132640
![](images/139068bd3f9e1946a12a92497cdcf5017dc7026797e9c87550f2361fe6918ed9.jpg)
\$6632
\$139272
</x:v>
      </x:c>
    </x:row>
    <x:row r="19">
      <x:c r="A19" s="69" t="str">
        <x:v>SRC016</x:v>
      </x:c>
      <x:c r="B19" s="69" t="str">
        <x:v>原文1</x:v>
      </x:c>
      <x:c r="C19" s="69" t="str">
        <x:v>Markdown</x:v>
      </x:c>
      <x:c r="D19" s="69" t="str">
        <x:v>第1–37行</x:v>
      </x:c>
      <x:c r="E19" s="71" t="str">
        <x:v>## 報價單
業主:向上建設股份有限公司
地址:栗商建後建字第00338號
電話:(037)775-355
113年7月19日
項目：
&lt;table&gt;&lt;tr&gt;&lt;td&gt;項次&lt;/td&gt;&lt;td&gt;產品型號&lt;/td&gt;&lt;td&gt;&lt;/td&gt;&lt;td&gt;單位&lt;/td&gt;&lt;td&gt;數量&lt;/td&gt;&lt;td&gt;單價&lt;/td&gt;&lt;td&gt;複價&lt;/td&gt;&lt;td&gt;備註&lt;/td&gt;&lt;/tr&gt;&lt;tr&gt;&lt;td&gt;1&lt;/td&gt;&lt;td&gt;無框外開淋浴拉門&lt;/td&gt;&lt;td&gt;8mm強化玻璃H:190cm W:150cm內&lt;/td&gt;&lt;td&gt;樘&lt;/td&gt;&lt;td&gt;22&lt;/td&gt;&lt;td&gt;9000&lt;/td&gt;&lt;td&gt;198000&lt;/td&gt;&lt;td&gt;含門檻&lt;/td&gt;&lt;/tr&gt;&lt;tr&gt;&lt;td&gt;&lt;/td&gt;&lt;td&gt;&lt;/td&gt;&lt;td&gt;&lt;/td&gt;&lt;td&gt;&lt;/td&gt;&lt;td&gt;&lt;/td&gt;&lt;td&gt;&lt;/td&gt;&lt;td&gt;&lt;/td&gt;&lt;td&gt;&lt;/td&gt;&lt;/tr&gt;&lt;tr&gt;&lt;td&gt;&lt;/td&gt;&lt;td&gt;小計&lt;/td&gt;&lt;td&gt;&lt;/td&gt;&lt;td&gt;&lt;/td&gt;&lt;td&gt;&lt;/td&gt;&lt;td&gt;&lt;/td&gt;&lt;td&gt;198000&lt;/td&gt;&lt;td&gt;&lt;/td&gt;&lt;/tr&gt;&lt;tr&gt;&lt;td&gt;&lt;/td&gt;&lt;td&gt;營業稅&lt;/td&gt;&lt;td&gt;&lt;/td&gt;&lt;td&gt;&lt;/td&gt;&lt;td&gt;&lt;/td&gt;&lt;td&gt;&lt;/td&gt;&lt;td&gt;9900&lt;/td&gt;&lt;td&gt;&lt;/td&gt;&lt;/tr&gt;&lt;tr&gt;&lt;td&gt;&lt;/td&gt;&lt;td&gt;合計&lt;/td&gt;&lt;td&gt;&lt;/td&gt;&lt;td&gt;&lt;/td&gt;&lt;td&gt;&lt;/td&gt;&lt;td&gt;&lt;/td&gt;&lt;td&gt;207900&lt;/td&gt;&lt;td&gt;&lt;/td&gt;&lt;/tr&gt;&lt;/table&gt;
PS:1. 以上報價淋浴拉門含施工及安裝。
報價廠商:立瑄有限公司
地址:桃市龍潭區中興路416巷49弄9號
電話:(03)489-8973
傳真:(03)470-7302
統一編號:28531508
訂購廠商：專公股向
承辦人:洪震宇 0973-300199
地址：
電話：用可份上
傳真：刑合有建冠陆
承辦人：
</x:v>
      </x:c>
    </x:row>
    <x:row r="20">
      <x:c r="A20" s="69" t="str">
        <x:v>SRC017</x:v>
      </x:c>
      <x:c r="B20" s="69" t="str">
        <x:v>原文1</x:v>
      </x:c>
      <x:c r="C20" s="69" t="str">
        <x:v>Markdown</x:v>
      </x:c>
      <x:c r="D20" s="69" t="str">
        <x:v>第1–65行</x:v>
      </x:c>
      <x:c r="E20" s="71" t="str">
        <x:v>## 塑豐實業股份有限公司
鋁格柵一報價單
客戶名稱：向上建設0928652985許經理
工程名稱：向上建設集合住宅等11戶新建工程(方案A)
&lt;table&gt;&lt;tr&gt;&lt;td rowspan="2"&gt;項次&lt;/td&gt;&lt;td colspan="3"&gt;規格&lt;/td&gt;&lt;td rowspan="2"&gt;色別&lt;/td&gt;&lt;td rowspan="2"&gt;單樘數量小計(單位m)&lt;/td&gt;&lt;td rowspan="2"&gt;樘數&lt;/td&gt;&lt;td rowspan="2"&gt;單樘小計&lt;/td&gt;&lt;td rowspan="2"&gt;複價&lt;/td&gt;&lt;td rowspan="2"&gt;備註&lt;/td&gt;&lt;/tr&gt;&lt;tr&gt;&lt;td&gt;品名&lt;/td&gt;&lt;td&gt;W(cm)&lt;/td&gt;&lt;td&gt;H(cm)&lt;/td&gt;&lt;/tr&gt;&lt;tr&gt;&lt;td&gt;1&lt;/td&gt;&lt;td&gt;鋁格柵&lt;/td&gt;&lt;td&gt;375&lt;/td&gt;&lt;td&gt;2045&lt;/td&gt;&lt;td&gt;粉體塗裝(待決)&lt;/td&gt;&lt;td&gt;76.6875&lt;/td&gt;&lt;td&gt;1&lt;/td&gt;&lt;td&gt;351,803&lt;/td&gt;&lt;td&gt;351,803&lt;/td&gt;&lt;td&gt;&lt;/td&gt;&lt;/tr&gt;&lt;tr&gt;&lt;td&gt;2&lt;/td&gt;&lt;td&gt;鋁格柵&lt;/td&gt;&lt;td&gt;116&lt;/td&gt;&lt;td&gt;1700&lt;/td&gt;&lt;td&gt;粉體塗裝(待決)&lt;/td&gt;&lt;td&gt;19.72&lt;/td&gt;&lt;td&gt;1&lt;/td&gt;&lt;td&gt;102,266&lt;/td&gt;&lt;td&gt;102,266&lt;/td&gt;&lt;td&gt;&lt;/td&gt;&lt;/tr&gt;&lt;tr&gt;&lt;td&gt;3&lt;/td&gt;&lt;td&gt;鋁格柵&lt;/td&gt;&lt;td&gt;116&lt;/td&gt;&lt;td&gt;2045&lt;/td&gt;&lt;td&gt;粉體塗裝(待決)&lt;/td&gt;&lt;td&gt;23.722&lt;/td&gt;&lt;td&gt;1&lt;/td&gt;&lt;td&gt;119,609&lt;/td&gt;&lt;td&gt;119,609&lt;/td&gt;&lt;td&gt;&lt;/td&gt;&lt;/tr&gt;&lt;tr&gt;&lt;td&gt;&lt;/td&gt;&lt;td colspan="2"&gt;以下空白&lt;/td&gt;&lt;td&gt;&lt;/td&gt;&lt;td&gt;&lt;/td&gt;&lt;td&gt;&lt;/td&gt;&lt;td&gt;&lt;/td&gt;&lt;td&gt;-&lt;/td&gt;&lt;td&gt;-&lt;/td&gt;&lt;td&gt;&lt;/td&gt;&lt;/tr&gt;&lt;tr&gt;&lt;td colspan="4"&gt;小計&lt;/td&gt;&lt;td&gt;&lt;/td&gt;&lt;td&gt;43.442&lt;/td&gt;&lt;td&gt;3&lt;/td&gt;&lt;td&gt;&lt;/td&gt;&lt;td&gt;573,678&lt;/td&gt;&lt;td&gt;&lt;/td&gt;&lt;/tr&gt;&lt;/table&gt;
報價說明
1. 表面處理採三塗二烤(GD-319、GD-318或GD-320三擇一)。
2. 鋁格冊(採5\*12公分及3\*8交叉間距10公分)、背檔(採5\*5公分)價格含標準五金、接裝但不含玻璃、臺水路、玻補。
3. 依現況如需吊車由業主提供。
4. 型式, 尺寸依圖面估價, 如有出入應重新計價, 數量依現場實際製造要做算。
5 因國際鋁錠及原物料價格不斷持續上漲影響，報價會隨價格波動異動調整，若有造成不便，敬請多加包涵。
6. 報價單有效日: 15 天。
地址：苗栗縣頭份鎮田家里自強路二段477號 TEL：037-636192(代表) FAX：037-626860
電話：037-775355\*985傳真：
日期：113.07.26
※如確定製作，請蓋章後回傳，謝謝！
税金 28,684總計 602,362
聯絡人：業務李姿誼0937-771-336
(工務經理)顔志豪0937-771-332
![](images/9a6d93bb45f25a10d7ea8679c65e6d68e250d7e60d189833a7882d5036873454.jpg)
## 鋁格柵一報價單
客戶名稱：向上建設0928652985計經理
&lt;table&gt;&lt;tr&gt;&lt;td colspan="10"&gt;工程名稱:向上建設集合住宅等11戶新建工程(方案B) 電話:037-775355*985傳真:&lt;/td&gt;&lt;/tr&gt;&lt;tr&gt;&lt;td rowspan="2"&gt;項次&lt;/td&gt;&lt;td colspan="3"&gt;規格&lt;/td&gt;&lt;td rowspan="2"&gt;色別&lt;/td&gt;&lt;td rowspan="2"&gt;單檻數量小計(單位m2)&lt;/td&gt;&lt;td rowspan="2"&gt;檻數&lt;/td&gt;&lt;td rowspan="2"&gt;單檻小計&lt;/td&gt;&lt;td rowspan="2"&gt;複價&lt;/td&gt;&lt;td rowspan="2"&gt;備註&lt;/td&gt;&lt;/tr&gt;&lt;tr&gt;&lt;td&gt;品名&lt;/td&gt;&lt;td&gt;W(cm)&lt;/td&gt;&lt;td&gt;H(cm)&lt;/td&gt;&lt;/tr&gt;&lt;tr&gt;&lt;td&gt;1&lt;/td&gt;&lt;td&gt;鋁格柵&lt;/td&gt;&lt;td&gt;116&lt;/td&gt;&lt;td&gt;1700&lt;/td&gt;&lt;td&gt;粉體塗裝(待決)&lt;/td&gt;&lt;td&gt;19.72&lt;/td&gt;&lt;td&gt;1&lt;/td&gt;&lt;td&gt;102,266&lt;/td&gt;&lt;td&gt;102,266&lt;/td&gt;&lt;td&gt;&lt;/td&gt;&lt;/tr&gt;&lt;tr&gt;&lt;td&gt;2&lt;/td&gt;&lt;td&gt;鋁格柵&lt;/td&gt;&lt;td&gt;116&lt;/td&gt;&lt;td&gt;2045&lt;/td&gt;&lt;td&gt;粉體塗裝(待決)&lt;/td&gt;&lt;td&gt;23.722&lt;/td&gt;&lt;td&gt;3&lt;/td&gt;&lt;td&gt;119,609&lt;/td&gt;&lt;td&gt;358,827&lt;/td&gt;&lt;td&gt;&lt;/td&gt;&lt;/tr&gt;&lt;tr&gt;&lt;td&gt;&lt;/td&gt;&lt;td colspan="2"&gt;以下空白&lt;/td&gt;&lt;td&gt;&lt;/td&gt;&lt;td&gt;&lt;/td&gt;&lt;td&gt;&lt;/td&gt;&lt;td&gt;&lt;/td&gt;&lt;td&gt;-&lt;/td&gt;&lt;td&gt;-&lt;/td&gt;&lt;td&gt;&lt;/td&gt;&lt;/tr&gt;&lt;tr&gt;&lt;td colspan="4"&gt;小計&lt;/td&gt;&lt;td&gt;&lt;/td&gt;&lt;td&gt;43.442&lt;/td&gt;&lt;td&gt;4&lt;/td&gt;&lt;td&gt;&lt;/td&gt;&lt;td&gt;461,093&lt;/td&gt;&lt;td&gt;&lt;/td&gt;&lt;/tr&gt;&lt;/table&gt;
報價說明日期：113.07.26
1. 表面處理採三塗二烤(GD-319、GD-318或GD-320三擰一)
4.型式尺寸依圖面估價,如有出入應重新計價,數量依現場實際製造員做實算。
2. 鋁格補(採5\*12公分及3\*8交叉間距10公分)、背牆(採5\*5公分)價格含標準五金、按裝但不含玻璃、塞水路、嵌補。
5因國際鋁錠及原物料價格不斷持續上漲影響，報價會隨價格波動異動調整，若有造成不便，敬請多加包涵。
6. 報價單有效日:15天。
地址：苗栗縣頭份鎮田寮里自強路二段477號 TEL：037-636192(代表) FAX：037-626860
※如確定製作，請蓋章後回傳，謝謝！
税金 23,055
總計 484,148
![](images/861a78d805c21fad1b3b5efde356cff28dcdf6788b4cc8cf9a0d6f341cba5c15.jpg)
聯絡人：業務李姿誼0937-771-336 74.07-07
(工務經理)顧志豪0937-771-332
</x:v>
      </x:c>
    </x:row>
    <x:row r="21">
      <x:c r="A21" s="69" t="str">
        <x:v>SRC018</x:v>
      </x:c>
      <x:c r="B21" s="69" t="str">
        <x:v>原文1</x:v>
      </x:c>
      <x:c r="C21" s="69" t="str">
        <x:v>Markdown</x:v>
      </x:c>
      <x:c r="D21" s="69" t="str">
        <x:v>第1–26行</x:v>
      </x:c>
      <x:c r="E21" s="71" t="str">
        <x:v>## 國璽寶建材 昌盛磁磚
向上建設股份有限公司    寶號
工地名稱：11間
工地聯絡人：
工地地址：後龍
TEL:
FAX:
聯絡人:洪先生
113年07月30日
&lt;table&gt;&lt;tr&gt;&lt;td&gt;項次&lt;/td&gt;&lt;td&gt;廠牌/品名&lt;/td&gt;&lt;td&gt;規格/公分&lt;/td&gt;&lt;td&gt;單位&lt;/td&gt;&lt;td&gt;單價&lt;/td&gt;&lt;td&gt;備註&lt;/td&gt;&lt;/tr&gt;&lt;tr&gt;&lt;td&gt;1&lt;/td&gt;&lt;td&gt;GR-1004&lt;/td&gt;&lt;td&gt;10*10&lt;/td&gt;&lt;td&gt;片&lt;/td&gt;&lt;td&gt;$6.5&lt;/td&gt;&lt;td&gt;厚度1.0cm&lt;/td&gt;&lt;/tr&gt;&lt;tr&gt;&lt;td&gt;2&lt;/td&gt;&lt;td&gt;GR-1007&lt;/td&gt;&lt;td&gt;10*10&lt;/td&gt;&lt;td&gt;片&lt;/td&gt;&lt;td&gt;$6.5&lt;/td&gt;&lt;td&gt;厚度1.0cm&lt;/td&gt;&lt;/tr&gt;&lt;tr&gt;&lt;td&gt;3&lt;/td&gt;&lt;td&gt;&lt;/td&gt;&lt;td&gt;&lt;/td&gt;&lt;td&gt;&lt;/td&gt;&lt;td&gt;&lt;/td&gt;&lt;td&gt;&lt;/td&gt;&lt;/tr&gt;&lt;tr&gt;&lt;td&gt;4&lt;/td&gt;&lt;td&gt;&lt;/td&gt;&lt;td&gt;&lt;/td&gt;&lt;td&gt;&lt;/td&gt;&lt;td&gt;&lt;/td&gt;&lt;td&gt;&lt;/td&gt;&lt;/tr&gt;&lt;tr&gt;&lt;td&gt;5&lt;/td&gt;&lt;td&gt;&lt;/td&gt;&lt;td&gt;&lt;/td&gt;&lt;td&gt;&lt;/td&gt;&lt;td&gt;&lt;/td&gt;&lt;td&gt;&lt;/td&gt;&lt;/tr&gt;&lt;tr&gt;&lt;td&gt;6&lt;/td&gt;&lt;td&gt;&lt;/td&gt;&lt;td&gt;&lt;/td&gt;&lt;td&gt;&lt;/td&gt;&lt;td&gt;&lt;/td&gt;&lt;td&gt;&lt;/td&gt;&lt;/tr&gt;&lt;tr&gt;&lt;td&gt;7&lt;/td&gt;&lt;td&gt;&lt;/td&gt;&lt;td&gt;&lt;/td&gt;&lt;td&gt;&lt;/td&gt;&lt;td&gt;&lt;/td&gt;&lt;td&gt;&lt;/td&gt;&lt;/tr&gt;&lt;tr&gt;&lt;td&gt;8&lt;/td&gt;&lt;td&gt;&lt;/td&gt;&lt;td&gt;&lt;/td&gt;&lt;td&gt;&lt;/td&gt;&lt;td&gt;&lt;/td&gt;&lt;td&gt;&lt;/td&gt;&lt;/tr&gt;&lt;tr&gt;&lt;td&gt;9&lt;/td&gt;&lt;td&gt;&lt;/td&gt;&lt;td&gt;&lt;/td&gt;&lt;td&gt;&lt;/td&gt;&lt;td&gt;&lt;/td&gt;&lt;td&gt;&lt;/td&gt;&lt;/tr&gt;&lt;tr&gt;&lt;td&gt;10&lt;/td&gt;&lt;td&gt;&lt;/td&gt;&lt;td&gt;&lt;/td&gt;&lt;td&gt;&lt;/td&gt;&lt;td&gt;&lt;/td&gt;&lt;td&gt;&lt;/td&gt;&lt;/tr&gt;&lt;tr&gt;&lt;td&gt;備註&lt;/td&gt;&lt;td colspan="5"&gt;(1)以上報價均不含5%營業稅
(2)電匯
(3)本報價單有效期間自即日起至113年08月30日
(4)庫存品.二丁掛.異形磚.拆箱.車道磚不退貨
(5)以上報價若無誤 本報價單視同合約草書煩請用印回傳 謝謝!
    報價單&lt;img src="images/39dd6abb41f22af6d166f6a094a1fff7cd50f8046a98d3e7dd65ac57703ed158.jpg"/&gt;      客戶確認用印&lt;/td&gt;&lt;/tr&gt;&lt;tr&gt;&lt;td colspan="6"&gt;TEL: 037-473966 FAX: 037-462250 統編: 58004068
業務: 王澄婷 電話: 0932-183507
地址:苗栗縣竹南鎮維新路410號&lt;/td&gt;&lt;/tr&gt;&lt;/table&gt;
</x:v>
      </x:c>
    </x:row>
    <x:row r="22">
      <x:c r="A22" s="69" t="str">
        <x:v>SRC019</x:v>
      </x:c>
      <x:c r="B22" s="69" t="str">
        <x:v>原文1</x:v>
      </x:c>
      <x:c r="C22" s="69" t="str">
        <x:v>Markdown</x:v>
      </x:c>
      <x:c r="D22" s="69" t="str">
        <x:v>第1–16行</x:v>
      </x:c>
      <x:c r="E22" s="71" t="str">
        <x:v>## 錦祥工程行
新竹市孝賢路57號
TEL:5369293
手機：0937993630
FAX : 5369096
估價單
113年7月30日
&lt;table&gt;&lt;tr&gt;&lt;td colspan="5"&gt;客戶名稱: 陳先生
電話: 0972--164929&lt;/td&gt;&lt;td rowspan="3" colspan="3"&gt;付款方式:&lt;/td&gt;&lt;/tr&gt;&lt;tr&gt;&lt;td colspan="5"&gt;工程地址: 苗栗一後龍&lt;/td&gt;&lt;/tr&gt;&lt;tr&gt;&lt;td colspan="2"&gt;傳真:&lt;/td&gt;&lt;td colspan="3"&gt;統一編號:&lt;/td&gt;&lt;/tr&gt;&lt;tr&gt;&lt;td&gt;項次&lt;/td&gt;&lt;td colspan="2"&gt;品名&lt;/td&gt;&lt;td&gt;數量&lt;/td&gt;&lt;td&gt;單位&lt;/td&gt;&lt;td&gt;單價&lt;/td&gt;&lt;td&gt;總價&lt;/td&gt;&lt;td&gt;備註&lt;/td&gt;&lt;/tr&gt;&lt;tr&gt;&lt;td&gt;&lt;/td&gt;&lt;td colspan="2"&gt;6mm暗架矽酸鈣天花板一個維修孔一個抽風機孔&lt;/td&gt;&lt;td&gt;22&lt;/td&gt;&lt;td&gt;間&lt;/td&gt;&lt;td&gt;5000&lt;/td&gt;&lt;td&gt;110000&lt;/td&gt;&lt;td&gt;不含油漆窗簾盒&lt;/td&gt;&lt;/tr&gt;&lt;tr&gt;&lt;td&gt;&lt;/td&gt;&lt;td colspan="2"&gt;&lt;/td&gt;&lt;td&gt;&lt;/td&gt;&lt;td&gt;&lt;/td&gt;&lt;td&gt;&lt;/td&gt;&lt;td&gt;&lt;/td&gt;&lt;td&gt;&lt;/td&gt;&lt;/tr&gt;&lt;tr&gt;&lt;td&gt;&lt;/td&gt;&lt;td colspan="2"&gt;材料搬運&lt;/td&gt;&lt;td&gt;2&lt;/td&gt;&lt;td&gt;工&lt;/td&gt;&lt;td&gt;2700&lt;/td&gt;&lt;td&gt;5400&lt;/td&gt;&lt;td&gt;&lt;/td&gt;&lt;/tr&gt;&lt;tr&gt;&lt;td&gt;&lt;/td&gt;&lt;td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 colspan="3"&gt;&lt;/td&gt;&lt;/tr&gt;&lt;tr&gt;&lt;td&gt;&lt;/td&gt;&lt;td colspan="2"&gt;&lt;/td&gt;&lt;td&gt;&lt;/td&gt;&lt;td&gt;&lt;/td&gt;&lt;td&gt;&lt;/td&gt;&lt;td&gt;&lt;/td&gt;&lt;td&gt;&lt;/td&gt;&lt;/tr&gt;&lt;tr&gt;&lt;td colspan="5"&gt;銷售金額合計&lt;/td&gt;&lt;td colspan="3"&gt;115400&lt;/td&gt;&lt;/tr&gt;&lt;tr&gt;&lt;td colspan="2"&gt;營業稅&lt;/td&gt;&lt;td colspan="3"&gt;含稅 未稅&lt;/td&gt;&lt;td colspan="3"&gt;5770&lt;/td&gt;&lt;/tr&gt;&lt;tr&gt;&lt;td colspan="5"&gt;合計總金額&lt;/td&gt;&lt;td colspan="3"&gt;121170&lt;/td&gt;&lt;/tr&gt;&lt;tr&gt;&lt;td colspan="8"&gt;合計新台幣: 壹拾貳萬壹仟壹佰柒拾 元整&lt;/td&gt;&lt;/tr&gt;&lt;tr&gt;&lt;td colspan="8"&gt;根據動產法第三章附條件買賣、買方購貨若無法償付貨款或支票到期無法兌現、則賣方則隨時取回原物或等值他物以抵償貨款、買方不得異議。天花板施工不扣燈具面積、不含木料收邊、水電空調補強自行處理。本單經雙方簽字或簽章是同買賣。合約雙方各執壹份。&lt;/td&gt;&lt;/tr&gt;&lt;/table&gt;
</x:v>
      </x:c>
    </x:row>
    <x:row r="23">
      <x:c r="A23" s="69" t="str">
        <x:v>SRC020</x:v>
      </x:c>
      <x:c r="B23" s="69" t="str">
        <x:v>原文1</x:v>
      </x:c>
      <x:c r="C23" s="69" t="str">
        <x:v>Markdown</x:v>
      </x:c>
      <x:c r="D23" s="69" t="str">
        <x:v>第1–249行</x:v>
      </x:c>
      <x:c r="E23" s="71" t="str">
        <x:v># 工程合約書
向上建設股份有限公司 以下簡稱甲方
立合約書人：
宏交電話器材有限公司 以下簡稱乙方
工程名稱：弱電工程。
合約編號：HC-1130805-088
雙方同意遵守本採購合約條款如下：
## 壹、基本條款
一、本項採購之品名、數量、價格、規格、總價，詳如報價單。
二、本項採購總金額為 新台幣：參拾貳萬元整(320,000 元含稅金)承攬。本合約價格不得因物價或匯率變動要求任何補貼。
## 三、交貨辦法：
A. 交貨日期：配合工程進度。
B. 交貨地點：苗栗縣後龍鎮公寓11戶。
四、本合約報價含系統安裝測試，乙方負責系統安裝及測試，合約全部器材、甲方付清兌現貨款後、器材方屬甲方所有。若產品於七日內有瑕疵時，乙方須同意立即以新品更換，以維持系統之正常運作。
五、付款方式：訂金20%(30日內票期)，安裝完成75%(票期30日內票期)，業主驗收5%(30日內票期)。
六、保固維修：本合約產品自甲方驗收合格之日起壹年內，按照系統操作使用，如由於機件、物料或施工不善發生故障，概由乙方負責免費修護。但因天災地變、人力不可抗拒及使用不當之零件損壞不在此限。
七、雙方簽約時得就報價單上之品名、規格、數量、單價、總價加蓋公司及負責人簽章視為合約之一部。
## 貳、其他合約事項
一、乙方於安裝完工後須提供單據，由甲方清點簽認驗收，甲方如有異議得於安裝完工後三日內覆函告知，未覆函表示無異議，由乙方開發票向甲方請款(每期款月底開發票次月15日撥款)。
二、乙方負責免費訓練甲方之操作人員使用本合約產品，售後一年內甲方得隨時請求乙方提供技術服務。
## 三、下列事項不屬乙方免費維修服務：
a. 甲方自行改換裝位置或改裝、加裝而造成之損壞，人為不當使用造成之損壞者。
b. 安裝時業主未接受安裝技術員的建議，裝置於非正常(如過濕熱)之環境致發生故障或損壞者。
C. 非由乙方提供之附屬產品。
d. 非產品本身之故障。
四、本合約採附條件買賣型式，甲方尾款未付清前，所有產品權仍屬乙方，甲方不得將產品轉讓，出典、出租予第三人。若可歸責甲方之事由而解除契約者，如有收訂金，乙方得沒收訂金作為違約金。交貨後甲方如未依付款條件付款，乙方得取回該產品甲方不得異議。
五、本合約產品乙方施工時，乙方應注意避免損壞甲方之設備。
六、施工期間倘因甲方室內裝修、空調設備遲延及人力不可抗拒之因素致無法如期達成，乙方不負完工日期遲延之責任但應協助甲方共同解決問題。
七、如產品內儲有軟體資料，甲方應於乙方提供維護時，先行儲存資料或為保護免於損害之一切措施，否則如有損害乙方概不負賠償之責。
八、雙方應以誠信原則履行合約，未約定事項依民法或商事法，如就事實之認定有所爭執，得由公正之第三人加以鑑定，雙方間如因本合約有關事項涉訟時，雙方同意以台灣苗栗地方法院為第一審管轄法院。
九、本合約壹式貳份，由雙方各執壹份，甲乙雙方代表茲聲明對本合約全文於簽字、蓋章前已詳細審閱，並授權代表各方簽定本約，印花自行負責。
(甲方)
公司名稱：向上建設股份有限公
司
負責人：
統一編號：
地址：
電話：
傳真：
(乙方)
公司名稱：宏交電話器材有限公司
負責人：陳胡秋霞
統一編號：49816430
地址：苗栗縣苗栗市中正路
1098 號
電話：037-351-258
傳真：037-332-281
中華民國 113 年 08 月 05 日
## 宏交電話器材有限公司
苗栗縣苗栗市中正路1098號
TEL:037-351258 FAX:037-332281
報價單
印表日期：113/08/02
頁次：1/3
報價日期：113/08/02
單據編號：113080203
有效日期：
客戶名稱：向上建設
客戶編號：VGRG
聯絡電話：03-777-5355 #366
傳真號碼：
聯絡人員：蘇怡樺-總經理特助
送貨地址：苗栗縣竹南鎮康德街71號
業務人員：陳義文
專案：
製單人員：陳義文
收款條件：
統一編號：90057101
備註：
&lt;table&gt;&lt;tr&gt;&lt;td&gt;序&lt;/td&gt;&lt;td&gt;產品編號&lt;/td&gt;&lt;td&gt;品名/規格&lt;/td&gt;&lt;td&gt;數量&lt;/td&gt;&lt;td&gt;單位&lt;/td&gt;&lt;td&gt;單價&lt;/td&gt;&lt;td&gt;金額&lt;/td&gt;&lt;td&gt;備註&lt;/td&gt;&lt;/tr&gt;&lt;tr&gt;&lt;td&gt;001&lt;/td&gt;&lt;td&gt;*&lt;/td&gt;&lt;td&gt;監視系統:&lt;/td&gt;&lt;td&gt;0.00&lt;/td&gt;&lt;td&gt;&lt;/td&gt;&lt;td&gt;0.00&lt;/td&gt;&lt;td&gt;0&lt;/td&gt;&lt;td&gt;&lt;/td&gt;&lt;/tr&gt;&lt;tr&gt;&lt;td&gt;002&lt;/td&gt;&lt;td&gt;174-0105&lt;/td&gt;&lt;td&gt;AHD8路錄放影機&lt;/td&gt;&lt;td&gt;1.00&lt;/td&gt;&lt;td&gt;台&lt;/td&gt;&lt;td&gt;6800.00&lt;/td&gt;&lt;td&gt;6800&lt;/td&gt;&lt;td&gt;&lt;/td&gt;&lt;/tr&gt;&lt;tr&gt;&lt;td&gt;003&lt;/td&gt;&lt;td&gt;174-0155&lt;/td&gt;&lt;td&gt;2TB 監控硬碟&lt;/td&gt;&lt;td&gt;1.00&lt;/td&gt;&lt;td&gt;台&lt;/td&gt;&lt;td&gt;2500.00&lt;/td&gt;&lt;td&gt;2500&lt;/td&gt;&lt;td&gt;&lt;/td&gt;&lt;/tr&gt;&lt;tr&gt;&lt;td&gt;004&lt;/td&gt;&lt;td&gt;165-0255-4&lt;/td&gt;&lt;td&gt;22吋LED液晶螢幕&lt;/td&gt;&lt;td&gt;1.00&lt;/td&gt;&lt;td&gt;台&lt;/td&gt;&lt;td&gt;3000.00&lt;/td&gt;&lt;td&gt;3000&lt;/td&gt;&lt;td&gt;&lt;/td&gt;&lt;/tr&gt;&lt;tr&gt;&lt;td&gt;005&lt;/td&gt;&lt;td&gt;083-0085-4&lt;/td&gt;&lt;td&gt;LCD 掛壁架&lt;/td&gt;&lt;td&gt;1.00&lt;/td&gt;&lt;td&gt;個&lt;/td&gt;&lt;td&gt;800.00&lt;/td&gt;&lt;td&gt;800&lt;/td&gt;&lt;td&gt;&lt;/td&gt;&lt;/tr&gt;&lt;tr&gt;&lt;td&gt;006&lt;/td&gt;&lt;td&gt;174-0481&lt;/td&gt;&lt;td&gt;5MP攝影機&lt;/td&gt;&lt;td&gt;4.00&lt;/td&gt;&lt;td&gt;台&lt;/td&gt;&lt;td&gt;1900.00&lt;/td&gt;&lt;td&gt;7600&lt;/td&gt;&lt;td&gt;&lt;/td&gt;&lt;/tr&gt;&lt;tr&gt;&lt;td&gt;007&lt;/td&gt;&lt;td&gt;174-0853&lt;/td&gt;&lt;td&gt;5MP紅外線攝影機{半球}&lt;/td&gt;&lt;td&gt;1.00&lt;/td&gt;&lt;td&gt;台&lt;/td&gt;&lt;td&gt;1900.00&lt;/td&gt;&lt;td&gt;1900&lt;/td&gt;&lt;td&gt;&lt;/td&gt;&lt;/tr&gt;&lt;tr&gt;&lt;td&gt;008&lt;/td&gt;&lt;td&gt;633-0001&lt;/td&gt;&lt;td&gt;防水盒&lt;/td&gt;&lt;td&gt;4.00&lt;/td&gt;&lt;td&gt;個&lt;/td&gt;&lt;td&gt;120.00&lt;/td&gt;&lt;td&gt;480&lt;/td&gt;&lt;td&gt;&lt;/td&gt;&lt;/tr&gt;&lt;tr&gt;&lt;td&gt;009&lt;/td&gt;&lt;td&gt;148-0153&lt;/td&gt;&lt;td&gt;BNC頭 影像傳輸器&lt;/td&gt;&lt;td&gt;10.00&lt;/td&gt;&lt;td&gt;條&lt;/td&gt;&lt;td&gt;100.00&lt;/td&gt;&lt;td&gt;1000&lt;/td&gt;&lt;td&gt;&lt;/td&gt;&lt;/tr&gt;&lt;tr&gt;&lt;td&gt;010&lt;/td&gt;&lt;td&gt;016-0515&lt;/td&gt;&lt;td&gt;母插&lt;/td&gt;&lt;td&gt;5.00&lt;/td&gt;&lt;td&gt;個&lt;/td&gt;&lt;td&gt;20.00&lt;/td&gt;&lt;td&gt;100&lt;/td&gt;&lt;td&gt;&lt;/td&gt;&lt;/tr&gt;&lt;tr&gt;&lt;td&gt;011&lt;/td&gt;&lt;td&gt;163-0056&lt;/td&gt;&lt;td&gt;CAT.5e UTP / 4P+0.75mm*2C 複合線&lt;/td&gt;&lt;td&gt;85.00&lt;/td&gt;&lt;td&gt;米&lt;/td&gt;&lt;td&gt;38.00&lt;/td&gt;&lt;td&gt;3230&lt;/td&gt;&lt;td&gt;&lt;/td&gt;&lt;/tr&gt;&lt;tr&gt;&lt;td&gt;012&lt;/td&gt;&lt;td&gt;010-0136&lt;/td&gt;&lt;td&gt;多芯網路線 電梯線{軟線}&lt;/td&gt;&lt;td&gt;55.00&lt;/td&gt;&lt;td&gt;米&lt;/td&gt;&lt;td&gt;20.00&lt;/td&gt;&lt;td&gt;1100&lt;/td&gt;&lt;td&gt;&lt;/td&gt;&lt;/tr&gt;&lt;tr&gt;&lt;td&gt;013&lt;/td&gt;&lt;td&gt;450-0354&lt;/td&gt;&lt;td&gt;動力開關箱{取代機櫃}&lt;/td&gt;&lt;td&gt;1.00&lt;/td&gt;&lt;td&gt;只&lt;/td&gt;&lt;td&gt;2000.00&lt;/td&gt;&lt;td&gt;2000&lt;/td&gt;&lt;td&gt;&lt;/td&gt;&lt;/tr&gt;&lt;tr&gt;&lt;td&gt;014&lt;/td&gt;&lt;td&gt;320-0030-1&lt;/td&gt;&lt;td&gt;五金另料&lt;/td&gt;&lt;td&gt;1.00&lt;/td&gt;&lt;td&gt;式&lt;/td&gt;&lt;td&gt;1200.00&lt;/td&gt;&lt;td&gt;1200&lt;/td&gt;&lt;td&gt;&lt;/td&gt;&lt;/tr&gt;&lt;tr&gt;&lt;td&gt;015&lt;/td&gt;&lt;td&gt;320-0001&lt;/td&gt;&lt;td&gt;拉線及設備安裝工資&lt;/td&gt;&lt;td&gt;1.00&lt;/td&gt;&lt;td&gt;式&lt;/td&gt;&lt;td&gt;8500.00&lt;/td&gt;&lt;td&gt;8500&lt;/td&gt;&lt;td&gt;&lt;/td&gt;&lt;/tr&gt;&lt;tr&gt;&lt;td&gt;016&lt;/td&gt;&lt;td&gt;*&lt;/td&gt;&lt;td&gt;門禁系統:&lt;/td&gt;&lt;td&gt;0.00&lt;/td&gt;&lt;td&gt;&lt;/td&gt;&lt;td&gt;0.00&lt;/td&gt;&lt;td&gt;0&lt;/td&gt;&lt;td&gt;&lt;/td&gt;&lt;/tr&gt;&lt;tr&gt;&lt;td&gt;017&lt;/td&gt;&lt;td&gt;168-0054&lt;/td&gt;&lt;td&gt;LED背光式感應讀卡機&lt;/td&gt;&lt;td&gt;3.00&lt;/td&gt;&lt;td&gt;台&lt;/td&gt;&lt;td&gt;2500.00&lt;/td&gt;&lt;td&gt;7500&lt;/td&gt;&lt;td&gt;&lt;/td&gt;&lt;/tr&gt;&lt;tr&gt;&lt;td&gt;018&lt;/td&gt;&lt;td&gt;174-0011&lt;/td&gt;&lt;td&gt;感應讀卡機變壓器&lt;/td&gt;&lt;td&gt;3.00&lt;/td&gt;&lt;td&gt;個&lt;/td&gt;&lt;td&gt;250.00&lt;/td&gt;&lt;td&gt;750&lt;/td&gt;&lt;td&gt;&lt;/td&gt;&lt;/tr&gt;&lt;tr&gt;&lt;td&gt;019&lt;/td&gt;&lt;td&gt;168-0060&lt;/td&gt;&lt;td&gt;樓樓層控制器&lt;/td&gt;&lt;td&gt;1.00&lt;/td&gt;&lt;td&gt;組&lt;/td&gt;&lt;td&gt;6000.00&lt;/td&gt;&lt;td&gt;6000&lt;/td&gt;&lt;td&gt;&lt;/td&gt;&lt;/tr&gt;&lt;tr&gt;&lt;td&gt;020&lt;/td&gt;&lt;td&gt;168-0159&lt;/td&gt;&lt;td&gt;陽極鎖&lt;/td&gt;&lt;td&gt;2.00&lt;/td&gt;&lt;td&gt;支&lt;/td&gt;&lt;td&gt;2100.00&lt;/td&gt;&lt;td&gt;4200&lt;/td&gt;&lt;td&gt;&lt;/td&gt;&lt;/tr&gt;&lt;tr&gt;&lt;td&gt;021&lt;/td&gt;&lt;td&gt;168-0152-2&lt;/td&gt;&lt;td&gt;陽極鎖輔助支架&lt;/td&gt;&lt;td&gt;2.00&lt;/td&gt;&lt;td&gt;支&lt;/td&gt;&lt;td&gt;900.00&lt;/td&gt;&lt;td&gt;1800&lt;/td&gt;&lt;td&gt;&lt;/td&gt;&lt;/tr&gt;&lt;tr&gt;&lt;td&gt;022&lt;/td&gt;&lt;td&gt;174-0011-1&lt;/td&gt;&lt;td&gt;陽極鎖變壓器&lt;/td&gt;&lt;td&gt;2.00&lt;/td&gt;&lt;td&gt;個&lt;/td&gt;&lt;td&gt;250.00&lt;/td&gt;&lt;td&gt;500&lt;/td&gt;&lt;td&gt;&lt;/td&gt;&lt;/tr&gt;&lt;tr&gt;&lt;td&gt;023&lt;/td&gt;&lt;td&gt;051-0008&lt;/td&gt;&lt;td&gt;開門按鈕&lt;/td&gt;&lt;td&gt;2.00&lt;/td&gt;&lt;td&gt;只&lt;/td&gt;&lt;td&gt;700.00&lt;/td&gt;&lt;td&gt;1400&lt;/td&gt;&lt;td&gt;&lt;/td&gt;&lt;/tr&gt;&lt;/table&gt;
![](images/269f1536e6c7812687b8c3ab07f9fc88c172f9748f8a39a9ddac4400e22780f3.jpg)
## 宏交電話器材有限公司
苗栗縣苗栗市中正路1098號
TEL:037-351258 FAX:037-332281
報價單
印表日期：113/08/02
頁次：2/3
報價日期：113/08/02
單據編號：113080203
有效日期：
客戶名稱：向上建設
客戶編號：VGRG
聯絡電話：03-777-5355 #366
傳真號碼：
聯絡人員：蘇怡樺-總經理特助
送貨地址：苗栗縣竹南鎮康德街71號
業務人員：陳義文
專案：
收款條件：
製單人員：陳義文
備註：
統一編號：90057101
&lt;table&gt;&lt;tr&gt;&lt;td&gt;序&lt;/td&gt;&lt;td&gt;產品編號&lt;/td&gt;&lt;td&gt;品名/規格&lt;/td&gt;&lt;td&gt;數量&lt;/td&gt;&lt;td&gt;單位&lt;/td&gt;&lt;td&gt;單價&lt;/td&gt;&lt;td&gt;金額&lt;/td&gt;&lt;td&gt;備註&lt;/td&gt;&lt;/tr&gt;&lt;tr&gt;&lt;td&gt;024&lt;/td&gt;&lt;td&gt;168-0100-1&lt;/td&gt;&lt;td&gt;感應扣(11戶*=33、管理室*7)&lt;/td&gt;&lt;td&gt;40.00&lt;/td&gt;&lt;td&gt;個&lt;/td&gt;&lt;td&gt;100.00&lt;/td&gt;&lt;td&gt;4000&lt;/td&gt;&lt;td&gt;&lt;/td&gt;&lt;/tr&gt;&lt;tr&gt;&lt;td&gt;025&lt;/td&gt;&lt;td&gt;UJ-03&lt;/td&gt;&lt;td&gt;線材&lt;/td&gt;&lt;td&gt;1.00&lt;/td&gt;&lt;td&gt;件&lt;/td&gt;&lt;td&gt;2800.00&lt;/td&gt;&lt;td&gt;2800&lt;/td&gt;&lt;td&gt;&lt;/td&gt;&lt;/tr&gt;&lt;tr&gt;&lt;td&gt;026&lt;/td&gt;&lt;td&gt;320-0001&lt;/td&gt;&lt;td&gt;拉線及設備安裝工資&lt;/td&gt;&lt;td&gt;2.00&lt;/td&gt;&lt;td&gt;式&lt;/td&gt;&lt;td&gt;4500.00&lt;/td&gt;&lt;td&gt;9000&lt;/td&gt;&lt;td&gt;&lt;/td&gt;&lt;/tr&gt;&lt;tr&gt;&lt;td&gt;027&lt;/td&gt;&lt;td&gt;320-0002&lt;/td&gt;&lt;td&gt;樓層控制拉線及設備安裝工資&lt;/td&gt;&lt;td&gt;1.00&lt;/td&gt;&lt;td&gt;式&lt;/td&gt;&lt;td&gt;1200.00&lt;/td&gt;&lt;td&gt;1200&lt;/td&gt;&lt;td&gt;&lt;/td&gt;&lt;/tr&gt;&lt;tr&gt;&lt;td&gt;028&lt;/td&gt;&lt;td&gt;*&lt;/td&gt;&lt;td&gt;對講機系統:&lt;/td&gt;&lt;td&gt;0.00&lt;/td&gt;&lt;td&gt;&lt;/td&gt;&lt;td&gt;0.00&lt;/td&gt;&lt;td&gt;0&lt;/td&gt;&lt;td&gt;&lt;/td&gt;&lt;/tr&gt;&lt;tr&gt;&lt;td&gt;029&lt;/td&gt;&lt;td&gt;207-0210&lt;/td&gt;&lt;td&gt;感應彩色影視大門口機 4.3&lt;/td&gt;&lt;td&gt;1.00&lt;/td&gt;&lt;td&gt;台&lt;/td&gt;&lt;td&gt;19500.00&lt;/td&gt;&lt;td&gt;19500&lt;/td&gt;&lt;td&gt;&lt;/td&gt;&lt;/tr&gt;&lt;tr&gt;&lt;td&gt;030&lt;/td&gt;&lt;td&gt;207-0126&lt;/td&gt;&lt;td&gt;7吋觸控對講室內機&lt;/td&gt;&lt;td&gt;11.00&lt;/td&gt;&lt;td&gt;台&lt;/td&gt;&lt;td&gt;6800.00&lt;/td&gt;&lt;td&gt;74800&lt;/td&gt;&lt;td&gt;&lt;/td&gt;&lt;/tr&gt;&lt;tr&gt;&lt;td&gt;031&lt;/td&gt;&lt;td&gt;UJ-03&lt;/td&gt;&lt;td&gt;住戶門鈴{無對講.無影像.純響鈴}&lt;/td&gt;&lt;td&gt;11.00&lt;/td&gt;&lt;td&gt;件&lt;/td&gt;&lt;td&gt;800.00&lt;/td&gt;&lt;td&gt;8800&lt;/td&gt;&lt;td&gt;&lt;/td&gt;&lt;/tr&gt;&lt;tr&gt;&lt;td&gt;032&lt;/td&gt;&lt;td&gt;001-0403&lt;/td&gt;&lt;td&gt;網路專用對講集線器&lt;/td&gt;&lt;td&gt;3.00&lt;/td&gt;&lt;td&gt;台&lt;/td&gt;&lt;td&gt;2950.00&lt;/td&gt;&lt;td&gt;8850&lt;/td&gt;&lt;td&gt;&lt;/td&gt;&lt;/tr&gt;&lt;tr&gt;&lt;td&gt;033&lt;/td&gt;&lt;td&gt;001-9085&lt;/td&gt;&lt;td&gt;電源供應器&lt;/td&gt;&lt;td&gt;3.00&lt;/td&gt;&lt;td&gt;個&lt;/td&gt;&lt;td&gt;750.00&lt;/td&gt;&lt;td&gt;2250&lt;/td&gt;&lt;td&gt;&lt;/td&gt;&lt;/tr&gt;&lt;tr&gt;&lt;td&gt;034&lt;/td&gt;&lt;td&gt;174-0720&lt;/td&gt;&lt;td&gt;CAT.6e*4p 網路線灰色&lt;/td&gt;&lt;td&gt;395.00&lt;/td&gt;&lt;td&gt;米&lt;/td&gt;&lt;td&gt;13.00&lt;/td&gt;&lt;td&gt;5135&lt;/td&gt;&lt;td&gt;&lt;/td&gt;&lt;/tr&gt;&lt;tr&gt;&lt;td&gt;035&lt;/td&gt;&lt;td&gt;129-0071&lt;/td&gt;&lt;td&gt;0.75*2C PVC電源線&lt;/td&gt;&lt;td&gt;95.00&lt;/td&gt;&lt;td&gt;米&lt;/td&gt;&lt;td&gt;15.00&lt;/td&gt;&lt;td&gt;1425&lt;/td&gt;&lt;td&gt;&lt;/td&gt;&lt;/tr&gt;&lt;tr&gt;&lt;td&gt;036&lt;/td&gt;&lt;td&gt;320-0030&lt;/td&gt;&lt;td&gt;五金另料&lt;/td&gt;&lt;td&gt;1.00&lt;/td&gt;&lt;td&gt;式&lt;/td&gt;&lt;td&gt;1273.00&lt;/td&gt;&lt;td&gt;1273&lt;/td&gt;&lt;td&gt;&lt;/td&gt;&lt;/tr&gt;&lt;tr&gt;&lt;td&gt;037&lt;/td&gt;&lt;td&gt;321-0038-1&lt;/td&gt;&lt;td&gt;配線及安裝工資&lt;/td&gt;&lt;td&gt;1.00&lt;/td&gt;&lt;td&gt;式&lt;/td&gt;&lt;td&gt;18500.00&lt;/td&gt;&lt;td&gt;18500&lt;/td&gt;&lt;td&gt;&lt;/td&gt;&lt;/tr&gt;&lt;tr&gt;&lt;td&gt;038&lt;/td&gt;&lt;td&gt;*&lt;/td&gt;&lt;td&gt;車道管理系統:&lt;/td&gt;&lt;td&gt;0.00&lt;/td&gt;&lt;td&gt;&lt;/td&gt;&lt;td&gt;0.00&lt;/td&gt;&lt;td&gt;0&lt;/td&gt;&lt;td&gt;&lt;/td&gt;&lt;/tr&gt;&lt;tr&gt;&lt;td&gt;039&lt;/td&gt;&lt;td&gt;452-0004&lt;/td&gt;&lt;td&gt;柵欄機&lt;/td&gt;&lt;td&gt;1.00&lt;/td&gt;&lt;td&gt;台&lt;/td&gt;&lt;td&gt;28500.00&lt;/td&gt;&lt;td&gt;28500&lt;/td&gt;&lt;td&gt;&lt;/td&gt;&lt;/tr&gt;&lt;tr&gt;&lt;td&gt;040&lt;/td&gt;&lt;td&gt;452-0250&lt;/td&gt;&lt;td&gt;遙控器&lt;/td&gt;&lt;td&gt;15.00&lt;/td&gt;&lt;td&gt;個&lt;/td&gt;&lt;td&gt;500.00&lt;/td&gt;&lt;td&gt;7500&lt;/td&gt;&lt;td&gt;&lt;/td&gt;&lt;/tr&gt;&lt;tr&gt;&lt;td&gt;041&lt;/td&gt;&lt;td&gt;452-0200&lt;/td&gt;&lt;td&gt;防壓感應線圈&lt;/td&gt;&lt;td&gt;45.00&lt;/td&gt;&lt;td&gt;米&lt;/td&gt;&lt;td&gt;35.00&lt;/td&gt;&lt;td&gt;1575&lt;/td&gt;&lt;td&gt;&lt;/td&gt;&lt;/tr&gt;&lt;tr&gt;&lt;td&gt;042&lt;/td&gt;&lt;td&gt;452-0065&lt;/td&gt;&lt;td&gt;數位式感應線圈車輛偵測器(柵欄機防下壓)&lt;/td&gt;&lt;td&gt;1.00&lt;/td&gt;&lt;td&gt;組&lt;/td&gt;&lt;td&gt;4500.00&lt;/td&gt;&lt;td&gt;4500&lt;/td&gt;&lt;td&gt;&lt;/td&gt;&lt;/tr&gt;&lt;tr&gt;&lt;td&gt;043&lt;/td&gt;&lt;td&gt;168-0022&lt;/td&gt;&lt;td&gt;長距離讀頭-E-tag(不要裝e-tag43.44.45.46可以不要)&lt;/td&gt;&lt;td&gt;1.00&lt;/td&gt;&lt;td&gt;台&lt;/td&gt;&lt;td&gt;13500.00&lt;/td&gt;&lt;td&gt;13500&lt;/td&gt;&lt;td&gt;&lt;/td&gt;&lt;/tr&gt;&lt;tr&gt;&lt;td&gt;044&lt;/td&gt;&lt;td&gt;168-0056&lt;/td&gt;&lt;td&gt;中文背光感應機(讀到條碼,設定哪些車輛可以進出)&lt;/td&gt;&lt;td&gt;1.00&lt;/td&gt;&lt;td&gt;台&lt;/td&gt;&lt;td&gt;4800.00&lt;/td&gt;&lt;td&gt;4800&lt;/td&gt;&lt;td&gt;&lt;/td&gt;&lt;/tr&gt;&lt;tr&gt;&lt;td&gt;045&lt;/td&gt;&lt;td&gt;452-9024&lt;/td&gt;&lt;td&gt;ETAG貼紙&lt;/td&gt;&lt;td&gt;15.00&lt;/td&gt;&lt;td&gt;張&lt;/td&gt;&lt;td&gt;150.00&lt;/td&gt;&lt;td&gt;2250&lt;/td&gt;&lt;td&gt;&lt;/td&gt;&lt;/tr&gt;&lt;/table&gt;
![](images/018a673623d86f622017ba9c6055de77e708d75b154f1591a6d8872b4728f4d1.jpg)
## 宏交電話器材有限公司
苗栗縣苗栗市中正路1098號
TEL:037-351258 FAX:037-332281
報價單
印表日期：113/08/02
頁次：3/3
報價日期：113/08/02
單據編號：113080203
有效日期：
客戶名稱：向上建設
客戶編號：VGRG
聯絡電話：03-777-5355 #366
傳真號碼：
聯絡人員：蘇怡樺-總經理特助
送貨地址：苗栗縣竹南鎮康德街71號
業務人員：陳義文
專案：
製單人員：陳義文
收款條件：
統一編號：90057101
備註：
&lt;table&gt;&lt;tr&gt;&lt;td&gt;序&lt;/td&gt;&lt;td&gt;產品編號&lt;/td&gt;&lt;td&gt;品名/規格&lt;/td&gt;&lt;td&gt;數量&lt;/td&gt;&lt;td&gt;單位&lt;/td&gt;&lt;td&gt;單價&lt;/td&gt;&lt;td&gt;金額&lt;/td&gt;&lt;td&gt;備註&lt;/td&gt;&lt;/tr&gt;&lt;tr&gt;&lt;td&gt;046&lt;/td&gt;&lt;td&gt;452-0065&lt;/td&gt;&lt;td&gt;數位式感應線圈車輛偵測器(感應啟動讀頭)&lt;/td&gt;&lt;td&gt;1.00&lt;/td&gt;&lt;td&gt;組&lt;/td&gt;&lt;td&gt;4500.00&lt;/td&gt;&lt;td&gt;4500&lt;/td&gt;&lt;td&gt;&lt;/td&gt;&lt;/tr&gt;&lt;tr&gt;&lt;td&gt;047&lt;/td&gt;&lt;td&gt;452-0076&lt;/td&gt;&lt;td&gt;車道三代主機&lt;/td&gt;&lt;td&gt;1.00&lt;/td&gt;&lt;td&gt;台&lt;/td&gt;&lt;td&gt;6500.00&lt;/td&gt;&lt;td&gt;6500&lt;/td&gt;&lt;td&gt;&lt;/td&gt;&lt;/tr&gt;&lt;tr&gt;&lt;td&gt;048&lt;/td&gt;&lt;td&gt;452-0050&lt;/td&gt;&lt;td&gt;對照式紅外線&lt;/td&gt;&lt;td&gt;2.00&lt;/td&gt;&lt;td&gt;組&lt;/td&gt;&lt;td&gt;2600.00&lt;/td&gt;&lt;td&gt;5200&lt;/td&gt;&lt;td&gt;&lt;/td&gt;&lt;/tr&gt;&lt;tr&gt;&lt;td&gt;049&lt;/td&gt;&lt;td&gt;452-0080&lt;/td&gt;&lt;td&gt;精緻型LED紅綠燈&lt;/td&gt;&lt;td&gt;3.00&lt;/td&gt;&lt;td&gt;塊&lt;/td&gt;&lt;td&gt;5200.00&lt;/td&gt;&lt;td&gt;15600&lt;/td&gt;&lt;td&gt;&lt;/td&gt;&lt;/tr&gt;&lt;tr&gt;&lt;td&gt;050&lt;/td&gt;&lt;td&gt;210-0060&lt;/td&gt;&lt;td&gt;旋轉警示燈 LED&lt;/td&gt;&lt;td&gt;3.00&lt;/td&gt;&lt;td&gt;只&lt;/td&gt;&lt;td&gt;1000.00&lt;/td&gt;&lt;td&gt;3000&lt;/td&gt;&lt;td&gt;&lt;/td&gt;&lt;/tr&gt;&lt;tr&gt;&lt;td&gt;051&lt;/td&gt;&lt;td&gt;320-0030&lt;/td&gt;&lt;td&gt;五金另料&lt;/td&gt;&lt;td&gt;1.00&lt;/td&gt;&lt;td&gt;式&lt;/td&gt;&lt;td&gt;1500.00&lt;/td&gt;&lt;td&gt;1500&lt;/td&gt;&lt;td&gt;&lt;/td&gt;&lt;/tr&gt;&lt;tr&gt;&lt;td&gt;052&lt;/td&gt;&lt;td&gt;321-0038-1&lt;/td&gt;&lt;td&gt;配線及安裝工資(管委會教育訓練)&lt;/td&gt;&lt;td&gt;1.00&lt;/td&gt;&lt;td&gt;式&lt;/td&gt;&lt;td&gt;24500.00&lt;/td&gt;&lt;td&gt;24500&lt;/td&gt;&lt;td&gt;&lt;/td&gt;&lt;/tr&gt;&lt;tr&gt;&lt;td&gt;053&lt;/td&gt;&lt;td&gt;327-0053&lt;/td&gt;&lt;td&gt;經議價後,優惠金額&lt;/td&gt;&lt;td&gt;-1.00&lt;/td&gt;&lt;td&gt;式&lt;/td&gt;&lt;td&gt;38556.00&lt;/td&gt;&lt;td&gt;-38556&lt;/td&gt;&lt;td&gt;&lt;/td&gt;&lt;/tr&gt;&lt;tr&gt;&lt;td&gt;&lt;/td&gt;&lt;td&gt;&lt;/td&gt;&lt;td&gt;&lt;/td&gt;&lt;td&gt;&lt;/td&gt;&lt;td&gt;&lt;/td&gt;&lt;td&gt;合計:&lt;/td&gt;&lt;td&gt;304762&lt;/td&gt;&lt;td&gt;&lt;/td&gt;&lt;/tr&gt;&lt;tr&gt;&lt;td&gt;&lt;/td&gt;&lt;td&gt;&lt;/td&gt;&lt;td&gt;&lt;/td&gt;&lt;td&gt;&lt;/td&gt;&lt;td&gt;&lt;/td&gt;&lt;td&gt;稅金:&lt;/td&gt;&lt;td&gt;15238&lt;/td&gt;&lt;td&gt;&lt;/td&gt;&lt;/tr&gt;&lt;tr&gt;&lt;td&gt;&lt;/td&gt;&lt;td&gt;&lt;/td&gt;&lt;td&gt;&lt;/td&gt;&lt;td&gt;&lt;/td&gt;&lt;td&gt;&lt;/td&gt;&lt;td&gt;總計:&lt;/td&gt;&lt;td&gt;320000&lt;/td&gt;&lt;td&gt;&lt;/td&gt;&lt;/tr&gt;&lt;/table&gt;
備註:
1.報價單核准後，煩請蓋公司大小章及主管簽名後回傳，以利訂貨及派工作業進行。
2.煩請確認後，回傳至(037)332281，感謝您配合。
3.報價單簽名確認後，視同正式訂購單。
歡迎來電洽詢 業務部-副理 陳義文 0919-351258 Line: yiwen57 很榮幸能為您服務!!
![](images/bb9cdd42c6b193816cc5785c7a73c98ec14e9b608c480f972f82c8449ea3b5e7.jpg)
主管:
業務代表:
客戶訂購確認簽章:
</x:v>
      </x:c>
    </x:row>
    <x:row r="24">
      <x:c r="A24" s="69" t="str">
        <x:v>SRC021</x:v>
      </x:c>
      <x:c r="B24" s="69" t="str">
        <x:v>原文1</x:v>
      </x:c>
      <x:c r="C24" s="69" t="str">
        <x:v>Markdown</x:v>
      </x:c>
      <x:c r="D24" s="69" t="str">
        <x:v>第1–9行</x:v>
      </x:c>
      <x:c r="E24" s="71" t="str">
        <x:v>![](images/0b92014ffbe6494d1a58c4546ef9ca0df58a57eb4351449d98d98850efa2ce30.jpg)
地址：苗栗縣頭份市田寮里自強路二段477號 TEL：(037)636192 FAX：(037)626860
聯絡人：劉智欣 0933-771781
&lt;table&gt;&lt;tr&gt;&lt;td&gt;客戶&lt;/td&gt;&lt;td colspan="4"&gt;向上建設股份有限公司&lt;/td&gt;&lt;td&gt;日期&lt;/td&gt;&lt;td&gt;1130809&lt;/td&gt;&lt;/tr&gt;&lt;tr&gt;&lt;td&gt;聯絡&lt;/td&gt;&lt;td colspan="4"&gt;037-775355-366&lt;/td&gt;&lt;td&gt;&lt;/td&gt;&lt;td&gt;&lt;/td&gt;&lt;/tr&gt;&lt;tr&gt;&lt;td&gt;工程&lt;/td&gt;&lt;td colspan="4"&gt;向上建設集合住宅等11戶新建工程&lt;/td&gt;&lt;td&gt;&lt;/td&gt;&lt;td&gt;&lt;/td&gt;&lt;/tr&gt;&lt;tr&gt;&lt;td&gt;項次&lt;/td&gt;&lt;td&gt;種類&lt;/td&gt;&lt;td&gt;數量&lt;/td&gt;&lt;td&gt;表面處理&lt;/td&gt;&lt;td&gt;單價&lt;/td&gt;&lt;td&gt;複價&lt;/td&gt;&lt;td&gt;備註&lt;/td&gt;&lt;/tr&gt;&lt;tr&gt;&lt;td&gt;1&lt;/td&gt;&lt;td&gt;正向立面2F~7F玻璃欄杆 2850+525X900&lt;/td&gt;&lt;td&gt;6&lt;/td&gt;&lt;td&gt;粉體塗裝(參照說明)&lt;/td&gt;&lt;td&gt;18,344&lt;/td&gt;&lt;td&gt;110,064&lt;/td&gt;&lt;td&gt;&lt;/td&gt;&lt;/tr&gt;&lt;tr&gt;&lt;td&gt;2&lt;/td&gt;&lt;td&gt;正向立面R1F玻璃欄杆 2850+525X1100&lt;/td&gt;&lt;td&gt;1&lt;/td&gt;&lt;td&gt;粉體塗裝(參照說明)&lt;/td&gt;&lt;td&gt;20,790&lt;/td&gt;&lt;td&gt;20,790&lt;/td&gt;&lt;td&gt;&lt;/td&gt;&lt;/tr&gt;&lt;tr&gt;&lt;td&gt;3&lt;/td&gt;&lt;td&gt;背向立面2F~6F玻璃欄杆 1325+2490X900&lt;/td&gt;&lt;td&gt;5&lt;/td&gt;&lt;td&gt;粉體塗裝(參照說明)&lt;/td&gt;&lt;td&gt;17,809&lt;/td&gt;&lt;td&gt;89,045&lt;/td&gt;&lt;td&gt;&lt;/td&gt;&lt;/tr&gt;&lt;tr&gt;&lt;td&gt;4&lt;/td&gt;&lt;td&gt;背向立面7F玻璃欄杆 1325+2490X1100&lt;/td&gt;&lt;td&gt;1&lt;/td&gt;&lt;td&gt;粉體塗裝(參照說明)&lt;/td&gt;&lt;td&gt;19,883&lt;/td&gt;&lt;td&gt;19,883&lt;/td&gt;&lt;td&gt;&lt;/td&gt;&lt;/tr&gt;&lt;tr&gt;&lt;td&gt;5&lt;/td&gt;&lt;td&gt;右側立面2F~7F玻璃欄杆3420+540X900&lt;/td&gt;&lt;td&gt;6&lt;/td&gt;&lt;td&gt;粉體塗裝(參照說明)&lt;/td&gt;&lt;td&gt;18,425&lt;/td&gt;&lt;td&gt;110,550&lt;/td&gt;&lt;td&gt;&lt;/td&gt;&lt;/tr&gt;&lt;tr&gt;&lt;td&gt;6&lt;/td&gt;&lt;td&gt;右側立面R1F玻璃欄杆 3420+540X1100&lt;/td&gt;&lt;td&gt;1&lt;/td&gt;&lt;td&gt;粉體塗裝(參照說明)&lt;/td&gt;&lt;td&gt;20,515&lt;/td&gt;&lt;td&gt;20,515&lt;/td&gt;&lt;td&gt;&lt;/td&gt;&lt;/tr&gt;&lt;tr&gt;&lt;td&gt;7&lt;/td&gt;&lt;td&gt;右側立面2F~7F玻璃欄杆3360X900&lt;/td&gt;&lt;td&gt;6&lt;/td&gt;&lt;td&gt;粉體塗裝(參照說明)&lt;/td&gt;&lt;td&gt;15,676&lt;/td&gt;&lt;td&gt;94,056&lt;/td&gt;&lt;td&gt;&lt;/td&gt;&lt;/tr&gt;&lt;tr&gt;&lt;td&gt;8&lt;/td&gt;&lt;td&gt;右側立面R1F玻璃欄杆 3360X1100&lt;/td&gt;&lt;td&gt;1&lt;/td&gt;&lt;td&gt;粉體塗裝(參照說明)&lt;/td&gt;&lt;td&gt;17,561&lt;/td&gt;&lt;td&gt;17,561&lt;/td&gt;&lt;td&gt;&lt;/td&gt;&lt;/tr&gt;&lt;tr&gt;&lt;td&gt;9&lt;/td&gt;&lt;td&gt;右側立面2F~6F玻璃欄杆540+2550X900&lt;/td&gt;&lt;td&gt;5&lt;/td&gt;&lt;td&gt;粉體塗裝(參照說明)&lt;/td&gt;&lt;td&gt;14,450&lt;/td&gt;&lt;td&gt;72,250&lt;/td&gt;&lt;td&gt;&lt;/td&gt;&lt;/tr&gt;&lt;tr&gt;&lt;td&gt;10&lt;/td&gt;&lt;td&gt;右側立面7F玻璃欄杆540+2550X1100&lt;/td&gt;&lt;td&gt;1&lt;/td&gt;&lt;td&gt;粉體塗裝(參照說明)&lt;/td&gt;&lt;td&gt;16,168&lt;/td&gt;&lt;td&gt;16,168&lt;/td&gt;&lt;td&gt;&lt;/td&gt;&lt;/tr&gt;&lt;tr&gt;&lt;td&gt;&lt;/td&gt;&lt;td&gt;以下空白&lt;/td&gt;&lt;td&gt;&lt;/td&gt;&lt;td&gt;-&lt;/td&gt;&lt;td&gt;&lt;/td&gt;&lt;td&gt;&lt;/td&gt;&lt;td&gt;&lt;/td&gt;&lt;/tr&gt;&lt;tr&gt;&lt;td colspan="7"&gt;合計: 570,882稅金: 28,544總計: 599,426&lt;/td&gt;&lt;/tr&gt;&lt;/table&gt;
塑豐實業股份有限公司
</x:v>
      </x:c>
    </x:row>
    <x:row r="25">
      <x:c r="A25" s="69" t="str">
        <x:v>SRC022</x:v>
      </x:c>
      <x:c r="B25" s="69" t="str">
        <x:v>原文1</x:v>
      </x:c>
      <x:c r="C25" s="69" t="str">
        <x:v>Markdown</x:v>
      </x:c>
      <x:c r="D25" s="69" t="str">
        <x:v>第1–31行</x:v>
      </x:c>
      <x:c r="E25" s="71" t="str">
        <x:v># 協力建材有限公司 金協和建材有限公司
## 材料報價單
TEL:037-475616 FAX:037-480329
地址:苗栗縣竹南鎮大厝里12鄰獅山70-12號
客戶：向上建設
聯絡人:蘇特助037-775355#366
地址：苗栗縣後龍工地
日期:113/08/12
業務:魏義軒
電話:0956-889902
&lt;table&gt;&lt;tr&gt;&lt;td&gt;&lt;/td&gt;&lt;td&gt;品牌&lt;/td&gt;&lt;td&gt;規格&lt;/td&gt;&lt;td&gt;包裝&lt;/td&gt;&lt;td&gt;單位&lt;/td&gt;&lt;td&gt;單價&lt;/td&gt;&lt;td&gt;備註欄&lt;/td&gt;&lt;/tr&gt;&lt;tr&gt;&lt;td rowspan="2"&gt;紅磚&lt;/td&gt;&lt;td rowspan="2"&gt;竹東磚&lt;/td&gt;&lt;td rowspan="2"&gt;5*10*21&lt;/td&gt;&lt;td&gt;&lt;/td&gt;&lt;td&gt;塊&lt;/td&gt;&lt;td&gt;2.4&lt;/td&gt;&lt;td&gt;10000磚以上 拖車送到&lt;/td&gt;&lt;/tr&gt;&lt;tr&gt;&lt;td&gt;&lt;/td&gt;&lt;td&gt;塊&lt;/td&gt;&lt;td&gt;3.3&lt;/td&gt;&lt;td&gt;店出&lt;/td&gt;&lt;/tr&gt;&lt;tr&gt;&lt;td rowspan="5"&gt;砂&lt;/td&gt;&lt;td&gt;粗砂&lt;/td&gt;&lt;td rowspan="4"&gt;&lt;/td&gt;&lt;td&gt;&lt;/td&gt;&lt;td&gt;米&lt;/td&gt;&lt;td&gt;1100&lt;/td&gt;&lt;td&gt;地板料&lt;/td&gt;&lt;/tr&gt;&lt;tr&gt;&lt;td&gt;細砂&lt;/td&gt;&lt;td&gt;&lt;/td&gt;&lt;td&gt;米&lt;/td&gt;&lt;td&gt;1100&lt;/td&gt;&lt;td&gt;部分高屏砂&lt;/td&gt;&lt;/tr&gt;&lt;tr&gt;&lt;td&gt;A細砂&lt;/td&gt;&lt;td&gt;&lt;/td&gt;&lt;td&gt;米&lt;/td&gt;&lt;td&gt;1180&lt;/td&gt;&lt;td&gt;較多高屏砂 近中砂顆粒&lt;/td&gt;&lt;/tr&gt;&lt;tr&gt;&lt;td&gt;高屏砂&lt;/td&gt;&lt;td&gt;&lt;/td&gt;&lt;td&gt;米&lt;/td&gt;&lt;td&gt;1300&lt;/td&gt;&lt;td&gt;低含泥量 有出廠證明&lt;/td&gt;&lt;/tr&gt;&lt;tr&gt;&lt;td colspan="6"&gt;車子米數依車斗實際數量(非他其它家灌水)&lt;/td&gt;&lt;/tr&gt;&lt;tr&gt;&lt;td rowspan="2"&gt;水泥&lt;/td&gt;&lt;td&gt;台泥(品牌)&lt;/td&gt;&lt;td&gt;&lt;/td&gt;&lt;td&gt;40kg&lt;/td&gt;&lt;td&gt;包&lt;/td&gt;&lt;td&gt;165&lt;/td&gt;&lt;td rowspan="2"&gt;目前價格&lt;/td&gt;&lt;/tr&gt;&lt;tr&gt;&lt;td&gt;亞泥(洋房)&lt;/td&gt;&lt;td&gt;&lt;/td&gt;&lt;td&gt;40kg&lt;/td&gt;&lt;td&gt;包&lt;/td&gt;&lt;td&gt;165&lt;/td&gt;&lt;/tr&gt;&lt;tr&gt;&lt;td&gt;&lt;/td&gt;&lt;td colspan="6"&gt;此價格為黏著劑一起配合價&lt;/td&gt;&lt;/tr&gt;&lt;tr&gt;&lt;td rowspan="3"&gt;黏著劑&lt;/td&gt;&lt;td&gt;巴師父&lt;/td&gt;&lt;td&gt;黏著劑&lt;/td&gt;&lt;td&gt;25kg&lt;/td&gt;&lt;td&gt;包&lt;/td&gt;&lt;td&gt;155&lt;/td&gt;&lt;td&gt;30*30以下適用同潤泰830等級&lt;/td&gt;&lt;/tr&gt;&lt;tr&gt;&lt;td&gt;德國亞德士&lt;/td&gt;&lt;td&gt;X1&lt;/td&gt;&lt;td&gt;25kg&lt;/td&gt;&lt;td&gt;包&lt;/td&gt;&lt;td&gt;215&lt;/td&gt;&lt;td&gt;80*80以下是適用同南星與潤泰850等級通過CNS12311&lt;/td&gt;&lt;/tr&gt;&lt;tr&gt;&lt;td&gt;南星黏著劑&lt;/td&gt;&lt;td&gt;&lt;/td&gt;&lt;td&gt;25kg&lt;/td&gt;&lt;td&gt;包&lt;/td&gt;&lt;td&gt;260&lt;/td&gt;&lt;td&gt;&lt;/td&gt;&lt;/tr&gt;&lt;tr&gt;&lt;td rowspan="3"&gt;填縫劑&lt;/td&gt;&lt;td&gt;巴師父&lt;/td&gt;&lt;td&gt;本色&lt;/td&gt;&lt;td&gt;25kg&lt;/td&gt;&lt;td&gt;包&lt;/td&gt;&lt;td&gt;140&lt;/td&gt;&lt;td&gt;其他顏色另議&lt;/td&gt;&lt;/tr&gt;&lt;tr&gt;&lt;td&gt;巴師父&lt;/td&gt;&lt;td&gt;本色細縫&lt;/td&gt;&lt;td&gt;5kg&lt;/td&gt;&lt;td&gt;桶&lt;/td&gt;&lt;td&gt;250&lt;/td&gt;&lt;td&gt;其他顏色另議&lt;/td&gt;&lt;/tr&gt;&lt;tr&gt;&lt;td&gt;德國亞德士&lt;/td&gt;&lt;td&gt;細縫拋光&lt;/td&gt;&lt;td&gt;5kg&lt;/td&gt;&lt;td&gt;包&lt;/td&gt;&lt;td&gt;350&lt;/td&gt;&lt;td&gt;需提早訂貨 全顏色統一價&lt;/td&gt;&lt;/tr&gt;&lt;tr&gt;&lt;td rowspan="2"&gt;潤泰乾拌砂&lt;/td&gt;&lt;td colspan="2"&gt;粉光材(細)330&lt;/td&gt;&lt;td rowspan="2"&gt;40kg&lt;/td&gt;&lt;td&gt;包&lt;/td&gt;&lt;td&gt;150&lt;/td&gt;&lt;td&gt;目前價格&lt;/td&gt;&lt;/tr&gt;&lt;tr&gt;&lt;td colspan="2"&gt;地板材(粗)190&lt;/td&gt;&lt;td&gt;包&lt;/td&gt;&lt;td&gt;140&lt;/td&gt;&lt;td&gt;目前價格&lt;/td&gt;&lt;/tr&gt;&lt;tr&gt;&lt;td&gt;雜項&lt;/td&gt;&lt;td colspan="2"&gt;品牌/項目/內容&lt;/td&gt;&lt;td&gt;包裝&lt;/td&gt;&lt;td&gt;單位&lt;/td&gt;&lt;td&gt;單價&lt;/td&gt;&lt;td&gt;備註欄&lt;/td&gt;&lt;/tr&gt;&lt;tr&gt;&lt;td&gt;新舊水泥接著劑&lt;/td&gt;&lt;td colspan="2"&gt;SP-001&lt;/td&gt;&lt;td&gt;5加侖&lt;/td&gt;&lt;td&gt;桶&lt;/td&gt;&lt;td&gt;1900&lt;/td&gt;&lt;td&gt;與SP360同工廠(員合工業)&lt;/td&gt;&lt;/tr&gt;&lt;tr&gt;&lt;td&gt;防水劑&lt;/td&gt;&lt;td colspan="2"&gt;六合化工(員和化工)&lt;/td&gt;&lt;td&gt;5加侖&lt;/td&gt;&lt;td&gt;桶&lt;/td&gt;&lt;td&gt;400&lt;/td&gt;&lt;td&gt;&lt;/td&gt;&lt;/tr&gt;&lt;tr&gt;&lt;td&gt;防水粉&lt;/td&gt;&lt;td colspan="2"&gt;亞德士&lt;/td&gt;&lt;td&gt;1kg&lt;/td&gt;&lt;td&gt;包&lt;/td&gt;&lt;td&gt;250&lt;/td&gt;&lt;td&gt;符合標準CNS3763&lt;/td&gt;&lt;/tr&gt;&lt;tr&gt;&lt;td&gt;磁磚保護板&lt;/td&gt;&lt;td colspan="2"&gt;白色不透明PP&lt;/td&gt;&lt;td&gt;3*6呎&lt;/td&gt;&lt;td&gt;片&lt;/td&gt;&lt;td&gt;17&lt;/td&gt;&lt;td&gt;&lt;/td&gt;&lt;/tr&gt;&lt;tr&gt;&lt;td&gt;膠帶&lt;/td&gt;&lt;td colspan="2"&gt;布紋膠帶&lt;/td&gt;&lt;td&gt;寬5cm&lt;/td&gt;&lt;td&gt;捲&lt;/td&gt;&lt;td&gt;45&lt;/td&gt;&lt;td&gt;90呎每條6個&lt;/td&gt;&lt;/tr&gt;&lt;tr&gt;&lt;td&gt;無收縮水泥漿&lt;/td&gt;&lt;td colspan="2"&gt;6000磅&lt;/td&gt;&lt;td&gt;25kg&lt;/td&gt;&lt;td&gt;包&lt;/td&gt;&lt;td&gt;320&lt;/td&gt;&lt;td&gt;&lt;/td&gt;&lt;/tr&gt;&lt;tr&gt;&lt;td&gt;海菜粉&lt;/td&gt;&lt;td colspan="2"&gt;#10000&lt;/td&gt;&lt;td&gt;25kg&lt;/td&gt;&lt;td&gt;包&lt;/td&gt;&lt;td&gt;8600&lt;/td&gt;&lt;td&gt;南星&lt;/td&gt;&lt;/tr&gt;&lt;tr&gt;&lt;td&gt;楣樑&lt;/td&gt;&lt;td colspan="2"&gt;5*10&lt;/td&gt;&lt;td&gt;5*10&lt;/td&gt;&lt;td&gt;公分&lt;/td&gt;&lt;td&gt;1.5&lt;/td&gt;&lt;td&gt;內含#3鋼筋兩隻&lt;/td&gt;&lt;/tr&gt;&lt;tr&gt;&lt;td rowspan="3"&gt;門檻&lt;/td&gt;&lt;td colspan="2" rowspan="3"&gt;高分子亮面人造石&lt;/td&gt;&lt;td&gt;6*6*6&lt;/td&gt;&lt;td&gt;公分&lt;/td&gt;&lt;td&gt;3&lt;/td&gt;&lt;td rowspan="3"&gt;若貴工地主管方便提供圖面敞司可協助計算及統計數量以利現場進貨時間與分料作業&lt;/td&gt;&lt;/tr&gt;&lt;tr&gt;&lt;td&gt;6*6*10&lt;/td&gt;&lt;td&gt;公分&lt;/td&gt;&lt;td&gt;4&lt;/td&gt;&lt;/tr&gt;&lt;tr&gt;&lt;td&gt;6*6*15&lt;/td&gt;&lt;td&gt;公分&lt;/td&gt;&lt;td&gt;5&lt;/td&gt;&lt;/tr&gt;&lt;tr&gt;&lt;td&gt;清潔劑&lt;/td&gt;&lt;td colspan="2"&gt;磁磚清潔劑&lt;/td&gt;&lt;td&gt;20L&lt;/td&gt;&lt;td&gt;桶&lt;/td&gt;&lt;td&gt;500&lt;/td&gt;&lt;td&gt;&lt;/td&gt;&lt;/tr&gt;&lt;tr&gt;&lt;td colspan="2"&gt;SPC卡扣地板&lt;/td&gt;&lt;td&gt;&lt;/td&gt;&lt;td colspan="2"&gt;厚度8mm&lt;/td&gt;&lt;td&gt;2500/坪&lt;/td&gt;&lt;td&gt;連工帶料 地坪需平整&lt;/td&gt;&lt;/tr&gt;&lt;/table&gt;
一、以上產品單價均為未稅價。
二、以上價格隨物價波動調整。若有調整將提早半個月以新報價單通知工地現場人員。
三、依實際進貨數量請款100% 30天期票。
四、工程需出大料，敬請提早兩天通知，方便敝司安排車次，以利工程順利進行。
五、此報價單有效期限為一個月
</x:v>
      </x:c>
    </x:row>
    <x:row r="26">
      <x:c r="A26" s="69" t="str">
        <x:v>SRC023</x:v>
      </x:c>
      <x:c r="B26" s="69" t="str">
        <x:v>原文1</x:v>
      </x:c>
      <x:c r="C26" s="69" t="str">
        <x:v>Markdown</x:v>
      </x:c>
      <x:c r="D26" s="69" t="str">
        <x:v>第1–57行</x:v>
      </x:c>
      <x:c r="E26" s="71" t="str">
        <x:v>順靖企業有限公司
TEL: 04 823 6830 FAX:04 823 6330
E-mail: syab.syab@msa.hinet.net
報價版次：1
To: 向上建設股份有限公司
Attn：蘇怡樺 小姐
業務員：張寶云
建案工程：拾壹間 8F
Tel : 0975-210366
連絡電話：0980-918285
本工程採用 扶順手 方鑽系列 1332&amp;高雅壁座 + 南洋木
日期：2024/8/19
&lt;table&gt;&lt;tr&gt;&lt;td rowspan="2"&gt;項次&lt;/td&gt;&lt;td colspan="2"&gt;工位&lt;/td&gt;&lt;td rowspan="2"&gt;品名&lt;/td&gt;&lt;td rowspan="2"&gt;戶數&lt;/td&gt;&lt;td rowspan="2"&gt;每戶預估米數&lt;/td&gt;&lt;td rowspan="2"&gt;預估總米數&lt;/td&gt;&lt;td rowspan="2"&gt;握桿高度(cm)&lt;/td&gt;&lt;td rowspan="2"&gt;表面處理&lt;/td&gt;&lt;td rowspan="2"&gt;單價/米&lt;/td&gt;&lt;td rowspan="2"&gt;預估總價&lt;/td&gt;&lt;td rowspan="2"&gt;備註&lt;/td&gt;&lt;/tr&gt;&lt;tr&gt;&lt;td&gt;戶名&lt;/td&gt;&lt;td&gt;樓層&lt;/td&gt;&lt;/tr&gt;&lt;tr&gt;&lt;td&gt;1&lt;/td&gt;&lt;td&gt;/&lt;/td&gt;&lt;td&gt;1F~R1F&lt;/td&gt;&lt;td&gt;方鑽系列1332+ 南洋木(立式 無障礙)&lt;/td&gt;&lt;td&gt;1&lt;/td&gt;&lt;td&gt;40&lt;/td&gt;&lt;td&gt;40&lt;/td&gt;&lt;td&gt;85&lt;/td&gt;&lt;td&gt;黑砂&lt;/td&gt;&lt;td&gt;$3,500&lt;/td&gt;&lt;td&gt;$140,000&lt;/td&gt;&lt;td&gt;&lt;/td&gt;&lt;/tr&gt;&lt;tr&gt;&lt;td&gt;2&lt;/td&gt;&lt;td&gt;/&lt;/td&gt;&lt;td&gt;R1F平台&lt;/td&gt;&lt;td&gt;方鑽系列1332+ 南洋木(立式 無障礙)&lt;/td&gt;&lt;td&gt;1&lt;/td&gt;&lt;td&gt;1&lt;/td&gt;&lt;td&gt;1&lt;/td&gt;&lt;td&gt;114&lt;/td&gt;&lt;td&gt;黑砂&lt;/td&gt;&lt;td&gt;$4,500&lt;/td&gt;&lt;td&gt;$4,500&lt;/td&gt;&lt;td&gt;&lt;/td&gt;&lt;/tr&gt;&lt;tr&gt;&lt;td&gt;3&lt;/td&gt;&lt;td&gt;/&lt;/td&gt;&lt;td&gt;1F~R1F&lt;/td&gt;&lt;td&gt;高雅壁座+南洋木(壁式 無障礙)&lt;/td&gt;&lt;td&gt;1&lt;/td&gt;&lt;td&gt;36&lt;/td&gt;&lt;td&gt;36&lt;/td&gt;&lt;td&gt;83&lt;/td&gt;&lt;td&gt;黑砂&lt;/td&gt;&lt;td&gt;$1,500&lt;/td&gt;&lt;td&gt;$54,000&lt;/td&gt;&lt;td&gt;&lt;/td&gt;&lt;/tr&gt;&lt;tr&gt;&lt;td colspan="10"&gt;77米 小計&lt;/td&gt;&lt;td&gt;$198,500&lt;/td&gt;&lt;td&gt;&lt;/td&gt;&lt;/tr&gt;&lt;/table&gt;
備註：
1) 單價：a) 本報價單以台幣現金價計價，未含5%營業稅。
b) 本工程總合計，樓梯扶手依現場木握桿總長度(進行米計價)完工實做實算。(轉彎、大柱無加價)
2) 付款方式：本報價單可視同正式訂單。訂單確認後，一週內預付訂單總金額 30%，訂單始成立。
尾款 70%現金票於進場施工日起逐月請款當月實作進度款項，並於本扶手工程完工當月即配合驗收完成尾款支付。
3) 報價單有效期限：2024/9/19
4) 交貨施工日：目前結構中，預估工期114年1月。請預先簽約，我司自行備料，並於實際安裝日前三週通知順靖可進場施工。為配合工地現場進度，致使本公司假日派工，需補貼加班費，費用另行報價。
5) 工程施工地點：苗栗縣後龍鎮新東路116號旁
6) 扶手立柱樣式：如下附圖。
a)木握桿：南洋木握桿 圓形 $\varnothing4cm$
b)連桿：端蓋模組
![](images/92ba68660dd364a054f2cfdc9a347ee2121a16daade5e7889cdd7680884d713e.jpg)
![](images/074247069cfb2784462e1d4d12d8434ff60fa7600d60b2a47c643b6b8ce2765e.jpg)
客戶確認：
審核:
業務：張寶云%9
</x:v>
      </x:c>
    </x:row>
    <x:row r="27">
      <x:c r="A27" s="69" t="str">
        <x:v>SRC024</x:v>
      </x:c>
      <x:c r="B27" s="69" t="str">
        <x:v>原文1</x:v>
      </x:c>
      <x:c r="C27" s="69" t="str">
        <x:v>Markdown</x:v>
      </x:c>
      <x:c r="D27" s="69" t="str">
        <x:v>第1–55行</x:v>
      </x:c>
      <x:c r="E27" s="71" t="str">
        <x:v>## - 富千代開發 - 富日東建材 - 報價單
客戶名稱：向上建設股份有限公司
報價編號：24082001
聯絡人：蘇怡樺 先生 / 小姐
工程項目：外牆塗裝工程
電話：0975-210-366
工程地址：苗栗縣後龍鎮新東路
業務聯絡人: 林奕亨 0933-395-658
單位：新台幣
&lt;table&gt;&lt;tr&gt;&lt;td&gt;項次&lt;/td&gt;&lt;td&gt;品名/規格/摘要&lt;/td&gt;&lt;td&gt;單位&lt;/td&gt;&lt;td&gt;數量&lt;/td&gt;&lt;td&gt;單價&lt;/td&gt;&lt;td&gt;各項小計&lt;/td&gt;&lt;td&gt;備註&lt;/td&gt;&lt;/tr&gt;&lt;tr&gt;&lt;td&gt;1.&lt;/td&gt;&lt;td&gt;日本第一エスケー化研 SKK單彩系波浪紋理塗料工程-噴塗 or 滚塗工法-半消光-淺灰色&lt;/td&gt;&lt;td&gt;平方米&lt;/td&gt;&lt;td&gt;928.47&lt;/td&gt;&lt;td&gt;920&lt;/td&gt;&lt;td&gt;854,192&lt;/td&gt;&lt;td&gt;膠狀&lt;/td&gt;&lt;/tr&gt;&lt;tr&gt;&lt;td&gt;2.&lt;/td&gt;&lt;td&gt;塗裝面溝縫施作&lt;/td&gt;&lt;td colspan="4"&gt;本報價單不含溝縫施作,俟圖面確認後精算,費用採實作實報。溝縫每米新台幣100元。&lt;/td&gt;&lt;td&gt;備用單價&lt;/td&gt;&lt;/tr&gt;&lt;tr&gt;&lt;td&gt;&lt;/td&gt;&lt;td&gt;(以下空白)&lt;/td&gt;&lt;td&gt;&lt;/td&gt;&lt;td&gt;&lt;/td&gt;&lt;td&gt;&lt;/td&gt;&lt;td&gt;&lt;/td&gt;&lt;td&gt;&lt;/td&gt;&lt;/tr&gt;&lt;tr&gt;&lt;td colspan="7"&gt;總計:新台幣 元&lt;/td&gt;&lt;/tr&gt;&lt;/table&gt;
## 【附加說明】
1. 上列報價不含 5% 營業稅。
2. 水、電、照明、鷹架（含帆布）、圍籬、廢水（含廢棄物）處理及放置場由業主提供。
3. 施工基底須為細粉光面，不可起砂、拍漿過度。上述報價不含基面修補、打磨與檢測。非泥作粉光基面者，介面劑施工另計。
4. 樣板基面與現況牆面不同，驗收樣式以現場牆面打樣為基準。
5. 本報價單數量由客戶提供資料概算，俟客戶提供確切施工圖面與工程介面後，報價可能略有增減。
6. 本報價單有效期限自報價日起算 30 天。若因外幣波動，導致日元匯率漲幅超過報價日 7% 時，富日東保留重新報價權利。
7. 報價當日日元匯率為 0.2219（以台灣銀行公告牌價為主）。
8. 付款方式：
簽約訂金：總價 30%，以現金匯款或即期支票給付。
進度款：總價 65%，每月依進度請款，以現金匯款或即期支票給付。
驗收款：預計為總價 5%，確切金額為最後追加減結算差額。驗收完成後，以現金匯款或即期支票給付。
9. 受款方匯款資訊:
銀行：玉山銀行 古亭分行(銀行代號 808)
帳號：0989-940-013701
戶名：富日東建材股份有限公司
10. 其他條件簽約時另議。
(以下空白)
</x:v>
      </x:c>
    </x:row>
    <x:row r="28">
      <x:c r="A28" s="69" t="str">
        <x:v>SRC025</x:v>
      </x:c>
      <x:c r="B28" s="69" t="str">
        <x:v>原文1</x:v>
      </x:c>
      <x:c r="C28" s="69" t="str">
        <x:v>Markdown</x:v>
      </x:c>
      <x:c r="D28" s="69" t="str">
        <x:v>第1–52行</x:v>
      </x:c>
      <x:c r="E28" s="71" t="str">
        <x:v>尾款 70% 現金票於進場施工日起逐月請款當月實作進度款項，並於本欄杆工程完工當月即配合驗收完成尾款支付 4) 報價單有效期限：2024/9/19
TEL: 04 823 6830 FAX:04 823 6330
E-mail: syab@ms38.hinet.net
報價版次：2
To：向上建設股份有限公司
Attn：蘇怡樺小姐
業務員：張寶云
建案工程：拾壹間 8F
Tel : 0975-210366
連絡電話：0980-918285
本工程採用 扶順手 藍天EGU系列 不鏽鋼陽台欄杆 含5+5mm單強化透明膠合玻璃 日期：2024/9/10
&lt;table&gt;&lt;tr&gt;&lt;td rowspan="2"&gt;項次&lt;/td&gt;&lt;td colspan="2"&gt;工位&lt;/td&gt;&lt;td rowspan="2"&gt;工程項目&lt;/td&gt;&lt;td colspan="3"&gt;規格尺寸(cm)&lt;/td&gt;&lt;td rowspan="2"&gt;表面處理&lt;/td&gt;&lt;td rowspan="2"&gt;單位&lt;/td&gt;&lt;td rowspan="2"&gt;數量&lt;/td&gt;&lt;td rowspan="2"&gt;單價&lt;/td&gt;&lt;td rowspan="2"&gt;小計&lt;/td&gt;&lt;td rowspan="2"&gt;備註&lt;/td&gt;&lt;/tr&gt;&lt;tr&gt;&lt;td&gt;戶名&lt;/td&gt;&lt;td&gt;樓層&lt;/td&gt;&lt;td&gt;長度&lt;/td&gt;&lt;td&gt;立柱高度&lt;/td&gt;&lt;td&gt;玻璃高度&lt;/td&gt;&lt;/tr&gt;&lt;tr&gt;&lt;td&gt;1&lt;/td&gt;&lt;td&gt;A&lt;/td&gt;&lt;td&gt;2F~6F&lt;/td&gt;&lt;td&gt;藍天EGU系列-L型&lt;/td&gt;&lt;td&gt;347.5&lt;/td&gt;&lt;td&gt;85&lt;/td&gt;&lt;td&gt;90&lt;/td&gt;&lt;td&gt;黑砂&lt;/td&gt;&lt;td&gt;座&lt;/td&gt;&lt;td&gt;5&lt;/td&gt;&lt;td&gt;$24,537&lt;/td&gt;&lt;td&gt;$122,685&lt;/td&gt;&lt;td&gt;&lt;/td&gt;&lt;/tr&gt;&lt;tr&gt;&lt;td&gt;2&lt;/td&gt;&lt;td&gt;A&lt;/td&gt;&lt;td&gt;2F~6F&lt;/td&gt;&lt;td&gt;藍天EGU系列-L型&lt;/td&gt;&lt;td&gt;406&lt;/td&gt;&lt;td&gt;85&lt;/td&gt;&lt;td&gt;90&lt;/td&gt;&lt;td&gt;黑砂&lt;/td&gt;&lt;td&gt;座&lt;/td&gt;&lt;td&gt;5&lt;/td&gt;&lt;td&gt;$26,454&lt;/td&gt;&lt;td&gt;$132,270&lt;/td&gt;&lt;td&gt;&lt;/td&gt;&lt;/tr&gt;&lt;tr&gt;&lt;td&gt;3&lt;/td&gt;&lt;td&gt;A&lt;/td&gt;&lt;td&gt;2F~6F&lt;/td&gt;&lt;td&gt;藍天EGU系列-一字型&lt;/td&gt;&lt;td&gt;336&lt;/td&gt;&lt;td&gt;85&lt;/td&gt;&lt;td&gt;90&lt;/td&gt;&lt;td&gt;黑砂&lt;/td&gt;&lt;td&gt;座&lt;/td&gt;&lt;td&gt;5&lt;/td&gt;&lt;td&gt;$19,177&lt;/td&gt;&lt;td&gt;$95,885&lt;/td&gt;&lt;td&gt;&lt;/td&gt;&lt;/tr&gt;&lt;tr&gt;&lt;td&gt;4&lt;/td&gt;&lt;td&gt;B&lt;/td&gt;&lt;td&gt;2F~6F&lt;/td&gt;&lt;td&gt;藍天EGU系列-L型&lt;/td&gt;&lt;td&gt;319&lt;/td&gt;&lt;td&gt;85&lt;/td&gt;&lt;td&gt;90&lt;/td&gt;&lt;td&gt;黑砂&lt;/td&gt;&lt;td&gt;座&lt;/td&gt;&lt;td&gt;5&lt;/td&gt;&lt;td&gt;$21,605&lt;/td&gt;&lt;td&gt;$108,025&lt;/td&gt;&lt;td&gt;&lt;/td&gt;&lt;/tr&gt;&lt;tr&gt;&lt;td&gt;5&lt;/td&gt;&lt;td&gt;B&lt;/td&gt;&lt;td&gt;2F~6F&lt;/td&gt;&lt;td&gt;藍天EGU系列-L型&lt;/td&gt;&lt;td&gt;382.5&lt;/td&gt;&lt;td&gt;85&lt;/td&gt;&lt;td&gt;90&lt;/td&gt;&lt;td&gt;黑砂&lt;/td&gt;&lt;td&gt;座&lt;/td&gt;&lt;td&gt;5&lt;/td&gt;&lt;td&gt;$23,564&lt;/td&gt;&lt;td&gt;$117,820&lt;/td&gt;&lt;td&gt;&lt;/td&gt;&lt;/tr&gt;&lt;tr&gt;&lt;td&gt;6&lt;/td&gt;&lt;td&gt;A&lt;/td&gt;&lt;td&gt;7F&lt;/td&gt;&lt;td&gt;藍天EGU系列-L型&lt;/td&gt;&lt;td&gt;347.5&lt;/td&gt;&lt;td&gt;85&lt;/td&gt;&lt;td&gt;90&lt;/td&gt;&lt;td&gt;黑砂&lt;/td&gt;&lt;td&gt;座&lt;/td&gt;&lt;td&gt;1&lt;/td&gt;&lt;td&gt;$24,537&lt;/td&gt;&lt;td&gt;$24,537&lt;/td&gt;&lt;td&gt;&lt;/td&gt;&lt;/tr&gt;&lt;tr&gt;&lt;td&gt;7&lt;/td&gt;&lt;td&gt;A&lt;/td&gt;&lt;td&gt;7F&lt;/td&gt;&lt;td&gt;藍天EGU系列-L型&lt;/td&gt;&lt;td&gt;406&lt;/td&gt;&lt;td&gt;85&lt;/td&gt;&lt;td&gt;90&lt;/td&gt;&lt;td&gt;黑砂&lt;/td&gt;&lt;td&gt;座&lt;/td&gt;&lt;td&gt;1&lt;/td&gt;&lt;td&gt;$26,454&lt;/td&gt;&lt;td&gt;$26,454&lt;/td&gt;&lt;td&gt;&lt;/td&gt;&lt;/tr&gt;&lt;tr&gt;&lt;td&gt;8&lt;/td&gt;&lt;td&gt;A&lt;/td&gt;&lt;td&gt;7F&lt;/td&gt;&lt;td&gt;藍天EGU系列-一字型&lt;/td&gt;&lt;td&gt;336&lt;/td&gt;&lt;td&gt;85&lt;/td&gt;&lt;td&gt;90&lt;/td&gt;&lt;td&gt;黑砂&lt;/td&gt;&lt;td&gt;座&lt;/td&gt;&lt;td&gt;1&lt;/td&gt;&lt;td&gt;$19,177&lt;/td&gt;&lt;td&gt;$19,177&lt;/td&gt;&lt;td&gt;&lt;/td&gt;&lt;/tr&gt;&lt;tr&gt;&lt;td&gt;9&lt;/td&gt;&lt;td&gt;露台&lt;/td&gt;&lt;td&gt;7F&lt;/td&gt;&lt;td&gt;藍天EGU系列-L型&lt;/td&gt;&lt;td&gt;319&lt;/td&gt;&lt;td&gt;110&lt;/td&gt;&lt;td&gt;110&lt;/td&gt;&lt;td&gt;黑砂&lt;/td&gt;&lt;td&gt;座&lt;/td&gt;&lt;td&gt;1&lt;/td&gt;&lt;td&gt;$24,623&lt;/td&gt;&lt;td&gt;$24,623&lt;/td&gt;&lt;td&gt;&lt;/td&gt;&lt;/tr&gt;&lt;tr&gt;&lt;td&gt;10&lt;/td&gt;&lt;td&gt;露台&lt;/td&gt;&lt;td&gt;7F&lt;/td&gt;&lt;td&gt;藍天EGU系列-L型&lt;/td&gt;&lt;td&gt;391.5&lt;/td&gt;&lt;td&gt;110&lt;/td&gt;&lt;td&gt;110&lt;/td&gt;&lt;td&gt;黑砂&lt;/td&gt;&lt;td&gt;座&lt;/td&gt;&lt;td&gt;1&lt;/td&gt;&lt;td&gt;$27,153&lt;/td&gt;&lt;td&gt;$27,153&lt;/td&gt;&lt;td&gt;&lt;/td&gt;&lt;/tr&gt;&lt;tr&gt;&lt;td&gt;11&lt;/td&gt;&lt;td&gt;/&lt;/td&gt;&lt;td&gt;R1F&lt;/td&gt;&lt;td&gt;藍天EGU系列-L型&lt;/td&gt;&lt;td&gt;347.5&lt;/td&gt;&lt;td&gt;110&lt;/td&gt;&lt;td&gt;110&lt;/td&gt;&lt;td&gt;黑砂&lt;/td&gt;&lt;td&gt;座&lt;/td&gt;&lt;td&gt;1&lt;/td&gt;&lt;td&gt;$27,983&lt;/td&gt;&lt;td&gt;$27,983&lt;/td&gt;&lt;td&gt;&lt;/td&gt;&lt;/tr&gt;&lt;tr&gt;&lt;td&gt;12&lt;/td&gt;&lt;td&gt;/&lt;/td&gt;&lt;td&gt;R1F&lt;/td&gt;&lt;td&gt;藍天EGU系列-L型&lt;/td&gt;&lt;td&gt;406&lt;/td&gt;&lt;td&gt;110&lt;/td&gt;&lt;td&gt;110&lt;/td&gt;&lt;td&gt;黑砂&lt;/td&gt;&lt;td&gt;座&lt;/td&gt;&lt;td&gt;1&lt;/td&gt;&lt;td&gt;$30,221&lt;/td&gt;&lt;td&gt;$30,221&lt;/td&gt;&lt;td&gt;&lt;/td&gt;&lt;/tr&gt;&lt;tr&gt;&lt;td&gt;13&lt;/td&gt;&lt;td&gt;/&lt;/td&gt;&lt;td&gt;R1F&lt;/td&gt;&lt;td&gt;藍天EGU系列-一字型&lt;/td&gt;&lt;td&gt;336&lt;/td&gt;&lt;td&gt;110&lt;/td&gt;&lt;td&gt;110&lt;/td&gt;&lt;td&gt;黑砂&lt;/td&gt;&lt;td&gt;座&lt;/td&gt;&lt;td&gt;1&lt;/td&gt;&lt;td&gt;$21,964&lt;/td&gt;&lt;td&gt;$21,964&lt;/td&gt;&lt;td&gt;&lt;/td&gt;&lt;/tr&gt;&lt;tr&gt;&lt;td colspan="11"&gt;總長度 11844.5 cm 33座 小計&lt;/td&gt;&lt;td&gt;$778,797&lt;/td&gt;&lt;td&gt;&lt;/td&gt;&lt;/tr&gt;&lt;/table&gt;
備註：  
1) 扶順手模組化不鏽鋼玻璃欄杆已通過抗風試驗15級，品質結構安全值得信賴。  
2) 單價：a) 本報價單以台幣現金價計價，未含5%營業稅。  
b) 本報價單依 "向上建設" 圖面預估計算，共計陽台欄杆33座，含金屬施工及玻璃施工。不含假設工程及二次工程。  
c) 本工程總合計，金屬欄杆長度及玻璃尺寸依現場完工座數單價實做實算。尺寸變更 ±5cm 以上重新報價。  
d) 本工程施工時外牆需有鷹架，以確保進行安全施工。  
e) 若施工現場無施工電梯，或需使用吊運登高器械吊料或施工，費用放樣後另行報價。  
3)付款方式：本報價單可視同正式訂單。訂單確認後，一週內預付訂單總金額 $30\%$ ，訂單始成立。  
5) 交貨施工日：目前結構中，預估工期114年1月。請預先簽約，我司自行備料，並於實際安裝日(即外飾工程完成日)前三週通知順靖可進場施工。為配合工地現場進度，致使本公司假日派工，需補貼加班費，費用另行報價。  
6) 工程施工地點：苗栗縣後龍鎮新東路116號旁
7) 欄杆立柱間距：約1.2米，依現場放樣後確認。
8) 欄杆樣式：
a) 不鏽鋼 SUS#304
b) 鋁合金 #6063
c) 戶外耐候烤漆
d) 玻璃：5+5mm單強化透明膠合玻璃
![](images/abbfff254f14ec87d1a004d8e901ff178e09f4d461b803664f48737cb05fea6d.jpg)
審核: 申P/11
業務：張錫云 9/10
</x:v>
      </x:c>
    </x:row>
    <x:row r="29">
      <x:c r="A29" s="69" t="str">
        <x:v>SRC026</x:v>
      </x:c>
      <x:c r="B29" s="69" t="str">
        <x:v>原文1</x:v>
      </x:c>
      <x:c r="C29" s="69" t="str">
        <x:v>Markdown</x:v>
      </x:c>
      <x:c r="D29" s="69" t="str">
        <x:v>第1–100行</x:v>
      </x:c>
      <x:c r="E29" s="71" t="str">
        <x:v>TEL: 04 823 6830 FAX:04 823 6330
E-mail: syab@ms38.hinet.net
報價版次：3
To：向上建設股份有限公司
Attn：蘇怡樺小姐
業務員：張寶云
建案工程：拾壹間8F
Tel : 0975-210366
連絡電話：0980-918285
本工程採用 扶順手藍天EGU系列不鏽鋼陽台欄杆含5+5mm單強化透明膠合玻璃
日期：2024/10/4
&lt;table&gt;&lt;tr&gt;&lt;td rowspan="2"&gt;項次&lt;/td&gt;&lt;td colspan="2"&gt;工位&lt;/td&gt;&lt;td rowspan="2"&gt;工程項目&lt;/td&gt;&lt;td colspan="3"&gt;規格尺寸(cm)&lt;/td&gt;&lt;td rowspan="2"&gt;表面處理&lt;/td&gt;&lt;td rowspan="2"&gt;單位&lt;/td&gt;&lt;td rowspan="2"&gt;數量&lt;/td&gt;&lt;td rowspan="2"&gt;單價&lt;/td&gt;&lt;td rowspan="2"&gt;小計&lt;/td&gt;&lt;td rowspan="2"&gt;備註&lt;/td&gt;&lt;/tr&gt;&lt;tr&gt;&lt;td&gt;戶名&lt;/td&gt;&lt;td&gt;樓層&lt;/td&gt;&lt;td&gt;長度&lt;/td&gt;&lt;td&gt;立柱高度&lt;/td&gt;&lt;td&gt;玻璃高度&lt;/td&gt;&lt;/tr&gt;&lt;tr&gt;&lt;td&gt;1&lt;/td&gt;&lt;td&gt;A&lt;/td&gt;&lt;td&gt;2F~6F&lt;/td&gt;&lt;td&gt;藍天EGU系列-L型&lt;/td&gt;&lt;td&gt;347.5&lt;/td&gt;&lt;td&gt;85&lt;/td&gt;&lt;td&gt;100&lt;/td&gt;&lt;td&gt;黑砂+木紋握桿&lt;/td&gt;&lt;td&gt;座&lt;/td&gt;&lt;td&gt;5&lt;/td&gt;&lt;td&gt;$27,078&lt;/td&gt;&lt;td&gt;$135,390&lt;/td&gt;&lt;td&gt;&lt;/td&gt;&lt;/tr&gt;&lt;tr&gt;&lt;td&gt;2&lt;/td&gt;&lt;td&gt;A&lt;/td&gt;&lt;td&gt;2F~6F&lt;/td&gt;&lt;td&gt;藍天EGU系列-L型&lt;/td&gt;&lt;td&gt;212&lt;/td&gt;&lt;td&gt;85&lt;/td&gt;&lt;td&gt;100&lt;/td&gt;&lt;td&gt;黑砂+木紋握桿&lt;/td&gt;&lt;td&gt;座&lt;/td&gt;&lt;td&gt;5&lt;/td&gt;&lt;td&gt;$14,903&lt;/td&gt;&lt;td&gt;$74,515&lt;/td&gt;&lt;td&gt;&lt;/td&gt;&lt;/tr&gt;&lt;tr&gt;&lt;td&gt;3&lt;/td&gt;&lt;td&gt;A&lt;/td&gt;&lt;td&gt;2F~6F&lt;/td&gt;&lt;td&gt;藍天EGU系列-一字型&lt;/td&gt;&lt;td&gt;336&lt;/td&gt;&lt;td&gt;85&lt;/td&gt;&lt;td&gt;100&lt;/td&gt;&lt;td&gt;黑砂+木紋握桿&lt;/td&gt;&lt;td&gt;座&lt;/td&gt;&lt;td&gt;5&lt;/td&gt;&lt;td&gt;$21,622&lt;/td&gt;&lt;td&gt;$108,110&lt;/td&gt;&lt;td&gt;&lt;/td&gt;&lt;/tr&gt;&lt;tr&gt;&lt;td&gt;4&lt;/td&gt;&lt;td&gt;B&lt;/td&gt;&lt;td&gt;2F~6F&lt;/td&gt;&lt;td&gt;藍天EGU系列-L型&lt;/td&gt;&lt;td&gt;319&lt;/td&gt;&lt;td&gt;85&lt;/td&gt;&lt;td&gt;100&lt;/td&gt;&lt;td&gt;黑砂+木紋握桿&lt;/td&gt;&lt;td&gt;座&lt;/td&gt;&lt;td&gt;5&lt;/td&gt;&lt;td&gt;$23,955&lt;/td&gt;&lt;td&gt;$119,775&lt;/td&gt;&lt;td&gt;&lt;/td&gt;&lt;/tr&gt;&lt;tr&gt;&lt;td&gt;5&lt;/td&gt;&lt;td&gt;B&lt;/td&gt;&lt;td&gt;2F~6F&lt;/td&gt;&lt;td&gt;藍天EGU系列-L型&lt;/td&gt;&lt;td&gt;239&lt;/td&gt;&lt;td&gt;85&lt;/td&gt;&lt;td&gt;100&lt;/td&gt;&lt;td&gt;黑砂+木紋握桿&lt;/td&gt;&lt;td&gt;座&lt;/td&gt;&lt;td&gt;5&lt;/td&gt;&lt;td&gt;$15,982&lt;/td&gt;&lt;td&gt;$79,910&lt;/td&gt;&lt;td&gt;&lt;/td&gt;&lt;/tr&gt;&lt;tr&gt;&lt;td&gt;6&lt;/td&gt;&lt;td&gt;A&lt;/td&gt;&lt;td&gt;7F&lt;/td&gt;&lt;td&gt;藍天EGU系列-L型&lt;/td&gt;&lt;td&gt;347.5&lt;/td&gt;&lt;td&gt;85&lt;/td&gt;&lt;td&gt;100&lt;/td&gt;&lt;td&gt;黑砂+木紋握桿&lt;/td&gt;&lt;td&gt;座&lt;/td&gt;&lt;td&gt;1&lt;/td&gt;&lt;td&gt;$27,078&lt;/td&gt;&lt;td&gt;$27,078&lt;/td&gt;&lt;td&gt;&lt;/td&gt;&lt;/tr&gt;&lt;tr&gt;&lt;td&gt;7&lt;/td&gt;&lt;td&gt;A&lt;/td&gt;&lt;td&gt;7F&lt;/td&gt;&lt;td&gt;藍天EGU系列-L型&lt;/td&gt;&lt;td&gt;212&lt;/td&gt;&lt;td&gt;85&lt;/td&gt;&lt;td&gt;100&lt;/td&gt;&lt;td&gt;黑砂+木紋握桿&lt;/td&gt;&lt;td&gt;座&lt;/td&gt;&lt;td&gt;1&lt;/td&gt;&lt;td&gt;$14,903&lt;/td&gt;&lt;td&gt;$14,903&lt;/td&gt;&lt;td&gt;&lt;/td&gt;&lt;/tr&gt;&lt;tr&gt;&lt;td&gt;8&lt;/td&gt;&lt;td&gt;A&lt;/td&gt;&lt;td&gt;7F&lt;/td&gt;&lt;td&gt;藍天EGU系列-一字型&lt;/td&gt;&lt;td&gt;336&lt;/td&gt;&lt;td&gt;85&lt;/td&gt;&lt;td&gt;100&lt;/td&gt;&lt;td&gt;黑砂+木紋握桿&lt;/td&gt;&lt;td&gt;座&lt;/td&gt;&lt;td&gt;1&lt;/td&gt;&lt;td&gt;$21,622&lt;/td&gt;&lt;td&gt;$21,622&lt;/td&gt;&lt;td&gt;&lt;/td&gt;&lt;/tr&gt;&lt;tr&gt;&lt;td&gt;9&lt;/td&gt;&lt;td&gt;露台&lt;/td&gt;&lt;td&gt;7F&lt;/td&gt;&lt;td&gt;藍天EGU系列-L型&lt;/td&gt;&lt;td&gt;319&lt;/td&gt;&lt;td&gt;110&lt;/td&gt;&lt;td&gt;110&lt;/td&gt;&lt;td&gt;黑砂+木紋握桿&lt;/td&gt;&lt;td&gt;座&lt;/td&gt;&lt;td&gt;1&lt;/td&gt;&lt;td&gt;$26,027&lt;/td&gt;&lt;td&gt;$26,027&lt;/td&gt;&lt;td&gt;&lt;/td&gt;&lt;/tr&gt;&lt;tr&gt;&lt;td&gt;10&lt;/td&gt;&lt;td&gt;/&lt;/td&gt;&lt;td&gt;R1F&lt;/td&gt;&lt;td&gt;藍天EGU系列-L型&lt;/td&gt;&lt;td&gt;347.5&lt;/td&gt;&lt;td&gt;110&lt;/td&gt;&lt;td&gt;110&lt;/td&gt;&lt;td&gt;黑砂+木紋握桿&lt;/td&gt;&lt;td&gt;座&lt;/td&gt;&lt;td&gt;1&lt;/td&gt;&lt;td&gt;$29,512&lt;/td&gt;&lt;td&gt;$29,512&lt;/td&gt;&lt;td&gt;&lt;/td&gt;&lt;/tr&gt;&lt;tr&gt;&lt;td&gt;11&lt;/td&gt;&lt;td&gt;/&lt;/td&gt;&lt;td&gt;R1F&lt;/td&gt;&lt;td&gt;藍天EGU系列-L型&lt;/td&gt;&lt;td&gt;406&lt;/td&gt;&lt;td&gt;110&lt;/td&gt;&lt;td&gt;110&lt;/td&gt;&lt;td&gt;黑砂+木紋握桿&lt;/td&gt;&lt;td&gt;座&lt;/td&gt;&lt;td&gt;1&lt;/td&gt;&lt;td&gt;$32,008&lt;/td&gt;&lt;td&gt;$32,008&lt;/td&gt;&lt;td&gt;&lt;/td&gt;&lt;/tr&gt;&lt;tr&gt;&lt;td&gt;12&lt;/td&gt;&lt;td&gt;/&lt;/td&gt;&lt;td&gt;R1F&lt;/td&gt;&lt;td&gt;藍天EGU系列-一字型&lt;/td&gt;&lt;td&gt;336&lt;/td&gt;&lt;td&gt;110&lt;/td&gt;&lt;td&gt;110&lt;/td&gt;&lt;td&gt;黑砂+木紋握桿&lt;/td&gt;&lt;td&gt;座&lt;/td&gt;&lt;td&gt;1&lt;/td&gt;&lt;td&gt;$23,443&lt;/td&gt;&lt;td&gt;$23,443&lt;/td&gt;&lt;td&gt;&lt;/td&gt;&lt;/tr&gt;&lt;tr&gt;&lt;td colspan="13"&gt;總長度 9571.5 cm 32座 小計 $692,293&lt;/td&gt;&lt;/tr&gt;&lt;/table&gt;
備註：  
10% 議價 \$690,000 $^{-1}$ (未稅)
1) 扶順手模組化不鏽鋼玻璃欄杆已通過抗風試驗15級，品質結構安全值得信賴。
2) 單價：a) 本報價單以台幣現金價計價，未含5%營業稅。
张震云%
b) 本報價單依 "向上建設" 圖面預估計算，共計陽台欄杆32座，含金屬施工及玻璃施工。不含假設工程及二次工程。
黄雪如
c) 本工程總合計，金屬欄杆長度及玻璃尺寸依現場完工座數單價實做實算。尺寸變更 ±5cm 以上重新報價。
10/9
d) 本工程施工時外牆需有鷹架，以確保進行安全施工。
e) 若施工現場無施工電梯，或需使用吊運登高器械吊料或施工，費用放樣後另行報價。
3)付款方式：本報價單可視同正式訂單。訂單確認後，一週內預付訂單總金額 $30\%$ ，訂單始成立。
尾款 70% 現金票於進場施工日起逐月請款當月實作進度款項，並於本欄杆工程完工當月即配合驗收完成尾款支付。
4) 報價單有效期限：2024/11/4
5) 交貨施工日：目前結構中，預估工期114年1月。請預先簽約，我司自行備料，並於實際安裝日(即外飾工程完成日)前三週通知順靖可進場施工。為配合工地現場進度，致使本公司假日派工，需補貼加班費，費用另行報價。
6) 工程施工地點：苗栗縣後龍鎮新東路116號旁
7) 欄杆立柱間距：約1.2米，依現場放樣後確認。
## 扶順手 報價單
順靖企業有限公司
TEL: 04 823 6830 FAX:04 823 6330
E-mail: syab@ms38.hinet.net
報價版次：3
To：向上建設股份有限公司
Attn：蘇怡樺小姐
業務員：張寶云
建案工程：拾壹間8F
Tel : 0975-210366
連絡電話：0980-918285
本工程採用 扶順手藍天EGU系列不鏽鋼陽台欄杆含5+5mm單強化透明膠合玻璃
日期：2024/10/4
備註：
8) 欄杆樣式：
a) 不鏽鋼 SUS#304
b) 鋁合金 #6063
c) 戶外耐候烤漆
d) 玻璃：5+5mm單強化透明膠合玻璃
![](images/80f4aed8912b401ec2aa306afa3c121d59ef41c2cead1478bf4e61874cb07ead.jpg)
客戶確認：張建志 審核：童10
FM-07-05 VER (1)
業務：張寶云 10/4
</x:v>
      </x:c>
    </x:row>
    <x:row r="30">
      <x:c r="A30" s="69" t="str">
        <x:v>SRC027</x:v>
      </x:c>
      <x:c r="B30" s="69" t="str">
        <x:v>原文1</x:v>
      </x:c>
      <x:c r="C30" s="69" t="str">
        <x:v>Markdown</x:v>
      </x:c>
      <x:c r="D30" s="69" t="str">
        <x:v>第1–9行</x:v>
      </x:c>
      <x:c r="E30" s="71" t="str">
        <x:v>## 安翊企業股份有限公司
## (235)台北縣中和市中正路788號4樓
電話:02-3234-0206 傳真:02-3234-0189 E-mail:goodland@ms10.hinet.net
## 報價單
&lt;table&gt;&lt;tr&gt;&lt;td colspan="6"&gt;客戶名稱:向上建設統一編號90057101報價單號:20241009001聯絡地址:苗栗縣竹南鎮康德街71號報價日期:113/10/9連絡人:許志豪0928652985負責業務:何義軒0921-114945電話:03 7775355*985傳真:幣別:NT$有效期限:至圖檔:稅別:外加&lt;/td&gt;&lt;/tr&gt;&lt;tr&gt;&lt;td&gt;產品編號&lt;/td&gt;&lt;td&gt;產品名稱/規格描述&lt;/td&gt;&lt;td&gt;&lt;/td&gt;&lt;td&gt;單位&lt;/td&gt;&lt;td&gt;單價&lt;/td&gt;&lt;td&gt;金額&lt;/td&gt;&lt;/tr&gt;&lt;tr&gt;&lt;td&gt;直線安裝&lt;/td&gt;&lt;td&gt;S-25-烤漆滴水條本體+配件+安裝+791膠一道(下方不&lt;/td&gt;&lt;td&gt;395.00&lt;/td&gt;&lt;td&gt;M&lt;/td&gt;&lt;td&gt;$500&lt;/td&gt;&lt;td&gt;$197,500&lt;/td&gt;&lt;/tr&gt;&lt;tr&gt;&lt;td&gt;&lt;/td&gt;&lt;td&gt;*依實作數量計價,報價為一次施工費用,&lt;/td&gt;&lt;td&gt;&lt;/td&gt;&lt;td&gt;&lt;/td&gt;&lt;td&gt;&lt;/td&gt;&lt;td&gt;&lt;/td&gt;&lt;/tr&gt;&lt;tr&gt;&lt;td&gt;&lt;/td&gt;&lt;td&gt;&lt;/td&gt;&lt;td&gt;&lt;/td&gt;&lt;td&gt;&lt;/td&gt;&lt;td&gt;&lt;/td&gt;&lt;td&gt;&lt;/td&gt;&lt;/tr&gt;&lt;tr&gt;&lt;td colspan="4"&gt;付款條件:訂金30%現金/依施工進度月結支付70%(無保留款,30天內期票)&lt;/td&gt;&lt;td&gt;報價淨額&lt;/td&gt;&lt;td&gt;$197,500&lt;/td&gt;&lt;/tr&gt;&lt;tr&gt;&lt;td colspan="4"&gt;&lt;/td&gt;&lt;td&gt;稅額&lt;/td&gt;&lt;td&gt;$9,875&lt;/td&gt;&lt;/tr&gt;&lt;tr&gt;&lt;td colspan="4"&gt;送貨地址:&lt;/td&gt;&lt;td&gt;總金額&lt;/td&gt;&lt;td&gt;$207,375&lt;/td&gt;&lt;/tr&gt;&lt;tr&gt;&lt;td colspan="6"&gt;備註: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貴公司填寫付款人之銀行相關資料,以供本公司財務部信用徵信,不便之處請見諒,謝謝。支票付款人:支票付款支存帳號:支票付款銀行、分行名:銀行分行電話:&lt;/td&gt;&lt;/tr&gt;&lt;tr&gt;&lt;td colspan="3"&gt;客戶確認:向上建設&lt;/td&gt;&lt;td colspan="3"&gt;公司確認:安翊企業股份有限公司&lt;img src="images/226a2b09b0fce786f6e2430bbb18805f68dd7709e8e930288a5bd3a0fedb701b.jpg"/&gt;&lt;/td&gt;&lt;/tr&gt;&lt;/table&gt;
</x:v>
      </x:c>
    </x:row>
    <x:row r="31">
      <x:c r="A31" s="69" t="str">
        <x:v>SRC028</x:v>
      </x:c>
      <x:c r="B31" s="69" t="str">
        <x:v>原文1</x:v>
      </x:c>
      <x:c r="C31" s="69" t="str">
        <x:v>Markdown</x:v>
      </x:c>
      <x:c r="D31" s="69" t="str">
        <x:v>第1–21行</x:v>
      </x:c>
      <x:c r="E31" s="71" t="str">
        <x:v>翔豐實業股份有限公司
報價單
&lt;table&gt;&lt;tr&gt;&lt;td rowspan="2"&gt;圖號&lt;/td&gt;&lt;td colspan="6"&gt;規格&lt;/td&gt;&lt;td rowspan="2"&gt;色別&lt;/td&gt;&lt;td rowspan="2"&gt;數量&lt;/td&gt;&lt;td rowspan="2"&gt;單樘小計&lt;/td&gt;&lt;td rowspan="2"&gt;複價&lt;/td&gt;&lt;td rowspan="2"&gt;備註&lt;/td&gt;&lt;/tr&gt;&lt;tr&gt;&lt;td&gt;型式&lt;/td&gt;&lt;td&gt;窗型&lt;/td&gt;&lt;td&gt;併列&lt;/td&gt;&lt;td&gt;W(cm)&lt;/td&gt;&lt;td&gt;H1(cm)&lt;/td&gt;&lt;td&gt;H(cm)&lt;/td&gt;&lt;/tr&gt;&lt;tr&gt;&lt;td&gt;D5&lt;/td&gt;&lt;td&gt;D7G00&lt;/td&gt;&lt;td&gt;南亞房間門&lt;/td&gt;&lt;td&gt;-&lt;/td&gt;&lt;td&gt;90&lt;/td&gt;&lt;td&gt;-&lt;/td&gt;&lt;td&gt;210&lt;/td&gt;&lt;td&gt;木紋色#3DF&lt;/td&gt;&lt;td&gt;28&lt;/td&gt;&lt;td&gt;10,054&lt;/td&gt;&lt;td&gt;281,512&lt;/td&gt;&lt;td&gt;87P&lt;/td&gt;&lt;/tr&gt;&lt;tr&gt;&lt;td colspan="7"&gt;小計&lt;/td&gt;&lt;td&gt;&lt;/td&gt;&lt;td&gt;28&lt;/td&gt;&lt;td&gt;&lt;/td&gt;&lt;td&gt;281,512&lt;/td&gt;&lt;td&gt;&lt;/td&gt;&lt;/tr&gt;&lt;tr&gt;&lt;td colspan="12"&gt;報價說明 稅金 14,076一.以上採用南亞SMC慶祥門外框X69F7(16cm)系列產品,顏色詳色別。 總計 295,588&lt;/td&gt;&lt;/tr&gt;&lt;/table&gt;
二、以上價格含本體、按裝(固定片施工)、塞水路(一般型·雙面矽利康)、崁補(水泥及砂田業主提供)，但不含玻璃、清潔及吊車費。
三.南亞房間門五金採用雕花鉸鍊、水平鑽、門止，不含門弓器及特殊五金。
![](images/3085baa56add83d0f66203fa1c4339e7b16d9b92b58eaf5fdb0d3164654d1287.jpg)
五.本報價單有效期限為15天。
地址：苗栗縣頭份鎮田寮里自強路二段477號 TEL：037-636192(代表) FAX：037-636192(代表) 聯絡人：李姿誼 0937-771336
※ 如確定製作，請蓋章後回傳，謝謝！
![](images/05b4bda91b443a186167e2c7b15c3a7d82a9ca3dff7a09c0a0fa135e87926618.jpg)
![](images/8f38beb1bf5898fb73e6ffee4df7a126a66b415257df308a1197d2fb2454d12a.jpg)
</x:v>
      </x:c>
    </x:row>
    <x:row r="32">
      <x:c r="A32" s="69" t="str">
        <x:v>SRC029</x:v>
      </x:c>
      <x:c r="B32" s="69" t="str">
        <x:v>原文1</x:v>
      </x:c>
      <x:c r="C32" s="69" t="str">
        <x:v>Markdown</x:v>
      </x:c>
      <x:c r="D32" s="69" t="str">
        <x:v>第1–37行</x:v>
      </x:c>
      <x:c r="E32" s="71" t="str">
        <x:v>塑豐實業股份有限公司(追加)報價單
ISO號碼：QR-SLD-05V2.0
客戶名稱：35086向上建設股份有限公司 電話：037-775355#366 聯絡人行動：工程名稱：向上建設集合住宅等11戶新建工程(後傳真：報價單號：011310170002
頁次：1/1、V1120526報表：odr204\_47\_3(#47)母
報價日期：0113/10/17
&lt;table&gt;&lt;tr&gt;&lt;td colspan="10"&gt;工程名稱:向上建設集合住宅等11戶新建工程(後傳真: 報價單號:011310170002 颜色:#8195咖啡&lt;/td&gt;&lt;/tr&gt;&lt;tr&gt;&lt;td rowspan="2"&gt;項目&lt;/td&gt;&lt;td rowspan="2"&gt;圖號&lt;/td&gt;&lt;td rowspan="2"&gt;窗型&lt;/td&gt;&lt;td colspan="3"&gt;尺寸&lt;/td&gt;&lt;td rowspan="2"&gt;數量&lt;/td&gt;&lt;td rowspan="2"&gt;小計&lt;/td&gt;&lt;td rowspan="2"&gt;合計&lt;/td&gt;&lt;td rowspan="2"&gt;備註&lt;/td&gt;&lt;/tr&gt;&lt;tr&gt;&lt;td&gt;寬度(mm)&lt;/td&gt;&lt;td&gt;開天(mm)&lt;/td&gt;&lt;td&gt;高度(mm)&lt;/td&gt;&lt;/tr&gt;&lt;tr&gt;&lt;td&gt;1&lt;/td&gt;&lt;td&gt;W01&lt;/td&gt;&lt;td&gt;100/N大同防颱百葉窗&lt;/td&gt;&lt;td&gt;500&lt;/td&gt;&lt;td&gt;&lt;/td&gt;&lt;td&gt;500&lt;/td&gt;&lt;td&gt;4&lt;/td&gt;&lt;td&gt;5,804&lt;/td&gt;&lt;td&gt;23,216&lt;/td&gt;&lt;td&gt;含不銹鋼紗網&lt;/td&gt;&lt;/tr&gt;&lt;tr&gt;&lt;td colspan="10"&gt;各項合計 總樘數: 4 合計: 23,216營業稅: 1,161總計: 24,377&lt;/td&gt;&lt;/tr&gt;&lt;tr&gt;&lt;td colspan="10"&gt;總金額新台幣(NT$):貳萬肆仟參佰柒拾柒元整附一.以上採用大同10cm系列產品,表面處理採粉體咖啡色(8195)系列,若採用其它色系價格另議。註二.以上價格含本體、紗窗、按裝(點焊施工)、塞水路(一般型,雙面矽利康)、崁補(水泥及砂由業主提供並提供至所需樓層),但不含玻璃、清潔及吊車費。三.以上百葉窗為防颱百葉窗含紗窗(編白鐵網),若要更改為活動百葉則價格另議。&lt;/td&gt;&lt;/tr&gt;&lt;/table&gt;
&lt;table&gt;&lt;tr&gt;&lt;td&gt;報價注意事項&lt;/td&gt;&lt;td&gt;1.型式照本公司標準用料製造。
2.一般附屬五金配件、鋁門把手均使用本公司標準規格。
3.鋁紗門窗,一律使用國產特製灰色或黑色太陽紗網。
4.單價與小計、合計不符時,以單價為準。
5.本報價單有效日期15天。
6.本報價單經買方訂購簽認蓋章後視同合約。&lt;/td&gt;&lt;td colspan="2"&gt;一般事項:
1.尺寸、數量及內容有變更時均予以重新計價。
2.訂貨產品開始製造後,發生規格變更或取消訂貨時其損失由客戶負擔。
3.除事前談妥之特殊情況下,下列各物不包括在內:
特殊五金配件:地鉸鏈、踏腳板、門弓器
特殊裝置:搖窗機、氣密裝置、自動門機、拉門鎖。&lt;/td&gt;&lt;td&gt;鋁門窗含安裝配合條款:
1.安裝所需之搭架,電力及固定使用之水泥砂漿等,須由買方負責供應。
2.建築物水平及中心線,應請客戶現場標明。&lt;/td&gt;&lt;/tr&gt;&lt;tr&gt;&lt;td&gt;買方訂購簽認&lt;/td&gt;&lt;td colspan="2"&gt;公司名稱:向上建設股份有限公司
負責人: 簽章:
統一編號:
住址:350苗栗縣竹南鎮康德街71號
電話: 傳真:&lt;/td&gt;&lt;td&gt;承包廠商&lt;/td&gt;&lt;td&gt;公司名稱:塑豐實業股份有限公司
統一編號:22665579
住址:苗栗縣頭份市自強路二段477號
電話:(037)636192 傳真:(037)626860
業務:李姿誼 0937-771336 &lt;img src="images/45e0247588a165ca9c2ab18d77546e86daa696f2f01532facfbd5a8d23f64049.jpg"/&gt;&lt;/td&gt;&lt;/tr&gt;&lt;/table&gt;
![](images/046264000151cf8fe9c40be7ec84d3d7914a8d08a00b2a24e8e70a097e3574a0.jpg)
※如確定製作，請蓋章後回傳，謝謝
</x:v>
      </x:c>
    </x:row>
    <x:row r="33">
      <x:c r="A33" s="69" t="str">
        <x:v>SRC030</x:v>
      </x:c>
      <x:c r="B33" s="69" t="str">
        <x:v>原文1</x:v>
      </x:c>
      <x:c r="C33" s="69" t="str">
        <x:v>Markdown</x:v>
      </x:c>
      <x:c r="D33" s="69" t="str">
        <x:v>第1–30行</x:v>
      </x:c>
      <x:c r="E33" s="71" t="str">
        <x:v>鋁格柵—報價單
客戶名稱：向上建設0928652985許經理
日期：113.11.26
工程名稱：向上建設集合住宅等11戶新建工程
電話：037-775355\*985傳真：
&lt;table&gt;&lt;tr&gt;&lt;td rowspan="2"&gt;項次&lt;/td&gt;&lt;td colspan="3"&gt;規格&lt;/td&gt;&lt;td rowspan="2"&gt;色別&lt;/td&gt;&lt;td rowspan="2"&gt;樘數&lt;/td&gt;&lt;td rowspan="2"&gt;單樘小計&lt;/td&gt;&lt;td rowspan="2"&gt;複價&lt;/td&gt;&lt;td rowspan="2"&gt;備註&lt;/td&gt;&lt;/tr&gt;&lt;tr&gt;&lt;td&gt;品名&lt;/td&gt;&lt;td&gt;W(cm)&lt;/td&gt;&lt;td&gt;H(cm)&lt;/td&gt;&lt;/tr&gt;&lt;tr&gt;&lt;td&gt;1&lt;/td&gt;&lt;td&gt;右側鋁格柵&lt;/td&gt;&lt;td&gt;206.6&lt;/td&gt;&lt;td&gt;2040&lt;/td&gt;&lt;td&gt;粉體塗裝(待決)&lt;/td&gt;&lt;td&gt;1&lt;/td&gt;&lt;td&gt;335,112&lt;/td&gt;&lt;td&gt;335,112&lt;/td&gt;&lt;td&gt;&lt;/td&gt;&lt;/tr&gt;&lt;tr&gt;&lt;td&gt;2&lt;/td&gt;&lt;td&gt;右側鋁格柵&lt;/td&gt;&lt;td&gt;105.2&lt;/td&gt;&lt;td&gt;2040&lt;/td&gt;&lt;td&gt;粉體塗裝(待決)&lt;/td&gt;&lt;td&gt;1&lt;/td&gt;&lt;td&gt;175,036&lt;/td&gt;&lt;td&gt;175,036&lt;/td&gt;&lt;td&gt;&lt;/td&gt;&lt;/tr&gt;&lt;tr&gt;&lt;td&gt;3&lt;/td&gt;&lt;td&gt;背向鋁格柵&lt;/td&gt;&lt;td&gt;351&lt;/td&gt;&lt;td&gt;140&lt;/td&gt;&lt;td&gt;粉體塗裝(待決)&lt;/td&gt;&lt;td&gt;1&lt;/td&gt;&lt;td&gt;39,811&lt;/td&gt;&lt;td&gt;39,811&lt;/td&gt;&lt;td&gt;&lt;/td&gt;&lt;/tr&gt;&lt;tr&gt;&lt;td&gt;4&lt;/td&gt;&lt;td&gt;背向鋁格柵&lt;/td&gt;&lt;td&gt;351&lt;/td&gt;&lt;td&gt;150&lt;/td&gt;&lt;td&gt;粉體塗裝(待決)&lt;/td&gt;&lt;td&gt;1&lt;/td&gt;&lt;td&gt;42,628&lt;/td&gt;&lt;td&gt;42,628&lt;/td&gt;&lt;td&gt;&lt;/td&gt;&lt;/tr&gt;&lt;tr&gt;&lt;td&gt;5&lt;/td&gt;&lt;td&gt;左側鋁格柵&lt;/td&gt;&lt;td&gt;105.2&lt;/td&gt;&lt;td&gt;2040&lt;/td&gt;&lt;td&gt;粉體塗裝(待決)&lt;/td&gt;&lt;td&gt;2&lt;/td&gt;&lt;td&gt;186,839&lt;/td&gt;&lt;td&gt;373,678&lt;/td&gt;&lt;td&gt;&lt;/td&gt;&lt;/tr&gt;&lt;tr&gt;&lt;td&gt;6&lt;/td&gt;&lt;td&gt;左側鋁格柵&lt;/td&gt;&lt;td&gt;510&lt;/td&gt;&lt;td&gt;140&lt;/td&gt;&lt;td&gt;粉體塗裝(待決)&lt;/td&gt;&lt;td&gt;1&lt;/td&gt;&lt;td&gt;57,309&lt;/td&gt;&lt;td&gt;57,309&lt;/td&gt;&lt;td&gt;&lt;/td&gt;&lt;/tr&gt;&lt;tr&gt;&lt;td&gt;7&lt;/td&gt;&lt;td&gt;左側鋁格柵&lt;/td&gt;&lt;td&gt;510&lt;/td&gt;&lt;td&gt;150&lt;/td&gt;&lt;td&gt;粉體塗裝(待決)&lt;/td&gt;&lt;td&gt;1&lt;/td&gt;&lt;td&gt;62,140&lt;/td&gt;&lt;td&gt;62,140&lt;/td&gt;&lt;td&gt;&lt;/td&gt;&lt;/tr&gt;&lt;tr&gt;&lt;td&gt;8&lt;/td&gt;&lt;td&gt;右側鋁格柵&lt;/td&gt;&lt;td&gt;510&lt;/td&gt;&lt;td&gt;150&lt;/td&gt;&lt;td&gt;粉體塗裝(待決)&lt;/td&gt;&lt;td&gt;1&lt;/td&gt;&lt;td&gt;62,140&lt;/td&gt;&lt;td&gt;62,140&lt;/td&gt;&lt;td&gt;&lt;/td&gt;&lt;/tr&gt;&lt;tr&gt;&lt;td&gt;&lt;/td&gt;&lt;td colspan="2"&gt;以下空白&lt;/td&gt;&lt;td&gt;&lt;/td&gt;&lt;td&gt;&lt;/td&gt;&lt;td&gt;&lt;/td&gt;&lt;td&gt;-&lt;/td&gt;&lt;td&gt;-&lt;/td&gt;&lt;td&gt;&lt;/td&gt;&lt;/tr&gt;&lt;tr&gt;&lt;td colspan="4"&gt;小計&lt;/td&gt;&lt;td&gt;&lt;/td&gt;&lt;td&gt;9&lt;/td&gt;&lt;td&gt;&lt;/td&gt;&lt;td&gt;1,147,854&lt;/td&gt;&lt;td&gt;&lt;/td&gt;&lt;/tr&gt;&lt;/table&gt;
1. 表面處理採一般粉體塗裝。
2. 鋁格柵(探5\*15公分、背檔(探5\*5公分)價格含標準五金、按裝但不含玻璃、塞水路、崁補。
4. 型式,尺寸依圖面估價,如有出入應重新計價,數量依現場實際製造實做實算。
5 因國際鋁錠及原物料價格不斷持續上漲影響，報價會隨價格波動異動調整，若有造成不便
6. 報價單有效日:15天。
税金 57,393
地址：苗栗縣頭份鎮田寨里自強路二段477號 TEL：037-636192(代表) FAX 聯絡人：業務李姿誼0937-771-336
有限公司股份有限公司
※如確定製作，請蓋章後回傳，謝謝！
![](images/86601864f467e1d62c0f007739e4c30a66d48bfe4a2e7a923a854563516bce7d.jpg)
(工務經理)顧志豪0937-771-332
</x:v>
      </x:c>
    </x:row>
    <x:row r="34">
      <x:c r="A34" s="69" t="str">
        <x:v>SRC031</x:v>
      </x:c>
      <x:c r="B34" s="69" t="str">
        <x:v>原文1</x:v>
      </x:c>
      <x:c r="C34" s="69" t="str">
        <x:v>Markdown</x:v>
      </x:c>
      <x:c r="D34" s="69" t="str">
        <x:v>第1–17行</x:v>
      </x:c>
      <x:c r="E34" s="71" t="str">
        <x:v>聯絡人：李姿誼(業務) 手機：0937-771336地址：苗栗縣頭份市自強路二段477號 電話：(037)636-192(代表) 傳真：(037)626-860
![](images/768e6f6e2c6362335a0bc3f3e260b434988c4c4287bfaba3179add0cfa0896b6.jpg)
![](images/2d3215dc3ab947663c1a6f94f972f07066923a0d89d7aed21c9348c6c5e98aa6.jpg)
電話：037-775355#366 傳真：
&lt;table&gt;&lt;tr&gt;&lt;td rowspan="2"&gt;圖號&lt;/td&gt;&lt;td colspan="5"&gt;規格&lt;/td&gt;&lt;td rowspan="2"&gt;數量&lt;/td&gt;&lt;td rowspan="2"&gt;單位&lt;/td&gt;&lt;td rowspan="2"&gt;單價&lt;/td&gt;&lt;td rowspan="2"&gt;複價&lt;/td&gt;&lt;td rowspan="2"&gt;備註&lt;/td&gt;&lt;/tr&gt;&lt;tr&gt;&lt;td&gt;型式&lt;/td&gt;&lt;td&gt;W(cm)&lt;/td&gt;&lt;td&gt;H1(cm)&lt;/td&gt;&lt;td&gt;H(cm)&lt;/td&gt;&lt;td&gt;色別&lt;/td&gt;&lt;/tr&gt;&lt;tr&gt;&lt;td&gt;D01&lt;/td&gt;&lt;td&gt;鍍鋅烤漆10cm框-含HL門檻鍍鋅烤漆鋼製流蘇壓花防盜門 EC-013&lt;/td&gt;&lt;td&gt;120&lt;/td&gt;&lt;td&gt;&lt;/td&gt;&lt;td&gt;210&lt;/td&gt;&lt;td&gt;粉體烤漆#5 砂面鐵灰&lt;/td&gt;&lt;td&gt;2&lt;/td&gt;&lt;td&gt;樘&lt;/td&gt;&lt;td&gt;37,619&lt;/td&gt;&lt;td&gt;75,238&lt;/td&gt;&lt;td&gt;含東鐵 POWER 570B 60CM 不銹鋼亮面把手、東鐵 POWER 185 門弓器、旗型鉸鍊、門檔&lt;/td&gt;&lt;/tr&gt;&lt;tr&gt;&lt;td&gt;&lt;/td&gt;&lt;td&gt;以下空白&lt;/td&gt;&lt;td&gt;&lt;/td&gt;&lt;td&gt;&lt;/td&gt;&lt;td&gt;&lt;/td&gt;&lt;td&gt;&lt;/td&gt;&lt;td&gt;&lt;/td&gt;&lt;td&gt;&lt;/td&gt;&lt;td&gt;-&lt;/td&gt;&lt;td&gt;-&lt;/td&gt;&lt;td&gt;&lt;/td&gt;&lt;/tr&gt;&lt;tr&gt;&lt;td colspan="5"&gt;小計&lt;/td&gt;&lt;td&gt;&lt;/td&gt;&lt;td&gt;2&lt;/td&gt;&lt;td&gt;&lt;/td&gt;&lt;td&gt;&lt;/td&gt;&lt;td&gt;75,238&lt;/td&gt;&lt;td&gt;&lt;/td&gt;&lt;/tr&gt;&lt;/table&gt;
日期：113.12.11
工程名稱：向上建設集合住宅等11戶新建工程(後龍鎮龍富段614地號)—鋼板門—
(續更)報價單客戶名稱：向上建設股份有限公司
塑豐實業股份有限公司
</x:v>
      </x:c>
    </x:row>
    <x:row r="35">
      <x:c r="A35" s="69" t="str">
        <x:v>SRC032</x:v>
      </x:c>
      <x:c r="B35" s="69" t="str">
        <x:v>20250212 智慧城植草磚、透水磚.md#chunk-1</x:v>
      </x:c>
      <x:c r="C35" s="69" t="str">
        <x:v>Markdown</x:v>
      </x:c>
      <x:c r="D35" s="69" t="str">
        <x:v>0–2089</x:v>
      </x:c>
      <x:c r="E35" s="71" t="str">
        <x:v>FAX:
电话：037-727182：037-722837 行动电话：0919-279180
公司地址：苗栗縣後龍鎮校椅里連寶路345號（苗栗往連橋新蓮寺前）
## 智慧城企業有限公司
報價單
客戶名稱：向上建設股份有限公司
114/2/12
&lt;table&gt;&lt;tr&gt;&lt;td colspan="2"&gt;手機:蘇小姐0975-210366&lt;/td&gt;&lt;td&gt;V&lt;/td&gt;&lt;td colspan="3"&gt;地點:後龍鎮新東路116號旁&lt;/td&gt;&lt;/tr&gt;&lt;tr&gt;&lt;td&gt;規格名稱&lt;/td&gt;&lt;td&gt;數量&lt;/td&gt;&lt;td&gt;單位&lt;/td&gt;&lt;td&gt;單價&lt;/td&gt;&lt;td&gt;金額&lt;/td&gt;&lt;td&gt;備註&lt;/td&gt;&lt;/tr&gt;&lt;tr&gt;&lt;td&gt;雙八植草磚&lt;/td&gt;&lt;td&gt;62.63&lt;/td&gt;&lt;td&gt;m2&lt;/td&gt;&lt;td&gt;550&lt;/td&gt;&lt;td&gt;34,447&lt;/td&gt;&lt;td&gt;此為業主提共數量尺寸:24*24*8CM&lt;/td&gt;&lt;/tr&gt;&lt;tr&gt;&lt;td&gt;336透水磚(本色)&lt;/td&gt;&lt;td&gt;8.44&lt;/td&gt;&lt;td&gt;m2&lt;/td&gt;&lt;td&gt;560&lt;/td&gt;&lt;td&gt;4,726&lt;/td&gt;&lt;td&gt;此為業主提共數量尺寸:30*30*6CM&lt;/td&gt;&lt;/tr&gt;&lt;tr&gt;&lt;td&gt;15噸運費&lt;/td&gt;&lt;td&gt;1.00&lt;/td&gt;&lt;td&gt;越&lt;/td&gt;&lt;td&gt;2500&lt;/td&gt;&lt;td&gt;2,500&lt;/td&gt;&lt;td&gt;以越計價&lt;/td&gt;&lt;/tr&gt;&lt;tr&gt;&lt;td&gt;雙八植草磚工資(不含覆土植草)&lt;/td&gt;&lt;td&gt;62.63&lt;/td&gt;&lt;td&gt;m2&lt;/td&gt;&lt;td&gt;200&lt;/td&gt;&lt;td&gt;12,526&lt;/td&gt;&lt;td&gt;此為軟鋪.硬鋪另計(實做實算)&lt;/td&gt;&lt;/tr&gt;&lt;tr&gt;&lt;td&gt;透水磚工資&lt;/td&gt;&lt;td&gt;8.44&lt;/td&gt;&lt;td&gt;m2&lt;/td&gt;&lt;td&gt;300&lt;/td&gt;&lt;td&gt;2,532&lt;/td&gt;&lt;td&gt;此為軟鋪.硬鋪另計(實做實算)&lt;/td&gt;&lt;/tr&gt;&lt;tr&gt;&lt;td&gt;稅金&lt;/td&gt;&lt;td&gt;1.00&lt;/td&gt;&lt;td&gt;式&lt;/td&gt;&lt;td&gt;&lt;/td&gt;&lt;td&gt;2,837&lt;/td&gt;&lt;td&gt;5%&lt;/td&gt;&lt;/tr&gt;&lt;tr&gt;&lt;td&gt;&lt;/td&gt;&lt;td&gt;&lt;/td&gt;&lt;td colspan="2"&gt;初估總計:&lt;/td&gt;&lt;td&gt;(59,568)&lt;/td&gt;&lt;td&gt;◎以上地磚施工為軟鋪.不含水泥.不含碎石及砂,數量金額皆為初估.依實際施工完畢後數量為準。&lt;/td&gt;&lt;/tr&gt;&lt;tr&gt;&lt;td colspan="6"&gt;*此報價單以7天期限內有效,如超過期限請重新報價.造成不便敬請見諒.謝謝。&lt;/td&gt;&lt;/tr&gt;&lt;tr&gt;&lt;td colspan="6"&gt;*以上報價稅金外加。&lt;/td&gt;&lt;/tr&gt;&lt;tr&gt;&lt;td colspan="6"&gt;*以上報價不含整地不含清運及跑土。&lt;/td&gt;&lt;/tr&gt;&lt;tr&gt;&lt;td colspan="6"&gt;*以上報價不含碎石.砂.水泥,施工用水電由現場無價供應。&lt;/td&gt;&lt;/tr&gt;&lt;tr&gt;&lt;td colspan="6"&gt;*以上報價,此為軟鋪(硬鋪需另計),機切.油壓切需另計。&lt;/td&gt;&lt;/tr&gt;&lt;tr&gt;&lt;td colspan="6"&gt;*以上報價以15噸吊卡可到可車旁下貨為準,否則增加之運金由業主自行吸收,二次搬運費用不包含在報價內!敬請知悉!謝謝。&lt;/td&gt;&lt;/tr&gt;&lt;tr&gt;&lt;td colspan="6"&gt;*確認訂購需提早7-10日前預約(不含例假日).以便出貨事宜.若遇庫存數不足時另電洽告知工期.不便之處敬請見諒。&lt;/td&gt;&lt;/tr&gt;&lt;tr&gt;&lt;td colspan="6"&gt;*確認訂購需收訂金50%.以便備貨事宜。&lt;/td&gt;&lt;/tr&gt;&lt;tr&gt;&lt;td colspan="6"&gt;*若施工上有困難度時應酌情貼補工資.敬請知悉!&lt;/td&gt;&lt;/tr&gt;&lt;tr&gt;&lt;td colspan="6"&gt;*若遇庫存數不足時.另電洽告知工期。&lt;/td&gt;&lt;/tr&gt;&lt;tr&gt;&lt;td colspan="6"&gt;*以上報價為業主提供初估數量.實際數量以施作完畢後實做實量實算.如需補磚請自行派車自本公司自運.植草磚.透水磚不退貨不回收.敬請知悉。&lt;/td&gt;&lt;/tr&gt;&lt;tr&gt;&lt;td colspan="6"&gt;***貨品皆以本公司規範為準***☆貨品售出概不退換貨!敬請知悉!!!***勿扣保留款&lt;/td&gt;&lt;/tr&gt;&lt;tr&gt;&lt;td colspan="6"&gt;付款方式: ★★現金交易★★訂金50%.尾款50%施作完畢後尾款3日內現金貨匯款結帳完成.謝謝!(現金不折扣)請全額支付,零保留。&lt;/td&gt;&lt;/tr&gt;&lt;tr&gt;&lt;td colspan="6"&gt;備註:請確認無誤後簽章回傳.方可盡快為貴公司安排出貨事宜.謝謝。&lt;/td&gt;&lt;/tr&gt;&lt;tr&gt;&lt;td&gt;智慧城企業有限公司負責人:陳明駿&lt;/td&gt;&lt;td&gt;限企智公業慧司有城&lt;/td&gt;&lt;td&gt;明陳&lt;/td&gt;&lt;td colspan="3"&gt;有設向限股上公份建建洪豪六&lt;/td&gt;&lt;/tr&gt;&lt;/table&gt;
FAX:037-730471  
\*請確認後簽名或蓋章回傳"謝謝"(簽名或蓋章回傳後皆視同合約書)
</x:v>
      </x:c>
    </x:row>
    <x:row r="36">
      <x:c r="A36" s="69" t="str">
        <x:v>SRC033</x:v>
      </x:c>
      <x:c r="B36" s="69" t="str">
        <x:v>20250220 塑豐 格柵 追加.md#chunk-1</x:v>
      </x:c>
      <x:c r="C36" s="69" t="str">
        <x:v>Markdown</x:v>
      </x:c>
      <x:c r="D36" s="69" t="str">
        <x:v>0–1129</x:v>
      </x:c>
      <x:c r="E36" s="71" t="str">
        <x:v>![](images/1d986d543b6f26cc68bfec6e1de7dcd9b7775b8170a4108e7761e5071a0cd678.jpg)
※如確定製作，請蓋章後回傳，謝謝！
4.型式,尺寸依圖面估價,如有出入應重新計價,數量依現場實際製造實做實算。
5因國際鋁錠及原物料價格不斷持續上漲影響，報價會隨價格波動異動調整，若有造成不便，敬請多加包涵
6.報價單有效日:15天。
1. 表面處理採一般粉體塗裝(奶茶色)。
2. 鋁格柵(採5\*15公分、背檔(採5\*5公分)價格含標準五金、按裝但不含玻璃、塞水路、崁補。)
3. 依現況如靈吊車由業主提供。
&lt;table&gt;&lt;tr&gt;&lt;td rowspan="2"&gt;項次&lt;/td&gt;&lt;td colspan="3"&gt;規格&lt;/td&gt;&lt;td rowspan="2"&gt;色別&lt;/td&gt;&lt;td rowspan="2"&gt;樘數&lt;/td&gt;&lt;td rowspan="2"&gt;數量合計(單位m2)&lt;/td&gt;&lt;td rowspan="2"&gt;單樘小計&lt;/td&gt;&lt;td rowspan="2"&gt;複價&lt;/td&gt;&lt;td rowspan="2"&gt;備註&lt;/td&gt;&lt;/tr&gt;&lt;tr&gt;&lt;td&gt;品名&lt;/td&gt;&lt;td&gt;W(cm)&lt;/td&gt;&lt;td&gt;H(cm)&lt;/td&gt;&lt;/tr&gt;&lt;tr&gt;&lt;td&gt;1&lt;/td&gt;&lt;td&gt;鋁格柵&lt;/td&gt;&lt;td&gt;211&lt;/td&gt;&lt;td&gt;130&lt;/td&gt;&lt;td&gt;粉體塗裝(待決)&lt;/td&gt;&lt;td&gt;1&lt;/td&gt;&lt;td&gt;2.743&lt;/td&gt;&lt;td&gt;28,009&lt;/td&gt;&lt;td&gt;28,009&lt;/td&gt;&lt;td&gt;&lt;/td&gt;&lt;/tr&gt;&lt;tr&gt;&lt;td&gt;2&lt;/td&gt;&lt;td&gt;鋁格柵&lt;/td&gt;&lt;td&gt;239&lt;/td&gt;&lt;td&gt;130&lt;/td&gt;&lt;td&gt;粉體塗裝(待決)&lt;/td&gt;&lt;td&gt;1&lt;/td&gt;&lt;td&gt;3.107&lt;/td&gt;&lt;td&gt;32,909&lt;/td&gt;&lt;td&gt;32,909&lt;/td&gt;&lt;td&gt;&lt;/td&gt;&lt;/tr&gt;&lt;tr&gt;&lt;td&gt;&lt;/td&gt;&lt;td colspan="2"&gt;以下空白&lt;/td&gt;&lt;td&gt;&lt;/td&gt;&lt;td&gt;&lt;/td&gt;&lt;td&gt;&lt;/td&gt;&lt;td&gt;&lt;/td&gt;&lt;td&gt;-&lt;/td&gt;&lt;td&gt;-&lt;/td&gt;&lt;td&gt;&lt;/td&gt;&lt;/tr&gt;&lt;tr&gt;&lt;td colspan="4"&gt;小計&lt;/td&gt;&lt;td&gt;&lt;/td&gt;&lt;td&gt;2&lt;/td&gt;&lt;td&gt;0&lt;/td&gt;&lt;td&gt;&lt;/td&gt;&lt;td&gt;60,918&lt;/td&gt;&lt;td&gt;&lt;/td&gt;&lt;/tr&gt;&lt;/table&gt;
報價說明
電話：037-775355\*985傳真：
日期：114.02.20
工程名稱：向上建設集合住宅等11戶新建工程
## 鋁格柵一追加報價單
客戶名稱：向上建設股份有限公司
</x:v>
      </x:c>
    </x:row>
    <x:row r="37">
      <x:c r="A37" s="69" t="str">
        <x:v>SRC034</x:v>
      </x:c>
      <x:c r="B37" s="69" t="str">
        <x:v>20250220 裕苗表內管報價.md#chunk-1</x:v>
      </x:c>
      <x:c r="C37" s="69" t="str">
        <x:v>Markdown</x:v>
      </x:c>
      <x:c r="D37" s="69" t="str">
        <x:v>0–2898</x:v>
      </x:c>
      <x:c r="E37" s="71" t="str">
        <x:v>裕苗天然氣股份有限公司
用戶天然氣裝置工程費報價單
&lt;table&gt;&lt;tr&gt;&lt;td colspan="2"&gt;申請單編號&lt;/td&gt;&lt;td colspan="7"&gt;051130070-051130080 共11户13&lt;/td&gt;&lt;td colspan="2"&gt;用戶編號&lt;/td&gt;&lt;td colspan="2"&gt;&lt;/td&gt;&lt;/tr&gt;&lt;tr&gt;&lt;td colspan="2"&gt;申請人&lt;/td&gt;&lt;td colspan="4"&gt;向上建設有限公司&lt;/td&gt;&lt;td colspan="3"&gt;聯絡電話&lt;/td&gt;&lt;td colspan="4"&gt;037-775355&lt;/td&gt;&lt;/tr&gt;&lt;tr&gt;&lt;td colspan="2"&gt;裝置地址&lt;/td&gt;&lt;td colspan="11"&gt;後龍鎮新東路&lt;/td&gt;&lt;/tr&gt;&lt;tr&gt;&lt;td colspan="2"&gt;連絡人&lt;/td&gt;&lt;td colspan="2"&gt;&lt;/td&gt;&lt;td colspan="2"&gt;聯絡地址&lt;/td&gt;&lt;td colspan="7"&gt;&lt;/td&gt;&lt;/tr&gt;&lt;tr&gt;&lt;td colspan="2"&gt;住屋狀況&lt;/td&gt;&lt;td colspan="2"&gt;&lt;/td&gt;&lt;td colspan="2"&gt;本支管狀況&lt;/td&gt;&lt;td colspan="3"&gt;&lt;/td&gt;&lt;td colspan="2"&gt;接氣位&lt;/td&gt;&lt;td colspan="2"&gt;mm&lt;/td&gt;&lt;/tr&gt;&lt;tr&gt;&lt;td colspan="2"&gt;設計容量&lt;/td&gt;&lt;td colspan="7"&gt;單戶立方公尺/小時&lt;/td&gt;&lt;td colspan="2"&gt;補密&lt;/td&gt;&lt;td colspan="2"&gt;&lt;/td&gt;&lt;/tr&gt;&lt;tr&gt;&lt;td colspan="2"&gt;牆地修復&lt;/td&gt;&lt;td colspan="2"&gt;&lt;/td&gt;&lt;td colspan="3"&gt;共用管用戶編號&lt;/td&gt;&lt;td colspan="6"&gt;- ( )&lt;/td&gt;&lt;/tr&gt;&lt;tr&gt;&lt;td&gt;備註&lt;/td&gt;&lt;td colspan="12"&gt;※請詳閱報價單各項內容同意後簽章。 用户簽章:&lt;/td&gt;&lt;/tr&gt;&lt;tr&gt;&lt;td colspan="3"&gt;項目&lt;/td&gt;&lt;td colspan="2"&gt;材料費&lt;/td&gt;&lt;td colspan="2"&gt;工資&lt;/td&gt;&lt;td colspan="2"&gt;其他費用&lt;/td&gt;&lt;td colspan="3"&gt;政府規費 $^{註1}$ &lt;/td&gt;&lt;td&gt;合計&lt;/td&gt;&lt;/tr&gt;&lt;tr&gt;&lt;td colspan="3"&gt;表內管&lt;/td&gt;&lt;td colspan="2"&gt;120,654&lt;/td&gt;&lt;td colspan="2"&gt;196,208&lt;/td&gt;&lt;td colspan="2"&gt;60,203&lt;/td&gt;&lt;td colspan="3"&gt;&lt;/td&gt;&lt;td&gt;377,065&lt;/td&gt;&lt;/tr&gt;&lt;tr&gt;&lt;td colspan="3"&gt;表外管&lt;/td&gt;&lt;td colspan="2"&gt;0&lt;/td&gt;&lt;td colspan="2"&gt;0&lt;/td&gt;&lt;td colspan="2"&gt;0&lt;/td&gt;&lt;td colspan="3"&gt;0&lt;/td&gt;&lt;td&gt;0&lt;/td&gt;&lt;/tr&gt;&lt;tr&gt;&lt;td colspan="3"&gt;本支管費用 $^{註2}$ &lt;/td&gt;&lt;td colspan="9"&gt;&lt;/td&gt;&lt;td&gt;0&lt;/td&gt;&lt;/tr&gt;&lt;tr&gt;&lt;td rowspan="3"&gt;其他項目註3註4&lt;/td&gt;&lt;td colspan="2"&gt;&lt;/td&gt;&lt;td colspan="2"&gt;&lt;/td&gt;&lt;td colspan="2"&gt;&lt;/td&gt;&lt;td colspan="2"&gt;&lt;/td&gt;&lt;td rowspan="3" colspan="2"&gt;&lt;/td&gt;&lt;td rowspan="3" colspan="2"&gt;&lt;/td&gt;&lt;/tr&gt;&lt;tr&gt;&lt;td colspan="2"&gt;&lt;/td&gt;&lt;td colspan="2"&gt;&lt;/td&gt;&lt;td colspan="2"&gt;&lt;/td&gt;&lt;td colspan="2"&gt;&lt;/td&gt;&lt;/tr&gt;&lt;tr&gt;&lt;td colspan="2"&gt;&lt;/td&gt;&lt;td colspan="2"&gt;&lt;/td&gt;&lt;td colspan="2"&gt;&lt;/td&gt;&lt;td colspan="2"&gt;&lt;/td&gt;&lt;/tr&gt;&lt;tr&gt;&lt;td colspan="12"&gt;營業稅&lt;/td&gt;&lt;td&gt;18,855&lt;/td&gt;&lt;/tr&gt;&lt;tr&gt;&lt;td colspan="12"&gt;總計&lt;/td&gt;&lt;td&gt;395,920&lt;/td&gt;&lt;/tr&gt;&lt;tr&gt;&lt;td rowspan="2" colspan="2"&gt;瓦斯表/基本費(每月)&lt;/td&gt;&lt;td rowspan="2"&gt;數量&lt;/td&gt;&lt;td colspan="5"&gt;瓦斯費保證金&lt;/td&gt;&lt;td colspan="5"&gt;裝表通氣費&lt;/td&gt;&lt;/tr&gt;&lt;tr&gt;&lt;td colspan="2"&gt;單價&lt;/td&gt;&lt;td colspan="3"&gt;合計&lt;/td&gt;&lt;td colspan="3"&gt;單價&lt;/td&gt;&lt;td colspan="2"&gt;合計&lt;/td&gt;&lt;/tr&gt;&lt;tr&gt;&lt;td colspan="2"&gt;4燈微電腦表/100&lt;/td&gt;&lt;td&gt;11&lt;/td&gt;&lt;td colspan="2"&gt;&lt;/td&gt;&lt;td colspan="3"&gt;&lt;/td&gt;&lt;td colspan="3"&gt;&lt;/td&gt;&lt;td colspan="2"&gt;&lt;/td&gt;&lt;/tr&gt;&lt;tr&gt;&lt;td colspan="2"&gt;&lt;/td&gt;&lt;td&gt;&lt;/td&gt;&lt;td colspan="2"&gt;&lt;/td&gt;&lt;td colspan="3"&gt;&lt;/td&gt;&lt;td colspan="2"&gt;&lt;/td&gt;&lt;td colspan="3"&gt;&lt;img src="images/86b7bcce43b74adc8b0036b1db7fd3673427bc1e5e59a3d93e6e495fa59f3b29.jpg"/&gt;&lt;/td&gt;&lt;/tr&gt;&lt;tr&gt;&lt;td colspan="13"&gt;以上各項設計如蒙同意,請即惠予繳納。 本報價單有效時間至114年03月11日&lt;/td&gt;&lt;/tr&gt;&lt;tr&gt;&lt;td colspan="2"&gt;推廣&lt;/td&gt;&lt;td colspan="3"&gt;設計&lt;/td&gt;&lt;td colspan="4"&gt;審核&lt;/td&gt;&lt;td colspan="4"&gt;總經理&lt;/td&gt;&lt;/tr&gt;&lt;tr&gt;&lt;td colspan="2"&gt;業務部張俊樑經理張俊樑&lt;/td&gt;&lt;td colspan="3"&gt;119.2&lt;/td&gt;&lt;td colspan="4"&gt;陳宇信&lt;/td&gt;&lt;td colspan="4"&gt;總經理&lt;/td&gt;&lt;/tr&gt;&lt;/table&gt;
註1：依政府規定或公告之收費標準收取，且不得加計營業稅。另應於管線竣工後檢附足以證明收費金額之相關佐證資料供用戶存查。  
註2：如有收取本支管費用，應交付附件一之一至一之三予用戶簽認。  
註3：如有收取緊急遮斷設備或微電腦瓦斯表通訊設備，請於報價單中獨立列項。  
註4：天然氣供應壓力為250毫米水柱以下之民生用戶均不得收取減壓相關設備。
</x:v>
      </x:c>
    </x:row>
    <x:row r="38">
      <x:c r="A38" s="69" t="str">
        <x:v>SRC035</x:v>
      </x:c>
      <x:c r="B38" s="69" t="str">
        <x:v>20250506 楠弘柏加 _廚房Grohe伸縮龍頭_.md#chunk-1</x:v>
      </x:c>
      <x:c r="C38" s="69" t="str">
        <x:v>Markdown</x:v>
      </x:c>
      <x:c r="D38" s="69" t="str">
        <x:v>0–1189</x:v>
      </x:c>
      <x:c r="E38" s="71" t="str">
        <x:v>## 柏加企業股份有限公司
## 報價單
地址：新竹縣竹北市文興路二段33號
電話：+886 3 6578137 傳真：+886 3 6578637
頁次：1/1
&lt;table&gt;&lt;tr&gt;&lt;td colspan="4"&gt;客戶名稱: DA113019 向上建設-拾壹間&lt;/td&gt;&lt;td colspan="3"&gt;報價日期: 25/05/06&lt;/td&gt;&lt;/tr&gt;&lt;tr&gt;&lt;td colspan="4"&gt;地 址: 苗栗縣後龍&lt;/td&gt;&lt;td colspan="3"&gt;報價單號: S101-250506002&lt;/td&gt;&lt;/tr&gt;&lt;tr&gt;&lt;td colspan="4"&gt;電 話:&lt;/td&gt;&lt;td colspan="3"&gt;幣 别: NTD&lt;/td&gt;&lt;/tr&gt;&lt;tr&gt;&lt;td colspan="4"&gt;聯絡人:&lt;/td&gt;&lt;td colspan="3"&gt;稅別/稅率/含稅否: S004 / 5.00 / N&lt;/td&gt;&lt;/tr&gt;&lt;tr&gt;&lt;td colspan="4"&gt;備 註:&lt;/td&gt;&lt;td colspan="3"&gt;業務員: DC4009 黃乙真&lt;/td&gt;&lt;/tr&gt;&lt;tr&gt;&lt;td&gt;項次&lt;/td&gt;&lt;td&gt;料號品名/規格&lt;/td&gt;&lt;td&gt;數量 單位&lt;/td&gt;&lt;td&gt;單價&lt;/td&gt;&lt;td&gt;含稅金額&lt;/td&gt;&lt;td&gt;圖片&lt;/td&gt;&lt;td&gt;備註&lt;/td&gt;&lt;/tr&gt;&lt;tr&gt;&lt;td rowspan="2"&gt;10&lt;/td&gt;&lt;td&gt;GR1000534&lt;/td&gt;&lt;td&gt;11 PCS&lt;/td&gt;&lt;td&gt;8,381.00&lt;/td&gt;&lt;td&gt;96,800.00&lt;/td&gt;&lt;td&gt;&lt;/td&gt;&lt;td&gt;&lt;/td&gt;&lt;/tr&gt;&lt;tr&gt;&lt;td colspan="6"&gt;客製化Eurosmart Cosmo廚房伸縮龍頭(原31481001)鉻色/ 含無鉛軟管&lt;/td&gt;&lt;/tr&gt;&lt;tr&gt;&lt;td rowspan="2"&gt;&lt;/td&gt;&lt;td&gt;&lt;/td&gt;&lt;td colspan="2"&gt;含稅金額小計:&lt;/td&gt;&lt;td&gt;96,800.00&lt;/td&gt;&lt;td&gt;&lt;/td&gt;&lt;td&gt;&lt;/td&gt;&lt;/tr&gt;&lt;tr&gt;&lt;td&gt;&lt;/td&gt;&lt;td colspan="2"&gt;合計:&lt;/td&gt;&lt;td&gt;96,800.00&lt;/td&gt;&lt;td&gt;&lt;/td&gt;&lt;td&gt;&lt;/td&gt;&lt;/tr&gt;&lt;tr&gt;&lt;td colspan="7"&gt;備註:&lt;/td&gt;&lt;/tr&gt;&lt;tr&gt;&lt;td colspan="2"&gt;客戶簽核欄&lt;/td&gt;&lt;td colspan="2"&gt;公司簽核欄&lt;/td&gt;&lt;td&gt;黃乙真&lt;/td&gt;&lt;td&gt;&lt;/td&gt;&lt;td&gt;&lt;/td&gt;&lt;/tr&gt;&lt;/table&gt;
![](images/ebab2ec212b703b1119b71a9b19152105a75f50539cafd535ea3bff82097d4db.jpg)
唐房龍頭 1支 \$1350 (含税)
ok
张毅
</x:v>
      </x:c>
    </x:row>
    <x:row r="39">
      <x:c r="A39" s="69" t="str">
        <x:v>SRC036</x:v>
      </x:c>
      <x:c r="B39" s="69" t="str">
        <x:v>20250508 楠弘柏加 合約.md#chunk-1</x:v>
      </x:c>
      <x:c r="C39" s="69" t="str">
        <x:v>Markdown</x:v>
      </x:c>
      <x:c r="D39" s="69" t="str">
        <x:v>0–2367</x:v>
      </x:c>
      <x:c r="E39" s="71" t="str">
        <x:v>編號：
# 買賣合約書
客戶名稱：向上建設-拾壹間
柏加企業股份有限公司
新竹縣竹北市文興路二段 35 號
TEL : (03)6578137
FAX : (03)6578637
## 買賣合約書
向上建設股份有限公司 (以下簡稱甲方)
立合約書人
柏加企業股份有限公司 (以下簡稱乙方)，茲因甲方向乙方
承購買下列貨品，經雙方同意訂立本合約書，合約內容如下：
一、承購貨品內容如下：
1、名稱：詳附件
2、數量：詳附件
3、單價：詳附件
4、總價：詳附件
二、交貨時間：配合工地進度---須於交貨前六個月(180天)書面通知，計交貨期如下：民國 2025 年 7 月
三、交貨地點：向上建設-拾壹間建案工地地面層
四、付款方式：
第一期：本合約書簽訂之同時，甲方應以現金匯款支付乙方總貨款20%為訂金
第二期：甲方需於乙方交貨工地驗收合格，檢附相關銷貨單及請款以現金匯款支付乙方交貨總貨款75%。
第三期：第一戶交屋後，檢附相關銷貨單及請款單，以現金匯款支付乙方交貨總貨款之5%尾款。
五、雙方簽定貨物價格，不得因外幣升值、運費、保險費及其它因素之調整而要求補償。
六、乙方如不能如期交貨，每逾期一日，罰未交部份貨款千分之壹，乙方並無異議。反之，如乙方貨物於指定時間內到達，因甲方工地進度延遲致無法進場時，甲方應補償乙方利息及倉租損失，計每日為該貨款總額千分之壹(以乙方交貨請求書之數量為憑)。本款所謂逾期日之計算為最後交貨日後之第二日起算，唯若因天災人禍等非人力所能控制之因素導致遲交貨或無法進場等不在此限。
七、乙方需按本約第一條第一、二項規定交貨，乙方於交貨日起三十日內為甲方對數量及規格之驗收時限。
八、驗收當時如有破損，規格不符等情事時，乙方需迅速負責補足，驗收完成後，除品質不良，或貨物顯然於出廠前即有機件不良之情形外，貨物之損毀，破損或短缺等
情事概與乙方無涉。
九、保固期限：自甲方驗收完成日起一年內，因產品本身製造瑕疵，缺陷所產生之故障，由乙方負責維修或更換，並於七日內更換完成，逾期依合約第六條之規定辦理(顏色非一般色者，時間可商議，但若因使用方法不當或安裝不良不再此限)。
十、本合約自雙方簽訂以方收取訂金後生效。
十一、本合約一式二份，甲乙雙方各執一份，正本印花執主自貼。
十二、合約蓋章送出後，七日內有效，逾期不簽回合約自動失效。
十三、乙方銀行帳號:合作金庫北新竹分行(006)1243-717-214939，戶名:柏加企業股份有限公司。
十四、申請尾款計價，需付保固書及保固票(結算金額10%)，本產品保固一年，保固起始日自安裝驗收後6個月起算，保固票保固期滿後退還(保固票不押日期)。
立合約書人
甲方：向上建設股份有限公司
地址：350 苗栗縣竹南鎮康德街 71 號
電話：
統一編號：
負責人：
乙方：柏加企業股份有限公司
地址：新竹縣竹北市文興路二段33,35號
電話：03-657-8137
統一編號：16651751
負責人：邱福泰
專案承辦人：黃乙真
中華民國 年 月 日
## 柏加企業股份有限公司
報價單
地址：新竹縣竹北市文興路二段33號
電話：+886 3 6578137 傳真：+886 3 6578637
頁次：1/1
&lt;table&gt;&lt;tr&gt;&lt;td colspan="7"&gt;客戶名稱: DA113019 向上建設-拾壹間 報價日期: 25/05/09地址: 苗栗縣後龍 報價單號: S101-250506002電話: 幣 别: NTD聯絡人: 稅別/稅率/含稅否: S004 / 5.00 / N備 註: 業務員: DC4009 黃乙真&lt;/td&gt;&lt;/tr&gt;&lt;tr&gt;&lt;td&gt;項次&lt;/td&gt;&lt;td&gt;料號品名/規格&lt;/td&gt;&lt;td&gt;數量單位&lt;/td&gt;&lt;td&gt;單價&lt;/td&gt;&lt;td&gt;含稅金額&lt;/td&gt;&lt;td&gt;圖片&lt;/td&gt;&lt;td&gt;備註&lt;/td&gt;&lt;/tr&gt;&lt;tr&gt;&lt;td&gt;10&lt;/td&gt;&lt;td&gt;GR1000534客製化Eurosmart Cosmo廚房伸縮龍頭(原31481001)鉻色/含無鉛軟管&lt;/td&gt;&lt;td&gt;11 PCS&lt;/td&gt;&lt;td&gt;8,381.00&lt;/td&gt;&lt;td&gt;96,800.00&lt;/td&gt;&lt;td&gt;&lt;/td&gt;&lt;td&gt;&lt;/td&gt;&lt;/tr&gt;&lt;tr&gt;&lt;td&gt;20&lt;/td&gt;&lt;td&gt;MISC以上廚房龍頭安裝費&lt;/td&gt;&lt;td&gt;11 PCS&lt;/td&gt;&lt;td&gt;1,286.00&lt;/td&gt;&lt;td&gt;14,850.00&lt;/td&gt;&lt;td&gt;&lt;/td&gt;&lt;td&gt;&lt;/td&gt;&lt;/tr&gt;&lt;tr&gt;&lt;td colspan="7"&gt;備註:&lt;/td&gt;&lt;/tr&gt;&lt;tr&gt;&lt;td colspan="2"&gt;客戶簽核欄&lt;/td&gt;&lt;td colspan="5"&gt;公司簽核欄&lt;/td&gt;&lt;/tr&gt;&lt;tr&gt;&lt;td colspan="7"&gt;發票選項: □二聯 □三聯式 統一編號: 抬頭:收貨聯絡人: □同客戶名稱 □其它: 電話:收貨地址:發票地址: □同收貨地址 □公司登記地址 □其它:本訂購單須經訂購者及本公司經辦人簽名始生效,日後不得任意更改內容本報價單於報價日期起7日內有效,本價格不含水電配置工程施作,不含埋壁件配置本公司為國外原廠授權之正式代理商,所銷售之品項皆具有保固付款方式:簽訂合約同時須以現金或即期支票給付簽約總貨款 訂金20%:22,330元,交貨總貨款75%:83,738,驗收尾款5%:5,582元匯款帳號:006合作金庫/北新竹分行1243-717-214939柏加企業股份有限公司安裝時間需初步清潔完成,安裝請提早至少兩周前通知,以利安排訂貨及安裝事宜&lt;/td&gt;&lt;/tr&gt;&lt;/table&gt;
</x:v>
      </x:c>
    </x:row>
    <x:row r="40">
      <x:c r="A40" s="69" t="str">
        <x:v>SRC037</x:v>
      </x:c>
      <x:c r="B40" s="69" t="str">
        <x:v>20250514 TOTO 衛浴更新.md#chunk-1</x:v>
      </x:c>
      <x:c r="C40" s="69" t="str">
        <x:v>Markdown</x:v>
      </x:c>
      <x:c r="D40" s="69" t="str">
        <x:v>0–2893</x:v>
      </x:c>
      <x:c r="E40" s="71" t="str">
        <x:v>![](images/30c3be89602439bebd47a81860e1ca9802100c3ed5f1f49ae4148a092934ea66.jpg)
建信自動化有限公司 護展股份有限公司
公司地址：新竹市公道五路三段538號
統一編號：23968262（建信）89359135（層展）
E-mail: totoleeda@gmail.com
TEL:03-5337638 分機:618 傳真:03-5337708
&lt;table&gt;&lt;tr&gt;&lt;td colspan="3"&gt;公司名稱:向上建設股份有限公司&lt;/td&gt;&lt;td colspan="4"&gt;地址:苗栗縣竹南鎮中正路423號&lt;/td&gt;&lt;/tr&gt;&lt;tr&gt;&lt;td colspan="3"&gt;案件名稱:&lt;/td&gt;&lt;td colspan="4"&gt;電話:0932-695878&lt;/td&gt;&lt;/tr&gt;&lt;tr&gt;&lt;td colspan="3"&gt;聯絡人:洪建豪先生&lt;/td&gt;&lt;td colspan="4"&gt;傳真:&lt;/td&gt;&lt;/tr&gt;&lt;tr&gt;&lt;td&gt;項次&lt;/td&gt;&lt;td&gt;品名&lt;/td&gt;&lt;td&gt;規格&lt;/td&gt;&lt;td&gt;數量&lt;/td&gt;&lt;td&gt;單價&lt;/td&gt;&lt;td&gt;金額&lt;/td&gt;&lt;td&gt;備 註&lt;/td&gt;&lt;/tr&gt;&lt;tr&gt;&lt;td&gt;1&lt;/td&gt;&lt;td&gt;單體馬桶&lt;/td&gt;&lt;td&gt;CW288SGUR&lt;/td&gt;&lt;td&gt;11&lt;/td&gt;&lt;td&gt;13,620&lt;/td&gt;&lt;td&gt;149,820&lt;/td&gt;&lt;td&gt;&lt;/td&gt;&lt;/tr&gt;&lt;tr&gt;&lt;td&gt;2&lt;/td&gt;&lt;td&gt;單體馬桶&lt;/td&gt;&lt;td&gt;CW889CDRTW&lt;/td&gt;&lt;td&gt;11&lt;/td&gt;&lt;td&gt;12,300&lt;/td&gt;&lt;td&gt;135,300&lt;/td&gt;&lt;td&gt;&lt;/td&gt;&lt;/tr&gt;&lt;tr&gt;&lt;td&gt;3&lt;/td&gt;&lt;td&gt;溫水洗淨便座&lt;/td&gt;&lt;td&gt;TCF4911ETR&lt;/td&gt;&lt;td&gt;11&lt;/td&gt;&lt;td&gt;31,410&lt;/td&gt;&lt;td&gt;345,510&lt;/td&gt;&lt;td&gt;特惠價&lt;/td&gt;&lt;/tr&gt;&lt;tr&gt;&lt;td&gt;4&lt;/td&gt;&lt;td&gt;溫水洗淨便座&lt;/td&gt;&lt;td&gt;TCF23360ATW&lt;/td&gt;&lt;td&gt;11&lt;/td&gt;&lt;td&gt;10,260&lt;/td&gt;&lt;td&gt;112,860&lt;/td&gt;&lt;td&gt;特惠價&lt;/td&gt;&lt;/tr&gt;&lt;tr&gt;&lt;td&gt;5&lt;/td&gt;&lt;td&gt;檯面盆&lt;/td&gt;&lt;td&gt;LW1615CTW&lt;/td&gt;&lt;td&gt;22&lt;/td&gt;&lt;td&gt;8,220&lt;/td&gt;&lt;td&gt;180,840&lt;/td&gt;&lt;td&gt;&lt;/td&gt;&lt;/tr&gt;&lt;tr&gt;&lt;td&gt;6&lt;/td&gt;&lt;td&gt;白色浴櫃&lt;/td&gt;&lt;td&gt;C-1615&lt;/td&gt;&lt;td&gt;22&lt;/td&gt;&lt;td&gt;6,500&lt;/td&gt;&lt;td&gt;143,000&lt;/td&gt;&lt;td&gt;需開衛生紙孔&lt;/td&gt;&lt;/tr&gt;&lt;tr&gt;&lt;td&gt;7&lt;/td&gt;&lt;td&gt;面盆龍頭&lt;/td&gt;&lt;td&gt;TLG02301PC&lt;/td&gt;&lt;td&gt;22&lt;/td&gt;&lt;td&gt;6,780&lt;/td&gt;&lt;td&gt;149,160&lt;/td&gt;&lt;td&gt;&lt;/td&gt;&lt;/tr&gt;&lt;tr&gt;&lt;td&gt;8&lt;/td&gt;&lt;td&gt;淋浴控溫龍頭&lt;/td&gt;&lt;td&gt;TBV03426P-S2&lt;/td&gt;&lt;td&gt;22&lt;/td&gt;&lt;td&gt;8,024&lt;/td&gt;&lt;td&gt;176,528&lt;/td&gt;&lt;td&gt;&lt;/td&gt;&lt;/tr&gt;&lt;tr&gt;&lt;td&gt;9&lt;/td&gt;&lt;td&gt;蓮蓬頭一段&lt;/td&gt;&lt;td&gt;9A519RY-1&lt;/td&gt;&lt;td&gt;12&lt;/td&gt;&lt;td&gt;1,593&lt;/td&gt;&lt;td&gt;19,116&lt;/td&gt;&lt;td&gt;&lt;/td&gt;&lt;/tr&gt;&lt;tr&gt;&lt;td&gt;10&lt;/td&gt;&lt;td&gt;蓮蓬頭三段&lt;/td&gt;&lt;td&gt;9A520SY-1&lt;/td&gt;&lt;td&gt;11&lt;/td&gt;&lt;td&gt;2,596&lt;/td&gt;&lt;td&gt;28,556&lt;/td&gt;&lt;td&gt;&lt;/td&gt;&lt;/tr&gt;&lt;tr&gt;&lt;td&gt;11&lt;/td&gt;&lt;td&gt;升降桿&lt;/td&gt;&lt;td&gt;TBW01016P&lt;/td&gt;&lt;td&gt;22&lt;/td&gt;&lt;td&gt;1,534&lt;/td&gt;&lt;td&gt;33,748&lt;/td&gt;&lt;td&gt;&lt;/td&gt;&lt;/tr&gt;&lt;tr&gt;&lt;td&gt;12&lt;/td&gt;&lt;td&gt;暖風乾燥機(無線220V)&lt;/td&gt;&lt;td&gt;TYB3151AAR&lt;/td&gt;&lt;td&gt;22&lt;/td&gt;&lt;td&gt;13,260&lt;/td&gt;&lt;td&gt;291,720&lt;/td&gt;&lt;td&gt;&lt;/td&gt;&lt;/tr&gt;&lt;tr&gt;&lt;td&gt;13&lt;/td&gt;&lt;td&gt;置衣平台&lt;/td&gt;&lt;td&gt;AK15&lt;/td&gt;&lt;td&gt;22&lt;/td&gt;&lt;td&gt;2,040&lt;/td&gt;&lt;td&gt;44,880&lt;/td&gt;&lt;td&gt;訂金80萬元&lt;/td&gt;&lt;/tr&gt;&lt;tr&gt;&lt;td&gt;14&lt;/td&gt;&lt;td&gt;安裝費&lt;/td&gt;&lt;td&gt;&lt;/td&gt;&lt;td&gt;1&lt;/td&gt;&lt;td&gt;141,260&lt;/td&gt;&lt;td&gt;141,260&lt;/td&gt;&lt;td&gt;&lt;/td&gt;&lt;/tr&gt;&lt;tr&gt;&lt;td&gt;15&lt;/td&gt;&lt;td&gt;&lt;/td&gt;&lt;td&gt;&lt;/td&gt;&lt;td&gt;&lt;/td&gt;&lt;td&gt;&lt;/td&gt;&lt;td&gt;&lt;/td&gt;&lt;td&gt;&lt;/td&gt;&lt;/tr&gt;&lt;tr&gt;&lt;td&gt;16&lt;/td&gt;&lt;td&gt;&lt;/td&gt;&lt;td&gt;&lt;/td&gt;&lt;td colspan="3"&gt;小計 1,952,298&lt;/td&gt;&lt;td&gt;元整&lt;/td&gt;&lt;/tr&gt;&lt;tr&gt;&lt;td&gt;17&lt;/td&gt;&lt;td&gt;&lt;/td&gt;&lt;td&gt;&lt;/td&gt;&lt;td colspan="3"&gt;稅額 97,615&lt;/td&gt;&lt;td&gt;元整&lt;/td&gt;&lt;/tr&gt;&lt;tr&gt;&lt;td&gt;18&lt;/td&gt;&lt;td&gt;&lt;/td&gt;&lt;td&gt;&lt;/td&gt;&lt;td colspan="3"&gt;總計 2,049,913&lt;/td&gt;&lt;td&gt;元整&lt;/td&gt;&lt;/tr&gt;&lt;tr&gt;&lt;td colspan="3"&gt;1.本報價單在有效期限內使生效,有效期限至 113年9月2日
2.本報價單上產品,公司保固一年,並負責產品售後服務。
3.本報價單於出貨或安裝後7日內付清款項,付款方式以現金或即期支票方式結清。
4.本報價單於確認同時應付貨品總價百分之三十以上,做為簽約訂金。&lt;/td&gt;&lt;td colspan="4"&gt;9.若付款方式為匯款/轉帳,請提供帳號後5碼及匯款人姓名。
◆匯款帳戶如下:
銀行:台灣土地銀行 東新竹分行 (銀行代碼:005)
戶名:晉展股份有限公司 帳號:103-001-005883&lt;/td&gt;&lt;/tr&gt;&lt;/table&gt;
7. 委员誠后休密原則，本報原準巧不得搞路于第三人知它。
8. 如因天災或不可抗力之事由，供應商之產線匱乏，致本契約產品不能繼續供應時，
雙方得同意更換其它產品取代之。
1. 適空器內為測試用電池，安裝後三個月內需更換，請使用碳鋅電池。
2. 套器五金零件請使用軟質抹布，海綿沾中性清潔劑或牙膏清潔保養。
3. 衞洗溫水淨更坚為電子類產品，應用軟質抹布沾中性清潔劑擦拭
保養請勿用水清洗
承辦人：李建蓮 0921-980012
報價日期：113年8月26日
買方確認簽名：
![](images/0a6a41f9ccc2b26deedb3e9c07281e1086e781f77570021b06602bdb2e5aac9b.jpg)
公司章確認簽名：
</x:v>
      </x:c>
    </x:row>
    <x:row r="41">
      <x:c r="A41" s="69" t="str">
        <x:v>SRC038</x:v>
      </x:c>
      <x:c r="B41" s="69" t="str">
        <x:v>20250807 順靖 玻璃修復.md#chunk-1</x:v>
      </x:c>
      <x:c r="C41" s="69" t="str">
        <x:v>Markdown</x:v>
      </x:c>
      <x:c r="D41" s="69" t="str">
        <x:v>0–1046</x:v>
      </x:c>
      <x:c r="E41" s="71" t="str">
        <x:v>![](images/c6e77426170c333193e48a5141921d249c5baa51eb57e9873e05ea99aec1434e.jpg)
## 扶順手 報價單(玻璃修復)
順靖企業有限公司
TEL: 04 823 6830 FAX: 04 823 6330
E-mail: syab@ms38.hinet.net
報價版次：1
To：向上建設股份有限公司
Attn：蘇怡樺小姐
業務員：董宴如
建案工程：拾壹間
Tel : 0975-210366
連絡電話：0970-237830
本工程採用 扶順手藍天EG系列 不鏽鋼陽台欄杆 含5+5mm單強化透明膠合玻璃 日期：2025/8/7
&lt;table&gt;&lt;tr&gt;&lt;td rowspan="2"&gt;項次&lt;/td&gt;&lt;td colspan="2"&gt;工位&lt;/td&gt;&lt;td rowspan="2"&gt;工程項目&lt;/td&gt;&lt;td rowspan="2"&gt;單位&lt;/td&gt;&lt;td rowspan="2"&gt;數量&lt;/td&gt;&lt;td rowspan="2"&gt;單價&lt;/td&gt;&lt;td rowspan="2"&gt;小計&lt;/td&gt;&lt;td rowspan="2"&gt;備註&lt;/td&gt;&lt;/tr&gt;&lt;tr&gt;&lt;td&gt;戶名&lt;/td&gt;&lt;td&gt;樓層&lt;/td&gt;&lt;/tr&gt;&lt;tr&gt;&lt;td&gt;1&lt;/td&gt;&lt;td&gt;/&lt;/td&gt;&lt;td&gt;R1F&lt;/td&gt;&lt;td&gt;更換5+5mm單強化透明膠合玻璃上蓋更新、人工費&lt;/td&gt;&lt;td&gt;式&lt;/td&gt;&lt;td&gt;1&lt;/td&gt;&lt;td&gt;$8,000&lt;/td&gt;&lt;td&gt;$8,000&lt;/td&gt;&lt;td&gt;&lt;/td&gt;&lt;/tr&gt;&lt;tr&gt;&lt;td colspan="7"&gt;小計&lt;/td&gt;&lt;td&gt;$8,000&lt;/td&gt;&lt;td&gt;&lt;/td&gt;&lt;/tr&gt;&lt;/table&gt;
備註：
1) 扶順手模組化不鏽鋼玻璃欄杆已通過抗風試驗15級，品質結構安全值得信賴。
2) 單價：a) 本報價單以台幣現金價計價，未含5%營業稅。
b) 本工程含金屬更新及玻璃施工，破損更新。
3) 付款方式：本報價單可視同正式訂單。訂單確認後，於本欄杆工程完工當月即配合驗收完成100%支付。
4) 報價單有效期限：2025/9/7
5) 交貨施工日：已可進場
6) 工程施工地點：苗栗縣後龍鎮新東路116號旁
![](images/6124f553b494a927ad4a05f6952eedbba001447335eb80c7f0aa8bc80bc19b25.jpg)
</x:v>
      </x:c>
    </x:row>
    <x:row r="42">
      <x:c r="A42" s="69" t="str">
        <x:v>SRC039</x:v>
      </x:c>
      <x:c r="B42" s="69" t="str">
        <x:v>20250922宇勝工程行-水電報價單.md#chunk-1</x:v>
      </x:c>
      <x:c r="C42" s="69" t="str">
        <x:v>Markdown</x:v>
      </x:c>
      <x:c r="D42" s="69" t="str">
        <x:v>0–3180</x:v>
      </x:c>
      <x:c r="E42" s="71" t="str">
        <x:v>## 宇勝工程行
葉建宏 TEL:0918-889399
## 工程估價單
&lt;table&gt;&lt;tr&gt;&lt;td colspan="5"&gt;工地名稱:向上建設 一期水電工程&lt;/td&gt;&lt;td colspan="2"&gt;估價日期:114/09/17&lt;/td&gt;&lt;/tr&gt;&lt;tr&gt;&lt;td&gt;項次&lt;/td&gt;&lt;td&gt;項目&lt;/td&gt;&lt;td&gt;單位&lt;/td&gt;&lt;td&gt;數量&lt;/td&gt;&lt;td&gt;單價&lt;/td&gt;&lt;td&gt;&lt;/td&gt;&lt;td&gt;備註&lt;/td&gt;&lt;/tr&gt;&lt;tr&gt;&lt;td&gt;1&lt;/td&gt;&lt;td&gt;避雷針工程含線材管材、配管拉線及航空燈&lt;/td&gt;&lt;td&gt;式&lt;/td&gt;&lt;td&gt;1&lt;/td&gt;&lt;td&gt;193,000&lt;/td&gt;&lt;td&gt;193,000&lt;/td&gt;&lt;td&gt;不含設備&lt;/td&gt;&lt;/tr&gt;&lt;tr&gt;&lt;td&gt;2&lt;/td&gt;&lt;td&gt;充電樁電錶箱電源線及至分路電盤&lt;/td&gt;&lt;td&gt;式&lt;/td&gt;&lt;td&gt;1&lt;/td&gt;&lt;td&gt;425,000&lt;/td&gt;&lt;td&gt;425,000&lt;/td&gt;&lt;td&gt;含管線&lt;/td&gt;&lt;/tr&gt;&lt;tr&gt;&lt;td&gt;3&lt;/td&gt;&lt;td&gt;住戶電錶箱電源線及箱體結線&lt;/td&gt;&lt;td&gt;式&lt;/td&gt;&lt;td&gt;1&lt;/td&gt;&lt;td&gt;185,500&lt;/td&gt;&lt;td&gt;185,500&lt;/td&gt;&lt;td&gt;含管線&lt;/td&gt;&lt;/tr&gt;&lt;tr&gt;&lt;td&gt;4&lt;/td&gt;&lt;td&gt;公設電錶箱電源線及連結至各區域電源施工&lt;/td&gt;&lt;td&gt;式&lt;/td&gt;&lt;td&gt;1&lt;/td&gt;&lt;td&gt;528,500&lt;/td&gt;&lt;td&gt;528,500&lt;/td&gt;&lt;td&gt;含公設查線&lt;/td&gt;&lt;/tr&gt;&lt;tr&gt;&lt;td&gt;5&lt;/td&gt;&lt;td&gt;機械停車設備電源&lt;/td&gt;&lt;td&gt;式&lt;/td&gt;&lt;td&gt;1&lt;/td&gt;&lt;td&gt;26,000&lt;/td&gt;&lt;td&gt;26,000&lt;/td&gt;&lt;td&gt;含管線&lt;/td&gt;&lt;/tr&gt;&lt;tr&gt;&lt;td&gt;6&lt;/td&gt;&lt;td&gt;屋頂水塔更改3&amp;quot;白鐵幹管及水錶座連結&lt;/td&gt;&lt;td&gt;式&lt;/td&gt;&lt;td&gt;1&lt;/td&gt;&lt;td&gt;235,000&lt;/td&gt;&lt;td&gt;235,000&lt;/td&gt;&lt;td&gt;含管料&lt;/td&gt;&lt;/tr&gt;&lt;tr&gt;&lt;td&gt;&lt;/td&gt;&lt;td&gt;一樓蓄水水塔訂製11/2噸&lt;/td&gt;&lt;td&gt;只&lt;/td&gt;&lt;td&gt;2&lt;/td&gt;&lt;td&gt;15,800&lt;/td&gt;&lt;td&gt;31,600&lt;/td&gt;&lt;td&gt;&lt;/td&gt;&lt;/tr&gt;&lt;tr&gt;&lt;td&gt;7&lt;/td&gt;&lt;td&gt;屋頂水塔訂製成3&amp;quot;出口(不含吊車費用)&lt;/td&gt;&lt;td&gt;只&lt;/td&gt;&lt;td&gt;7&lt;/td&gt;&lt;td&gt;15,800&lt;/td&gt;&lt;td&gt;110,600&lt;/td&gt;&lt;td&gt;11/2噸&lt;/td&gt;&lt;/tr&gt;&lt;tr&gt;&lt;td&gt;8&lt;/td&gt;&lt;td&gt;A戶6、7樓、B戶5、6樓加壓馬達及電源線&lt;/td&gt;&lt;td&gt;台&lt;/td&gt;&lt;td&gt;4&lt;/td&gt;&lt;td&gt;12,500&lt;/td&gt;&lt;td&gt;50,000&lt;/td&gt;&lt;td&gt;含管線馬達&lt;/td&gt;&lt;/tr&gt;&lt;tr&gt;&lt;td&gt;9&lt;/td&gt;&lt;td&gt;自來水楊水更改為白鐵管及加裝水垂吸收器&lt;/td&gt;&lt;td&gt;式&lt;/td&gt;&lt;td&gt;1&lt;/td&gt;&lt;td&gt;85,000&lt;/td&gt;&lt;td&gt;85,000&lt;/td&gt;&lt;td&gt;含管料&lt;/td&gt;&lt;/tr&gt;&lt;tr&gt;&lt;td&gt;10&lt;/td&gt;&lt;td&gt;楊水馬達陸上型交替運轉一組含安裝及管料&lt;/td&gt;&lt;td&gt;式&lt;/td&gt;&lt;td&gt;1&lt;/td&gt;&lt;td&gt;75,000&lt;/td&gt;&lt;td&gt;75,000&lt;/td&gt;&lt;td&gt;&lt;/td&gt;&lt;/tr&gt;&lt;tr&gt;&lt;td&gt;11&lt;/td&gt;&lt;td&gt;各戶暖風機電源更改及開關更換&lt;/td&gt;&lt;td&gt;戶&lt;/td&gt;&lt;td&gt;11&lt;/td&gt;&lt;td&gt;1,650&lt;/td&gt;&lt;td&gt;18,150&lt;/td&gt;&lt;td&gt;含管線&lt;/td&gt;&lt;/tr&gt;&lt;tr&gt;&lt;td&gt;12&lt;/td&gt;&lt;td&gt;各戶增設一組220V專用插座連工帶料&lt;/td&gt;&lt;td&gt;迴&lt;/td&gt;&lt;td&gt;11&lt;/td&gt;&lt;td&gt;4,800&lt;/td&gt;&lt;td&gt;52,800&lt;/td&gt;&lt;td&gt;含管線&lt;/td&gt;&lt;/tr&gt;&lt;tr&gt;&lt;td&gt;13&lt;/td&gt;&lt;td&gt;各戶廚房排水彎吊管90度彎頭更改&lt;/td&gt;&lt;td&gt;戶&lt;/td&gt;&lt;td&gt;11&lt;/td&gt;&lt;td&gt;1,800&lt;/td&gt;&lt;td&gt;19,800&lt;/td&gt;&lt;td&gt;含管料&lt;/td&gt;&lt;/tr&gt;&lt;tr&gt;&lt;td&gt;14&lt;/td&gt;&lt;td&gt;各戶冷熱水管試壓及確認下水管樓層不含漏水處理&lt;/td&gt;&lt;td&gt;戶&lt;/td&gt;&lt;td&gt;11&lt;/td&gt;&lt;td&gt;3,600&lt;/td&gt;&lt;td&gt;39,600&lt;/td&gt;&lt;td&gt;&lt;/td&gt;&lt;/tr&gt;&lt;tr&gt;&lt;td&gt;15&lt;/td&gt;&lt;td&gt;發電機、及消防用電管材及線材更改&lt;/td&gt;&lt;td&gt;式&lt;/td&gt;&lt;td&gt;1&lt;/td&gt;&lt;td&gt;232,000&lt;/td&gt;&lt;td&gt;232,000&lt;/td&gt;&lt;td&gt;含管線&lt;/td&gt;&lt;/tr&gt;&lt;tr&gt;&lt;td&gt;16&lt;/td&gt;&lt;td&gt;五金另件及耗材&lt;/td&gt;&lt;td&gt;式&lt;/td&gt;&lt;td&gt;1&lt;/td&gt;&lt;td&gt;85,000&lt;/td&gt;&lt;td&gt;85,000&lt;/td&gt;&lt;td&gt;&lt;/td&gt;&lt;/tr&gt;&lt;tr&gt;&lt;td&gt;17&lt;/td&gt;&lt;td&gt;公設吊管90度彎頭更改兩個45度&lt;/td&gt;&lt;td&gt;式&lt;/td&gt;&lt;td&gt;1&lt;/td&gt;&lt;td&gt;8,500&lt;/td&gt;&lt;td&gt;8,500&lt;/td&gt;&lt;td&gt;含管料&lt;/td&gt;&lt;/tr&gt;&lt;tr&gt;&lt;td&gt;18&lt;/td&gt;&lt;td&gt;配合送水送電及瓦斯工資&lt;/td&gt;&lt;td&gt;式&lt;/td&gt;&lt;td&gt;1&lt;/td&gt;&lt;td&gt;75,000&lt;/td&gt;&lt;td&gt;75,000&lt;/td&gt;&lt;td&gt;&lt;/td&gt;&lt;/tr&gt;&lt;tr&gt;&lt;td&gt;19&lt;/td&gt;&lt;td&gt;配合交屋驗屋工資(一戶兩次)&lt;/td&gt;&lt;td&gt;戶&lt;/td&gt;&lt;td&gt;11&lt;/td&gt;&lt;td&gt;6,000&lt;/td&gt;&lt;td&gt;66,000&lt;/td&gt;&lt;td&gt;&lt;/td&gt;&lt;/tr&gt;&lt;tr&gt;&lt;td&gt;20&lt;/td&gt;&lt;td&gt;各戶盤體迴路標示&lt;/td&gt;&lt;td&gt;&lt;/td&gt;&lt;td&gt;&lt;/td&gt;&lt;td&gt;&lt;/td&gt;&lt;td&gt;&lt;/td&gt;&lt;td&gt;&lt;/td&gt;&lt;/tr&gt;&lt;tr&gt;&lt;td&gt;21&lt;/td&gt;&lt;td&gt;&lt;/td&gt;&lt;td&gt;&lt;/td&gt;&lt;td&gt;&lt;/td&gt;&lt;td&gt;&lt;/td&gt;&lt;td&gt;&lt;/td&gt;&lt;td&gt;&lt;/td&gt;&lt;/tr&gt;&lt;tr&gt;&lt;td&gt;22&lt;/td&gt;&lt;td&gt;&lt;/td&gt;&lt;td&gt;&lt;/td&gt;&lt;td&gt;&lt;/td&gt;&lt;td&gt;&lt;/td&gt;&lt;td&gt;&lt;/td&gt;&lt;td&gt;&lt;/td&gt;&lt;/tr&gt;&lt;tr&gt;&lt;td&gt;&lt;/td&gt;&lt;td colspan="5"&gt;以上報價不含盤體及盤體內無熔絲開關不含驗屋缺失改善、不含交屋後保固、各錶箱幹管如有沒配或不通須另行報價、(不含台電、自来水、瓦斯代辦跑件費用)以上報價議價為含稅2600000含8月、9月點工&lt;/td&gt;&lt;td&gt;&lt;/td&gt;&lt;/tr&gt;&lt;tr&gt;&lt;td&gt;小計&lt;/td&gt;&lt;td&gt;&lt;/td&gt;&lt;td colspan="3"&gt;統一發票專用章統一編號&lt;/td&gt;&lt;td colspan="2"&gt;2,542,050&lt;/td&gt;&lt;/tr&gt;&lt;tr&gt;&lt;td&gt;稅金&lt;/td&gt;&lt;td&gt;&lt;/td&gt;&lt;td colspan="3"&gt;90057101&lt;/td&gt;&lt;td colspan="2"&gt;127,103&lt;/td&gt;&lt;/tr&gt;&lt;tr&gt;&lt;td&gt;總計&lt;/td&gt;&lt;td&gt;&lt;/td&gt;&lt;td colspan="3"&gt;TEL:037-775355負債人:洪建豪&lt;/td&gt;&lt;td colspan="2"&gt;2,669,153&lt;/td&gt;&lt;/tr&gt;&lt;/table&gt;
1. 本估價單有效期間
2. 本估價單價格： □含稅 □不含稅
3. 本估價單付款條件：□期票
個月 □現金
4. 如蒙惠故先付訂金
成
經手人：\_\_\_\_
![](images/cbf39e849c2fdba3358e22e3622fca2c3ab73018e577a1dda6b85ad824138575.jpg)
</x:v>
      </x:c>
    </x:row>
    <x:row r="43">
      <x:c r="A43" s="69" t="str">
        <x:v>SRC040</x:v>
      </x:c>
      <x:c r="B43" s="69" t="str">
        <x:v>20250922晶鼎鐳射-電梯門框包版報價單.md#chunk-1</x:v>
      </x:c>
      <x:c r="C43" s="69" t="str">
        <x:v>Markdown</x:v>
      </x:c>
      <x:c r="D43" s="69" t="str">
        <x:v>0–1172</x:v>
      </x:c>
      <x:c r="E43" s="71" t="str">
        <x:v>製表人：張益旻$\frac{1}{2}x - 1 &gt; 0$
![](images/7df6c76a7eb4007e7d8df7453a3ac7aabcdb2c39bfb48b6bd26ba4b371d92984.jpg)
审核人：
&lt;table&gt;&lt;tr&gt;&lt;td rowspan="2" colspan="3"&gt;客戶名稱:向上建設股份有限公司&lt;/td&gt;&lt;td rowspan="2"&gt;承辦人員&lt;/td&gt;&lt;td rowspan="2"&gt;李主任&lt;/td&gt;&lt;td&gt;TEL:&lt;/td&gt;&lt;td colspan="2"&gt;03-7775355 #519&lt;/td&gt;&lt;/tr&gt;&lt;tr&gt;&lt;td&gt;FAX:&lt;/td&gt;&lt;td colspan="2"&gt;&lt;/td&gt;&lt;/tr&gt;&lt;tr&gt;&lt;td&gt;NO&lt;/td&gt;&lt;td&gt;料號&lt;/td&gt;&lt;td&gt;規格尺寸&lt;/td&gt;&lt;td&gt;長度/mm&lt;/td&gt;&lt;td&gt;數量(批)&lt;/td&gt;&lt;td&gt;單價
(NTD)&lt;/td&gt;&lt;td&gt;小計
(NTD)&lt;/td&gt;&lt;td&gt;備註&lt;/td&gt;&lt;/tr&gt;&lt;tr&gt;&lt;td&gt;1&lt;/td&gt;&lt;td&gt;7F電梯門框包版&lt;/td&gt;&lt;td&gt;&lt;/td&gt;&lt;td&gt;&lt;/td&gt;&lt;td&gt;1&lt;/td&gt;&lt;td&gt;7000&lt;/td&gt;&lt;td&gt;7,000&lt;/td&gt;&lt;td&gt;&lt;/td&gt;&lt;/tr&gt;&lt;tr&gt;&lt;td&gt;2&lt;/td&gt;&lt;td&gt;&lt;/td&gt;&lt;td&gt;&lt;/td&gt;&lt;td&gt;&lt;/td&gt;&lt;td&gt;&lt;/td&gt;&lt;td&gt;&lt;/td&gt;&lt;td&gt;&lt;/td&gt;&lt;td&gt;&lt;/td&gt;&lt;/tr&gt;&lt;tr&gt;&lt;td&gt;&lt;/td&gt;&lt;td&gt;&lt;/td&gt;&lt;td colspan="3"&gt;《以下空白》&lt;/td&gt;&lt;td&gt;&lt;/td&gt;&lt;td&gt;&lt;/td&gt;&lt;td&gt;&lt;/td&gt;&lt;/tr&gt;&lt;tr&gt;&lt;td colspan="5"&gt;合 計&lt;/td&gt;&lt;td colspan="3"&gt;7,000&lt;/td&gt;&lt;/tr&gt;&lt;tr&gt;&lt;td colspan="5"&gt;稅 金&lt;/td&gt;&lt;td colspan="3"&gt;350&lt;/td&gt;&lt;/tr&gt;&lt;tr&gt;&lt;td colspan="5"&gt;總 價&lt;/td&gt;&lt;td colspan="3"&gt;7,350&lt;/td&gt;&lt;/tr&gt;&lt;/table&gt;
地址: 台中市豐原區三豐路二段549巷331弄102號附註：1.付款條件：□票期：固定月結\_60天。
E-mail:gm09101@jheng.yi.com.tw
電話：04-25230543 傳真：04-25289874
日期：1140918001
6. 以上報價不含攻牙
## 晶鼎鐳射工業股份有限公司
報價單
非常感謝您對本公司的支持，現報價如下：如詢價數量改變報價將作相應調整
![](images/3c8f8cac3cebfcd96c26f1e222b73dda8087880ae591175fcb5f56e4ff4df1cf.jpg)
</x:v>
      </x:c>
    </x:row>
    <x:row r="44">
      <x:c r="A44" s="69" t="str">
        <x:v>SRC041</x:v>
      </x:c>
      <x:c r="B44" s="69" t="str">
        <x:v>20250923山源工程行-2樓陽台地坪防水工程報價單.md#chunk-1</x:v>
      </x:c>
      <x:c r="C44" s="69" t="str">
        <x:v>Markdown</x:v>
      </x:c>
      <x:c r="D44" s="69" t="str">
        <x:v>0–2754</x:v>
      </x:c>
      <x:c r="E44" s="71" t="str">
        <x:v>&lt;table&gt;&lt;tr&gt;&lt;td colspan="7"&gt;山源工程行報價單&lt;/td&gt;&lt;/tr&gt;&lt;tr&gt;&lt;td colspan="7"&gt;業主:&lt;/td&gt;&lt;/tr&gt;&lt;tr&gt;&lt;td colspan="5"&gt;工程地點:後龍&lt;/td&gt;&lt;td colspan="2"&gt;日期:114年09月22日&lt;/td&gt;&lt;/tr&gt;&lt;tr&gt;&lt;td&gt;項次&lt;/td&gt;&lt;td&gt;工程項目&lt;/td&gt;&lt;td&gt;規格&lt;/td&gt;&lt;td&gt;數量&lt;/td&gt;&lt;td&gt;單價&lt;/td&gt;&lt;td&gt;複價&lt;/td&gt;&lt;td&gt;備註&lt;/td&gt;&lt;/tr&gt;&lt;tr&gt;&lt;td&gt;&lt;/td&gt;&lt;td&gt;2樓陽台地坪防水工程&lt;/td&gt;&lt;td&gt;&lt;/td&gt;&lt;td&gt;&lt;/td&gt;&lt;td&gt;&lt;/td&gt;&lt;td&gt;&lt;/td&gt;&lt;td&gt;&lt;/td&gt;&lt;/tr&gt;&lt;tr&gt;&lt;td&gt;1&lt;/td&gt;&lt;td&gt;地磚打除至結構體(不含清運廢棄物)&lt;/td&gt;&lt;td&gt;式&lt;/td&gt;&lt;td&gt;&lt;/td&gt;&lt;td&gt;&lt;/td&gt;&lt;td&gt;10,000&lt;/td&gt;&lt;td&gt;&lt;/td&gt;&lt;/tr&gt;&lt;tr&gt;&lt;td&gt;2&lt;/td&gt;&lt;td&gt;防水施作(一底2塗) 折角打合圈 √&lt;/td&gt;&lt;td&gt;式&lt;/td&gt;&lt;td&gt;&lt;/td&gt;&lt;td&gt;&lt;/td&gt;&lt;td&gt;15,000&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 rowspan="15"&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 colspan="4"&gt;備註:&lt;/td&gt;&lt;td colspan="3"&gt;客戶同意簽章&lt;/td&gt;&lt;/tr&gt;&lt;tr&gt;&lt;td colspan="4"&gt;(1)以上報價不含營業稅金。&lt;/td&gt;&lt;td rowspan="3" colspan="3"&gt;&lt;/td&gt;&lt;/tr&gt;&lt;tr&gt;&lt;td colspan="4"&gt;(2)以上工程報價不含水電或泥作費用。&lt;/td&gt;&lt;/tr&gt;&lt;tr&gt;&lt;td colspan="4"&gt;&lt;/td&gt;&lt;/tr&gt;&lt;tr&gt;&lt;td colspan="4"&gt;聯絡人:葉先生&lt;/td&gt;&lt;td colspan="3"&gt;電話:0932-088-914&lt;/td&gt;&lt;/tr&gt;&lt;tr&gt;&lt;td colspan="4"&gt;公司地址:新北市中和區國光街103號&lt;/td&gt;&lt;td colspan="3"&gt;電話:(02)2956-2673&lt;/td&gt;&lt;/tr&gt;&lt;tr&gt;&lt;td colspan="4"&gt;統編:17819498&lt;/td&gt;&lt;td colspan="3"&gt;Mail:jinnjia1118@gmail.com&lt;/td&gt;&lt;/tr&gt;&lt;/table&gt;
![](images/6e7d2c874d4b9ab42f442f4dae6d5f9200050a158804f34d792422e02f9b3148.jpg)
</x:v>
      </x:c>
    </x:row>
    <x:row r="45">
      <x:c r="A45" s="69" t="str">
        <x:v>SRC042</x:v>
      </x:c>
      <x:c r="B45" s="69" t="str">
        <x:v>20251016電箱報價單回傳.md#chunk-1</x:v>
      </x:c>
      <x:c r="C45" s="69" t="str">
        <x:v>Markdown</x:v>
      </x:c>
      <x:c r="D45" s="69" t="str">
        <x:v>0–10000</x:v>
      </x:c>
      <x:c r="E45" s="71" t="str">
        <x:v>## 偉茗盛有限公司
地址：新竹縣竹北市泰和里中和街191巷11號
電話：03-5519176 傳真：03-5519179 報價單
E-mail: wms.elec@msa.hinet.net
客戶：向上建設股份有限公司
報價單編號：Q20251013-04
聯絡人：李仁普 主任
報價日期：114.10.13
電話：037-775355 0921-081438
傳真：
承 辨 人 ： 廖振茗
工程名稱：後龍鎮龍富段集合住宅新建工程
(114.10.16 修改)
![](images/2e0ebc9f8291b3442e73ef2118c8124a2fcee02b0f590788d8f98c33f5363825.jpg)
&lt;table&gt;&lt;tr&gt;&lt;td&gt;項目&lt;/td&gt;&lt;td&gt;品名規格&lt;/td&gt;&lt;td&gt;單位&lt;/td&gt;&lt;td&gt;數量&lt;/td&gt;&lt;td&gt;單價&lt;/td&gt;&lt;td&gt;金額&lt;/td&gt;&lt;td&gt;備註&lt;/td&gt;&lt;/tr&gt;&lt;tr&gt;&lt;td&gt;1&lt;/td&gt;&lt;td&gt;P1 PANEL 屋外不銹鋼防水受電箱(中門)&lt;/td&gt;&lt;td&gt;&lt;/td&gt;&lt;td&gt;&lt;/td&gt;&lt;td&gt;&lt;/td&gt;&lt;td&gt;&lt;/td&gt;&lt;td&gt;&lt;/td&gt;&lt;/tr&gt;&lt;tr&gt;&lt;td&gt;&lt;/td&gt;&lt;td&gt;3φ3W 220V SUS304 t=1.2mm 無烤漆&lt;/td&gt;&lt;td&gt;&lt;/td&gt;&lt;td&gt;&lt;/td&gt;&lt;td&gt;&lt;/td&gt;&lt;td&gt;&lt;/td&gt;&lt;td&gt;&lt;/td&gt;&lt;/tr&gt;&lt;tr&gt;&lt;td&gt;&lt;/td&gt;&lt;td&gt;CASE:800W × 1600H × 350D&lt;/td&gt;&lt;td&gt;只&lt;/td&gt;&lt;td&gt;1&lt;/td&gt;&lt;td&gt;30,500&lt;/td&gt;&lt;td&gt;30,500&lt;/td&gt;&lt;td&gt;&lt;/td&gt;&lt;/tr&gt;&lt;tr&gt;&lt;td&gt;&lt;/td&gt;&lt;td&gt;NFB 3P 400/300A 220V/35KA 400-CN&lt;/td&gt;&lt;td&gt;只&lt;/td&gt;&lt;td&gt;1&lt;/td&gt;&lt;td&gt;4,877&lt;/td&gt;&lt;td&gt;4,877&lt;/td&gt;&lt;td&gt;士林&lt;/td&gt;&lt;/tr&gt;&lt;tr&gt;&lt;td&gt;&lt;/td&gt;&lt;td&gt;NFB 3P 125/100A 220V/35KA 125-HN&lt;/td&gt;&lt;td&gt;只&lt;/td&gt;&lt;td&gt;1&lt;/td&gt;&lt;td&gt;1,564&lt;/td&gt;&lt;td&gt;1,564&lt;/td&gt;&lt;td&gt;士林&lt;/td&gt;&lt;/tr&gt;&lt;tr&gt;&lt;td&gt;&lt;/td&gt;&lt;td&gt;壓克力銘牌(含迴路銘牌)&lt;/td&gt;&lt;td&gt;式&lt;/td&gt;&lt;td&gt;1&lt;/td&gt;&lt;td&gt;650&lt;/td&gt;&lt;td&gt;650&lt;/td&gt;&lt;td&gt;&lt;/td&gt;&lt;/tr&gt;&lt;tr&gt;&lt;td&gt;&lt;/td&gt;&lt;td&gt;CU BUS BAR &amp;amp; SUPPORT 10t × 50W&lt;/td&gt;&lt;td&gt;式&lt;/td&gt;&lt;td&gt;1&lt;/td&gt;&lt;td&gt;12,000&lt;/td&gt;&lt;td&gt;12,000&lt;/td&gt;&lt;td&gt;&lt;/td&gt;&lt;/tr&gt;&lt;tr&gt;&lt;td&gt;&lt;/td&gt;&lt;td&gt;盤內器材組裝工資&lt;/td&gt;&lt;td&gt;式&lt;/td&gt;&lt;td&gt;1&lt;/td&gt;&lt;td&gt;4,500&lt;/td&gt;&lt;td&gt;4,500&lt;/td&gt;&lt;td&gt;&lt;/td&gt;&lt;/tr&gt;&lt;tr&gt;&lt;td&gt;2&lt;/td&gt;&lt;td&gt;P2 PANEL 屋外不銹鋼防水受電箱(中門)&lt;/td&gt;&lt;td&gt;&lt;/td&gt;&lt;td&gt;&lt;/td&gt;&lt;td&gt;&lt;/td&gt;&lt;td&gt;&lt;/td&gt;&lt;td&gt;&lt;/td&gt;&lt;/tr&gt;&lt;tr&gt;&lt;td&gt;&lt;/td&gt;&lt;td colspan="2"&gt;1φ3W 220/110V SUS304 t=1.2mm 無烤漆&lt;/td&gt;&lt;td&gt;&lt;/td&gt;&lt;td&gt;&lt;/td&gt;&lt;td&gt;&lt;/td&gt;&lt;td&gt;&lt;/td&gt;&lt;/tr&gt;&lt;tr&gt;&lt;td&gt;&lt;/td&gt;&lt;td&gt;CASE:800W × 1600H × 350D&lt;/td&gt;&lt;td&gt;只&lt;/td&gt;&lt;td&gt;1&lt;/td&gt;&lt;td&gt;30,500&lt;/td&gt;&lt;td&gt;30,500&lt;/td&gt;&lt;td&gt;&lt;/td&gt;&lt;/tr&gt;&lt;tr&gt;&lt;td&gt;&lt;/td&gt;&lt;td&gt;NFB 2P 400/300A 220V/35KA 400-CN&lt;/td&gt;&lt;td&gt;只&lt;/td&gt;&lt;td&gt;1&lt;/td&gt;&lt;td&gt;4,435&lt;/td&gt;&lt;td&gt;4,435&lt;/td&gt;&lt;td&gt;士林&lt;/td&gt;&lt;/tr&gt;&lt;tr&gt;&lt;td&gt;&lt;/td&gt;&lt;td&gt;壓克力銘牌(含迴路銘牌)&lt;/td&gt;&lt;td&gt;式&lt;/td&gt;&lt;td&gt;1&lt;/td&gt;&lt;td&gt;650&lt;/td&gt;&lt;td&gt;650&lt;/td&gt;&lt;td&gt;&lt;/td&gt;&lt;/tr&gt;&lt;tr&gt;&lt;td&gt;&lt;/td&gt;&lt;td&gt;CU BUS BAR &amp;amp; SUPPORT 10t × 50W&lt;/td&gt;&lt;td&gt;式&lt;/td&gt;&lt;td&gt;1&lt;/td&gt;&lt;td&gt;9,000&lt;/td&gt;&lt;td&gt;9,000&lt;/td&gt;&lt;td&gt;&lt;/td&gt;&lt;/tr&gt;&lt;tr&gt;&lt;td&gt;&lt;/td&gt;&lt;td&gt;盤內器材組裝工資&lt;/td&gt;&lt;td&gt;式&lt;/td&gt;&lt;td&gt;1&lt;/td&gt;&lt;td&gt;4,500&lt;/td&gt;&lt;td&gt;4,500&lt;/td&gt;&lt;td&gt;&lt;/td&gt;&lt;/tr&gt;&lt;tr&gt;&lt;td&gt;3&lt;/td&gt;&lt;td&gt;KWH PANEL 3φ3W 220V&lt;/td&gt;&lt;td&gt;&lt;/td&gt;&lt;td&gt;&lt;/td&gt;&lt;td&gt;&lt;/td&gt;&lt;td&gt;&lt;/td&gt;&lt;td&gt;&lt;/td&gt;&lt;/tr&gt;&lt;tr&gt;&lt;td&gt;&lt;/td&gt;&lt;td&gt;CASE:600W × 1600H × 300D&lt;/td&gt;&lt;td&gt;只&lt;/td&gt;&lt;td&gt;1&lt;/td&gt;&lt;td&gt;&lt;/td&gt;&lt;td&gt;既有盤&lt;/td&gt;&lt;td&gt;&lt;/td&gt;&lt;/tr&gt;&lt;tr&gt;&lt;td&gt;&lt;/td&gt;&lt;td&gt;KS 3P 100A&lt;/td&gt;&lt;td&gt;只&lt;/td&gt;&lt;td&gt;1&lt;/td&gt;&lt;td&gt;1,000&lt;/td&gt;&lt;td&gt;1,000&lt;/td&gt;&lt;td&gt;光威&lt;/td&gt;&lt;/tr&gt;&lt;tr&gt;&lt;td&gt;&lt;/td&gt;&lt;td&gt;NFB 3P 125/100A 220V/20KA 125-SN&lt;/td&gt;&lt;td&gt;只&lt;/td&gt;&lt;td&gt;1&lt;/td&gt;&lt;td&gt;1,247&lt;/td&gt;&lt;td&gt;1,247&lt;/td&gt;&lt;td&gt;士林&lt;/td&gt;&lt;/tr&gt;&lt;tr&gt;&lt;td&gt;&lt;/td&gt;&lt;td&gt;低電壓跳脫裝置 UVT&lt;/td&gt;&lt;td&gt;只&lt;/td&gt;&lt;td&gt;1&lt;/td&gt;&lt;td&gt;1,241&lt;/td&gt;&lt;td&gt;1,241&lt;/td&gt;&lt;td&gt;士林&lt;/td&gt;&lt;/tr&gt;&lt;tr&gt;&lt;td&gt;&lt;/td&gt;&lt;td&gt;欠相保護電驛 APR-4S&lt;/td&gt;&lt;td&gt;只&lt;/td&gt;&lt;td&gt;1&lt;/td&gt;&lt;td&gt;1,050&lt;/td&gt;&lt;td&gt;1,050&lt;/td&gt;&lt;td&gt;ANLY&lt;/td&gt;&lt;/tr&gt;&lt;tr&gt;&lt;td&gt;&lt;/td&gt;&lt;td&gt;PVC電線、端子、色套等五金另料&lt;/td&gt;&lt;td&gt;式&lt;/td&gt;&lt;td&gt;1&lt;/td&gt;&lt;td&gt;350&lt;/td&gt;&lt;td&gt;350&lt;/td&gt;&lt;td&gt;&lt;/td&gt;&lt;/tr&gt;&lt;tr&gt;&lt;td&gt;&lt;/td&gt;&lt;td&gt;盤內器材組裝工資&lt;/td&gt;&lt;td&gt;式&lt;/td&gt;&lt;td&gt;1&lt;/td&gt;&lt;td&gt;1,000&lt;/td&gt;&lt;td&gt;1,000&lt;/td&gt;&lt;td&gt;&lt;/td&gt;&lt;/tr&gt;&lt;tr&gt;&lt;td&gt;4&lt;/td&gt;&lt;td&gt;KWHM PANEL 3φ3W 220V&lt;/td&gt;&lt;td&gt;&lt;/td&gt;&lt;td&gt;&lt;/td&gt;&lt;td&gt;&lt;/td&gt;&lt;td&gt;&lt;/td&gt;&lt;td&gt;&lt;/td&gt;&lt;/tr&gt;&lt;tr&gt;&lt;td&gt;&lt;/td&gt;&lt;td&gt;CASE:600W × 1600H × 300D&lt;/td&gt;&lt;td&gt;只&lt;/td&gt;&lt;td&gt;1&lt;/td&gt;&lt;td&gt;&lt;/td&gt;&lt;td&gt;既有盤&lt;/td&gt;&lt;td&gt;&lt;/td&gt;&lt;/tr&gt;&lt;tr&gt;&lt;td&gt;&lt;/td&gt;&lt;td&gt;KS 3P 400A&lt;/td&gt;&lt;td&gt;只&lt;/td&gt;&lt;td&gt;1&lt;/td&gt;&lt;td&gt;3,000&lt;/td&gt;&lt;td&gt;3,000&lt;/td&gt;&lt;td&gt;光威&lt;/td&gt;&lt;/tr&gt;&lt;tr&gt;&lt;td&gt;&lt;/td&gt;&lt;td&gt;NFB 3P 400/300A 220V/35KA 400-CN&lt;/td&gt;&lt;td&gt;只&lt;/td&gt;&lt;td&gt;1&lt;/td&gt;&lt;td&gt;4,877&lt;/td&gt;&lt;td&gt;4,877&lt;/td&gt;&lt;td&gt;士林&lt;/td&gt;&lt;/tr&gt;&lt;tr&gt;&lt;td&gt;&lt;/td&gt;&lt;td&gt;低電壓跳脫裝置 UVT&lt;/td&gt;&lt;td&gt;只&lt;/td&gt;&lt;td&gt;1&lt;/td&gt;&lt;td&gt;1,604&lt;/td&gt;&lt;td&gt;1,604&lt;/td&gt;&lt;td&gt;士林&lt;/td&gt;&lt;/tr&gt;&lt;tr&gt;&lt;td&gt;&lt;/td&gt;&lt;td&gt;欠相保護電驛 APR-4S&lt;/td&gt;&lt;td&gt;只&lt;/td&gt;&lt;td&gt;1&lt;/td&gt;&lt;td&gt;1,050&lt;/td&gt;&lt;td&gt;1,050&lt;/td&gt;&lt;td&gt;ANLY&lt;/td&gt;&lt;/tr&gt;&lt;tr&gt;&lt;td&gt;&lt;/td&gt;&lt;td&gt;CU BUS BAR &amp;amp;另料(KS一、二次側用)&lt;/td&gt;&lt;td&gt;式&lt;/td&gt;&lt;td&gt;1&lt;/td&gt;&lt;td&gt;3,500&lt;/td&gt;&lt;td&gt;3,500&lt;/td&gt;&lt;td&gt;&lt;/td&gt;&lt;/tr&gt;&lt;tr&gt;&lt;td&gt;&lt;/td&gt;&lt;td&gt;PVC電線、端子、色套等五金另料&lt;/td&gt;&lt;td&gt;式&lt;/td&gt;&lt;td&gt;1&lt;/td&gt;&lt;td&gt;350&lt;/td&gt;&lt;td&gt;350&lt;/td&gt;&lt;td&gt;&lt;/td&gt;&lt;/tr&gt;&lt;tr&gt;&lt;td&gt;&lt;/td&gt;&lt;td&gt;盤內器材組裝工資&lt;/td&gt;&lt;td&gt;式&lt;/td&gt;&lt;td&gt;1&lt;/td&gt;&lt;td&gt;2,500&lt;/td&gt;&lt;td&gt;2,500&lt;/td&gt;&lt;td&gt;&lt;/td&gt;&lt;/tr&gt;&lt;/table&gt;
## 偉茗盛有限公司
地址：新竹縣竹北市泰和里中和街191巷11號
電話：03-5519176 傳真：03-5519179 報價單
E-mail: wms.elec@msa.hinet.net
客戶：向上建設股份有限公司
報價單編號：Q20251013-04
聯絡人：李仁普 主任
報價日期：114.10.13
電話：037-775355 0921-081438
傳真：
承 辨 人 ： 廖振茗
工程名稱：後龍鎮龍富段集合住宅新建工程
(114.10.16 修改)
![](images/197cc1a709ad298e742c54745015b70297b8622e01e532acfcb3cd362a5e51c7.jpg)
&lt;table&gt;&lt;tr&gt;&lt;td&gt;項目&lt;/td&gt;&lt;td&gt;品名規格&lt;/td&gt;&lt;td&gt;單位&lt;/td&gt;&lt;td&gt;數量&lt;/td&gt;&lt;td&gt;單價&lt;/td&gt;&lt;td&gt;金額&lt;/td&gt;&lt;td&gt;備註&lt;/td&gt;&lt;/tr&gt;&lt;tr&gt;&lt;td&gt;5&lt;/td&gt;&lt;td&gt;KWHM PANEL 3 $\phi$ 3W 220V&lt;/td&gt;&lt;td&gt;&lt;/td&gt;&lt;td&gt;&lt;/td&gt;&lt;td&gt;&lt;/td&gt;&lt;td&gt;&lt;/td&gt;&lt;td&gt;&lt;/td&gt;&lt;/tr&gt;&lt;tr&gt;&lt;td&gt;&lt;/td&gt;&lt;td&gt;CASE:1600W×1200H×300D&lt;/td&gt;&lt;td&gt;只&lt;/td&gt;&lt;td&gt;1&lt;/td&gt;&lt;td&gt;&lt;/td&gt;&lt;td&gt;既有盤&lt;/td&gt;&lt;td&gt;&lt;/td&gt;&lt;/tr&gt;&lt;tr&gt;&lt;td&gt;&lt;/td&gt;&lt;td&gt;KS 2P 300A&lt;/td&gt;&lt;td&gt;只&lt;/td&gt;&lt;td&gt;1&lt;/td&gt;&lt;td&gt;2,000&lt;/td&gt;&lt;td&gt;2,000&lt;/td&gt;&lt;td&gt;光威&lt;/td&gt;&lt;/tr&gt;&lt;tr&gt;&lt;td&gt;&lt;/td&gt;&lt;td&gt;NFB 2P 100/60A 220V/20KA 100-SN&lt;/td&gt;&lt;td&gt;只&lt;/td&gt;&lt;td&gt;11&lt;/td&gt;&lt;td&gt;851&lt;/td&gt;&lt;td&gt;9,361&lt;/td&gt;&lt;td&gt;士林&lt;/td&gt;&lt;/tr&gt;&lt;tr&gt;&lt;td&gt;&lt;/td&gt;&lt;td&gt;CU BUS BAR &amp;amp;另料(KS二次側用)&lt;/td&gt;&lt;td&gt;式&lt;/td&gt;&lt;td&gt;1&lt;/td&gt;&lt;td&gt;4,500&lt;/td&gt;&lt;td&gt;4,500&lt;/td&gt;&lt;td&gt;&lt;/td&gt;&lt;/tr&gt;&lt;tr&gt;&lt;td&gt;6&lt;/td&gt;&lt;td&gt;GP PANEL 屋內明暗配電箱(中門)&lt;/td&gt;&lt;td&gt;&lt;/td&gt;&lt;td&gt;&lt;/td&gt;&lt;td&gt;&lt;/td&gt;&lt;td&gt;&lt;/td&gt;&lt;td&gt;&lt;/td&gt;&lt;/tr&gt;&lt;tr&gt;&lt;td&gt;&lt;/td&gt;&lt;td&gt;3 $\phi$ 3W 220V 黑鐵烤漆 t=1.6mm&lt;/td&gt;&lt;td&gt;&lt;/td&gt;&lt;td&gt;&lt;/td&gt;&lt;td&gt;&lt;/td&gt;&lt;td&gt;&lt;/td&gt;&lt;td&gt;&lt;/td&gt;&lt;/tr&gt;&lt;tr&gt;&lt;td&gt;&lt;/td&gt;&lt;td&gt;CASE:650W×650H×150D&lt;/td&gt;&lt;td&gt;只&lt;/td&gt;&lt;td&gt;1&lt;/td&gt;&lt;td&gt;6,000&lt;/td&gt;&lt;td&gt;6,000&lt;/td&gt;&lt;td&gt;&lt;/td&gt;&lt;/tr&gt;&lt;tr&gt;&lt;td&gt;&lt;/td&gt;&lt;td&gt;NFB 3P 250/150A 220V/15KA 250-CN&lt;/td&gt;&lt;td&gt;只&lt;/td&gt;&lt;td&gt;1&lt;/td&gt;&lt;td&gt;2,482&lt;/td&gt;&lt;td&gt;2,482&lt;/td&gt;&lt;td&gt;士林&lt;/td&gt;&lt;/tr&gt;&lt;tr&gt;&lt;td&gt;&lt;/td&gt;&lt;td&gt;NFB 3P 100/60A 220V/15KA 100-SN&lt;/td&gt;&lt;td&gt;只&lt;/td&gt;&lt;td&gt;1&lt;/td&gt;&lt;td&gt;1,082&lt;/td&gt;&lt;td&gt;1,082&lt;/td&gt;&lt;td&gt;士林&lt;/td&gt;&lt;/tr&gt;&lt;tr&gt;&lt;td&gt;&lt;/td&gt;&lt;td&gt;NFB 3P 100/50A 220V/15KA 100-SN&lt;/td&gt;&lt;td&gt;只&lt;/td&gt;&lt;td&gt;1&lt;/td&gt;&lt;td&gt;858&lt;/td&gt;&lt;td&gt;858&lt;/td&gt;&lt;td&gt;士林&lt;/td&gt;&lt;/tr&gt;&lt;tr&gt;&lt;td&gt;&lt;/td&gt;&lt;td&gt;NFB 3P 100/20A 220V/15KA 100-SN&lt;/td&gt;&lt;td&gt;只&lt;/td&gt;&lt;td&gt;1&lt;/td&gt;&lt;td&gt;858&lt;/td&gt;&lt;td&gt;858&lt;/td&gt;&lt;td&gt;士林&lt;/td&gt;&lt;/tr&gt;&lt;tr&gt;&lt;td&gt;&lt;/td&gt;&lt;td&gt;壓克力銘牌(含迴路銘牌)&lt;/td&gt;&lt;td&gt;式&lt;/td&gt;&lt;td&gt;1&lt;/td&gt;&lt;td&gt;650&lt;/td&gt;&lt;td&gt;650&lt;/td&gt;&lt;td&gt;&lt;/td&gt;&lt;/tr&gt;&lt;tr&gt;&lt;td&gt;&lt;/td&gt;&lt;td&gt;CU BUS BAR &amp;amp;另料&lt;/td&gt;&lt;td&gt;式&lt;/td&gt;&lt;td&gt;1&lt;/td&gt;&lt;td&gt;2,000&lt;/td&gt;&lt;td&gt;2,000&lt;/td&gt;&lt;td&gt;&lt;/td&gt;&lt;/tr&gt;&lt;tr&gt;&lt;td&gt;&lt;/td&gt;&lt;td&gt;盤內器材組裝工資&lt;/td&gt;&lt;td&gt;式&lt;/td&gt;&lt;td&gt;1&lt;/td&gt;&lt;td&gt;1,500&lt;/td&gt;&lt;td&gt;1,500&lt;/td&gt;&lt;td&gt;&lt;/td&gt;&lt;/tr&gt;&lt;tr&gt;&lt;td&gt;7&lt;/td&gt;&lt;td&gt;EVMP&amp;amp;EV1 PANEL 屋內落地式配電箱&lt;/td&gt;&lt;td&gt;&lt;/td&gt;&lt;td&gt;&lt;/td&gt;&lt;td&gt;&lt;/td&gt;&lt;td&gt;&lt;/td&gt;&lt;td&gt;&lt;/td&gt;&lt;/tr&gt;&lt;tr&gt;&lt;td&gt;&lt;/td&gt;&lt;td&gt;(中門、上下盤)3 $\phi$ 3W 220V 黑鐵烤漆&lt;/td&gt;&lt;td&gt;&lt;/td&gt;&lt;td&gt;&lt;/td&gt;&lt;td&gt;&lt;/td&gt;&lt;td&gt;&lt;/td&gt;&lt;td&gt;&lt;/td&gt;&lt;/tr&gt;&lt;tr&gt;&lt;td&gt;&lt;/td&gt;&lt;td&gt;t=2.0mm&lt;/td&gt;&lt;td&gt;&lt;/td&gt;&lt;td&gt;&lt;/td&gt;&lt;td&gt;&lt;/td&gt;&lt;td&gt;&lt;/td&gt;&lt;td&gt;&lt;/td&gt;&lt;/tr&gt;&lt;tr&gt;&lt;td&gt;&lt;/td&gt;&lt;td&gt;CASE:900W×(1200+900+100)H×400D&lt;/td&gt;&lt;td&gt;只&lt;/td&gt;&lt;td&gt;1&lt;/td&gt;&lt;td&gt;35,000&lt;/td&gt;&lt;td&gt;35,000&lt;/td&gt;&lt;td&gt;&lt;/td&gt;&lt;/tr&gt;&lt;tr&gt;&lt;td&gt;EVMP&lt;/td&gt;&lt;td&gt;NFB 3P 400/300A 220V/20KA 400-CN&lt;/td&gt;&lt;td&gt;只&lt;/td&gt;&lt;td&gt;1&lt;/td&gt;&lt;td&gt;4,877&lt;/td&gt;&lt;td&gt;4,877&lt;/td&gt;&lt;td&gt;士林&lt;/td&gt;&lt;/tr&gt;&lt;tr&gt;&lt;td&gt;&lt;/td&gt;&lt;td&gt;NFB 3P 250/200A 220V/20KA 250-CN&lt;/td&gt;&lt;td&gt;只&lt;/td&gt;&lt;td&gt;1&lt;/td&gt;&lt;td&gt;2,482&lt;/td&gt;&lt;td&gt;2,482&lt;/td&gt;&lt;td&gt;士林&lt;/td&gt;&lt;/tr&gt;&lt;tr&gt;&lt;td&gt;&lt;/td&gt;&lt;td&gt;NFB 2P 100/60A 220V/20KA BHS&lt;/td&gt;&lt;td&gt;只&lt;/td&gt;&lt;td&gt;1&lt;/td&gt;&lt;td&gt;782&lt;/td&gt;&lt;td&gt;782&lt;/td&gt;&lt;td&gt;士林&lt;/td&gt;&lt;/tr&gt;&lt;tr&gt;&lt;td&gt;&lt;/td&gt;&lt;td&gt;ELCB 2P 50/40A 220V/15KA NVB-50HS&lt;/td&gt;&lt;td&gt;只&lt;/td&gt;&lt;td&gt;3&lt;/td&gt;&lt;td&gt;1,010&lt;/td&gt;&lt;td&gt;3,030&lt;/td&gt;&lt;td&gt;士林&lt;/td&gt;&lt;/tr&gt;&lt;tr&gt;&lt;td&gt;&lt;/td&gt;&lt;td&gt;CT 300/5A CL-32CT&lt;/td&gt;&lt;td&gt;只&lt;/td&gt;&lt;td&gt;3&lt;/td&gt;&lt;td&gt;500&lt;/td&gt;&lt;td&gt;1,500&lt;/td&gt;&lt;td&gt;雅利&lt;/td&gt;&lt;/tr&gt;&lt;tr&gt;&lt;td&gt;&lt;/td&gt;&lt;td&gt;集合式電表 SPM-300&lt;/td&gt;&lt;td&gt;只&lt;/td&gt;&lt;td&gt;1&lt;/td&gt;&lt;td&gt;7,000&lt;/td&gt;&lt;td&gt;7,000&lt;/td&gt;&lt;td&gt;士林&lt;/td&gt;&lt;/tr&gt;&lt;tr&gt;&lt;td&gt;&lt;/td&gt;&lt;td&gt;突波保護器 SPD TSPD-B 3P-80KA(275V)&lt;/td&gt;&lt;td&gt;只&lt;/td&gt;&lt;td&gt;1&lt;/td&gt;&lt;td&gt;7,000&lt;/td&gt;&lt;td&gt;7,000&lt;/td&gt;&lt;td&gt;TOYO&lt;/td&gt;&lt;/tr&gt;&lt;tr&gt;&lt;td&gt;&lt;/td&gt;&lt;td&gt;HRC 3P 160A 附座&lt;/td&gt;&lt;td&gt;組&lt;/td&gt;&lt;td&gt;1&lt;/td&gt;&lt;td&gt;1,500&lt;/td&gt;&lt;td&gt;1,500&lt;/td&gt;&lt;td&gt;TOKO&lt;/td&gt;&lt;/tr&gt;&lt;tr&gt;&lt;td&gt;&lt;/td&gt;&lt;td&gt;D-FUSE 附座(附斷電指示)10*38&lt;/td&gt;&lt;td&gt;組&lt;/td&gt;&lt;td&gt;3&lt;/td&gt;&lt;td&gt;150&lt;/td&gt;&lt;td&gt;450&lt;/td&gt;&lt;td&gt;&lt;/td&gt;&lt;/tr&gt;&lt;tr&gt;&lt;td&gt;&lt;/td&gt;&lt;td&gt;壓克力銘牌(含迴路銘牌)&lt;/td&gt;&lt;td&gt;式&lt;/td&gt;&lt;td&gt;1&lt;/td&gt;&lt;td&gt;650&lt;/td&gt;&lt;td&gt;650&lt;/td&gt;&lt;td&gt;&lt;/td&gt;&lt;/tr&gt;&lt;tr&gt;&lt;td&gt;&lt;/td&gt;&lt;td&gt;CU BUS BAR &amp;amp;另料&lt;/td&gt;&lt;td&gt;式&lt;/td&gt;&lt;td&gt;1&lt;/td&gt;&lt;td&gt;2,500&lt;/td&gt;&lt;td&gt;2,500&lt;/td&gt;&lt;td&gt;&lt;/td&gt;&lt;/tr&gt;&lt;tr&gt;&lt;td&gt;&lt;/td&gt;&lt;td&gt;PVC電線、端子、色套等五金另料&lt;/td&gt;&lt;td&gt;式&lt;/td&gt;&lt;td&gt;1&lt;/td&gt;&lt;td&gt;1,500&lt;/td&gt;&lt;td&gt;1,500&lt;/td&gt;&lt;td&gt;&lt;/td&gt;&lt;/tr&gt;&lt;tr&gt;&lt;td&gt;&lt;/td&gt;&lt;td&gt;盤內器材組裝工資&lt;/td&gt;&lt;td&gt;式&lt;/td&gt;&lt;td&gt;1&lt;/td&gt;&lt;td&gt;4,000&lt;/td&gt;&lt;td&gt;4,000&lt;/td&gt;&lt;td&gt;&lt;/td&gt;&lt;/tr&gt;&lt;/table&gt;
## 偉茗盛有限公司
地址：新竹縣竹北市泰和里中和街191巷11號
電話：03-5519176 傳真：03-5519179 報價單
E-mail: wms.elec@msa.hinet.net
客戶：向上建設股份有限公司
報價單編號：Q20251013-04
聯絡人：李仁普 主任
報價日期：114.10.13
電話：037-775355 0921-081438
傳真：
承辦人：廖振茗
工程名稱：後龍鎮龍富段集合住宅新建工程
(114.10.16 修改)
![](images/3eef830e8b159e3d9dde7a7550ea9d2eeddb88f1a2cae2880822b6d003b680a6.jpg)
&lt;table&gt;&lt;tr&gt;&lt;td&gt;項目&lt;/td&gt;&lt;td&gt;品名規格&lt;/td&gt;&lt;td&gt;單位&lt;/td&gt;&lt;td&gt;數量&lt;/td&gt;&lt;td&gt;單價&lt;/td&gt;&lt;td&gt;金額&lt;/td&gt;&lt;td&gt;備註&lt;/td&gt;&lt;/tr&gt;&lt;tr&gt;&lt;td&gt;EV1&lt;/td&gt;&lt;td&gt;NFB 3P 250/200A 220V/20KA 250-CN&lt;/td&gt;&lt;td&gt;只&lt;/td&gt;&lt;td&gt;1&lt;/td&gt;&lt;td&gt;2,482&lt;/td&gt;&lt;td&gt;2,482&lt;/td&gt;&lt;td&gt;士林&lt;/td&gt;&lt;/tr&gt;&lt;tr&gt;&lt;td&gt;&lt;/td&gt;&lt;td&gt;ELCB 2P 50/40A 220V/15KA NVB-50HS&lt;/td&gt;&lt;td&gt;只&lt;/td&gt;&lt;td&gt;8&lt;/td&gt;&lt;td&gt;1,010&lt;/td&gt;&lt;td&gt;8,080&lt;/td&gt;&lt;td&gt;士林&lt;/td&gt;&lt;/tr&gt;&lt;tr&gt;&lt;td&gt;&lt;/td&gt;&lt;td&gt;壓克力銘牌(含迴路銘牌)&lt;/td&gt;&lt;td&gt;式&lt;/td&gt;&lt;td&gt;1&lt;/td&gt;&lt;td&gt;650&lt;/td&gt;&lt;td&gt;650&lt;/td&gt;&lt;td&gt;&lt;/td&gt;&lt;/tr&gt;&lt;tr&gt;&lt;td&gt;&lt;/td&gt;&lt;td&gt;CU BUS BAR &amp;amp;另料&lt;/td&gt;&lt;td&gt;式&lt;/td&gt;&lt;td&gt;1&lt;/td&gt;&lt;td&gt;2,500&lt;/td&gt;&lt;td&gt;2,500&lt;/td&gt;&lt;td&gt;&lt;/td&gt;&lt;/tr&gt;&lt;tr&gt;&lt;td&gt;&lt;/td&gt;&lt;td&gt;盤內器材組裝工資&lt;/td&gt;&lt;td&gt;式&lt;/td&gt;&lt;td&gt;1&lt;/td&gt;&lt;td&gt;1,500&lt;/td&gt;&lt;td&gt;1,500&lt;/td&gt;&lt;td&gt;&lt;/td&gt;&lt;/tr&gt;&lt;tr&gt;&lt;td&gt;8&lt;/td&gt;&lt;td&gt;1P&amp;amp;1R PANEL 屋內明暗配電箱(中門、上下盤)3φ3W 220V、3φ4W 190/110V&lt;/td&gt;&lt;td&gt;&lt;/td&gt;&lt;td&gt;&lt;/td&gt;&lt;td&gt;&lt;/td&gt;&lt;td&gt;&lt;/td&gt;&lt;td&gt;&lt;/td&gt;&lt;/tr&gt;&lt;tr&gt;&lt;td&gt;&lt;/td&gt;&lt;td&gt;黑鐵烤漆 t=1.6mm&lt;/td&gt;&lt;td&gt;&lt;/td&gt;&lt;td&gt;&lt;/td&gt;&lt;td&gt;&lt;/td&gt;&lt;td&gt;&lt;/td&gt;&lt;td&gt;&lt;/td&gt;&lt;/tr&gt;&lt;tr&gt;&lt;td&gt;&lt;/td&gt;&lt;td&gt;CASE:580W × (900+500)H × 200D&lt;/td&gt;&lt;td&gt;只&lt;/td&gt;&lt;td&gt;1&lt;/td&gt;&lt;td&gt;12,000&lt;/td&gt;&lt;td&gt;12,000&lt;/td&gt;&lt;td&gt;&lt;/td&gt;&lt;/tr&gt;&lt;tr&gt;&lt;td&gt;1P&lt;/td&gt;&lt;td&gt;NFB 3P 100/40A 220V/15KA 100-SN&lt;/td&gt;&lt;td&gt;只&lt;/td&gt;&lt;td&gt;1&lt;/td&gt;&lt;td&gt;858&lt;/td&gt;&lt;td&gt;858&lt;/td&gt;&lt;td&gt;士林&lt;/td&gt;&lt;/tr&gt;&lt;tr&gt;&lt;td&gt;&lt;/td&gt;&lt;td&gt;NFB 3P 100/30A 220V/15KA 100-SN&lt;/td&gt;&lt;td&gt;只&lt;/td&gt;&lt;td&gt;1&lt;/td&gt;&lt;td&gt;858&lt;/td&gt;&lt;td&gt;858&lt;/td&gt;&lt;td&gt;士林&lt;/td&gt;&lt;/tr&gt;&lt;tr&gt;&lt;td&gt;&lt;/td&gt;&lt;td&gt;NFB 3P 100/20A 220V/15KA 100-SN&lt;/td&gt;&lt;td&gt;只&lt;/td&gt;&lt;td&gt;1&lt;/td&gt;&lt;td&gt;858&lt;/td&gt;&lt;td&gt;858&lt;/td&gt;&lt;td&gt;士林&lt;/td&gt;&lt;/tr&gt;&lt;tr&gt;&lt;td&gt;&lt;/td&gt;&lt;td&gt;NFB 2P 50/15A 220V/15KA BHH&lt;/td&gt;&lt;td&gt;只&lt;/td&gt;&lt;td&gt;2&lt;/td&gt;&lt;td&gt;340&lt;/td&gt;&lt;td&gt;680&lt;/td&gt;&lt;td&gt;士林&lt;/td&gt;&lt;/tr&gt;&lt;tr&gt;&lt;td&gt;&lt;/td&gt;&lt;td&gt;ELCB 2P 50/20A 220V/15KA NVB-50HS&lt;/td&gt;&lt;td&gt;只&lt;/td&gt;&lt;td&gt;1&lt;/td&gt;&lt;td&gt;1,010&lt;/td&gt;&lt;td&gt;1,010&lt;/td&gt;&lt;td&gt;士林&lt;/td&gt;&lt;/tr&gt;&lt;tr&gt;&lt;td&gt;&lt;/td&gt;&lt;td&gt;ELCB 2P 50/15A 220V/15KA NVB-50HS&lt;/td&gt;&lt;td&gt;只&lt;/td&gt;&lt;td&gt;1&lt;/td&gt;&lt;td&gt;1,010&lt;/td&gt;&lt;td&gt;1,010&lt;/td&gt;&lt;td&gt;士林&lt;/td&gt;&lt;/tr&gt;&lt;tr&gt;&lt;td&gt;&lt;/td&gt;&lt;td&gt;MC S-P16&lt;/td&gt;&lt;td&gt;只&lt;/td&gt;&lt;td&gt;2&lt;/td&gt;&lt;td&gt;330&lt;/td&gt;&lt;td&gt;660&lt;/td&gt;&lt;td&gt;士林&lt;/td&gt;&lt;/tr&gt;&lt;tr&gt;&lt;td&gt;&lt;/td&gt;&lt;td&gt;TIMER(24H) TB35809NT6&lt;/td&gt;&lt;td&gt;只&lt;/td&gt;&lt;td&gt;1&lt;/td&gt;&lt;td&gt;1,200&lt;/td&gt;&lt;td&gt;1,200&lt;/td&gt;&lt;td&gt;Panasonic&lt;/td&gt;&lt;/tr&gt;&lt;tr&gt;&lt;td&gt;&lt;/td&gt;&lt;td&gt;壓克力銘牌(含迴路銘牌)&lt;/td&gt;&lt;td&gt;式&lt;/td&gt;&lt;td&gt;1&lt;/td&gt;&lt;td&gt;650&lt;/td&gt;&lt;td&gt;650&lt;/td&gt;&lt;td&gt;&lt;/td&gt;&lt;/tr&gt;&lt;tr&gt;&lt;td&gt;&lt;/td&gt;&lt;td&gt;CU BUS BAR &amp;amp;另料&lt;/td&gt;&lt;td&gt;式&lt;/td&gt;&lt;td&gt;1&lt;/td&gt;&lt;td&gt;2,000&lt;/td&gt;&lt;td&gt;2,000&lt;/td&gt;&lt;td&gt;&lt;/td&gt;&lt;/tr&gt;&lt;tr&gt;&lt;td&gt;&lt;/td&gt;&lt;td&gt;PVC電線、端子、色套等五金另料&lt;/td&gt;&lt;td&gt;式&lt;/td&gt;&lt;td&gt;1&lt;/td&gt;&lt;td&gt;1,050&lt;/td&gt;&lt;td&gt;1,050&lt;/td&gt;&lt;td&gt;&lt;/td&gt;&lt;/tr&gt;&lt;tr&gt;&lt;td&gt;&lt;/td&gt;&lt;td&gt;盤內器材組裝工資&lt;/td&gt;&lt;td&gt;式&lt;/td&gt;&lt;td&gt;1&lt;/td&gt;&lt;td&gt;3,500&lt;/td&gt;&lt;t</x:v>
      </x:c>
    </x:row>
    <x:row r="46">
      <x:c r="A46" s="69" t="str">
        <x:v>SRC042</x:v>
      </x:c>
      <x:c r="B46" s="69" t="str">
        <x:v>20251016電箱報價單回傳.md#chunk-2</x:v>
      </x:c>
      <x:c r="C46" s="69" t="str">
        <x:v>Markdown</x:v>
      </x:c>
      <x:c r="D46" s="69" t="str">
        <x:v>10000–13477</x:v>
      </x:c>
      <x:c r="E46" s="71" t="str">
        <x:v>d&gt;3,500&lt;/td&gt;&lt;td&gt;&lt;/td&gt;&lt;/tr&gt;&lt;tr&gt;&lt;td&gt;1R&lt;/td&gt;&lt;td&gt;NFB 3P 50/20A 220V/10KA BHU&lt;/td&gt;&lt;td&gt;只&lt;/td&gt;&lt;td&gt;1&lt;/td&gt;&lt;td&gt;485&lt;/td&gt;&lt;td&gt;485&lt;/td&gt;&lt;td&gt;士林&lt;/td&gt;&lt;/tr&gt;&lt;tr&gt;&lt;td&gt;&lt;/td&gt;&lt;td&gt;NFB 1P 50/15A 110V/10KA BHU&lt;/td&gt;&lt;td&gt;只&lt;/td&gt;&lt;td&gt;2&lt;/td&gt;&lt;td&gt;102&lt;/td&gt;&lt;td&gt;204&lt;/td&gt;&lt;td&gt;士林&lt;/td&gt;&lt;/tr&gt;&lt;tr&gt;&lt;td&gt;&lt;/td&gt;&lt;td&gt;ELCB 1P 50/15A 110V/10KA NVB-50UL&lt;/td&gt;&lt;td&gt;只&lt;/td&gt;&lt;td&gt;4&lt;/td&gt;&lt;td&gt;403&lt;/td&gt;&lt;td&gt;1,612&lt;/td&gt;&lt;td&gt;士林&lt;/td&gt;&lt;/tr&gt;&lt;tr&gt;&lt;td&gt;&lt;/td&gt;&lt;td&gt;壓克力銘牌(含迴路銘牌)&lt;/td&gt;&lt;td&gt;式&lt;/td&gt;&lt;td&gt;1&lt;/td&gt;&lt;td&gt;650&lt;/td&gt;&lt;td&gt;650&lt;/td&gt;&lt;td&gt;&lt;/td&gt;&lt;/tr&gt;&lt;tr&gt;&lt;td&gt;&lt;/td&gt;&lt;td&gt;CU BUS BAR &amp;amp;另料&lt;/td&gt;&lt;td&gt;式&lt;/td&gt;&lt;td&gt;1&lt;/td&gt;&lt;td&gt;1,500&lt;/td&gt;&lt;td&gt;1,500&lt;/td&gt;&lt;td&gt;&lt;/td&gt;&lt;/tr&gt;&lt;tr&gt;&lt;td&gt;&lt;/td&gt;&lt;td&gt;盤內器材組裝工資&lt;/td&gt;&lt;td&gt;式&lt;/td&gt;&lt;td&gt;1&lt;/td&gt;&lt;td&gt;1,000&lt;/td&gt;&lt;td&gt;1,000&lt;/td&gt;&lt;td&gt;&lt;/td&gt;&lt;/tr&gt;&lt;tr&gt;&lt;td&gt;9&lt;/td&gt;&lt;td&gt;屋內明暗接地測試箱(含接地測試板)&lt;/td&gt;&lt;td&gt;&lt;/td&gt;&lt;td&gt;&lt;/td&gt;&lt;td&gt;&lt;/td&gt;&lt;td&gt;&lt;/td&gt;&lt;td&gt;&lt;/td&gt;&lt;/tr&gt;&lt;tr&gt;&lt;td&gt;&lt;/td&gt;&lt;td&gt;黑鐵烤漆 t=1.6mm&lt;/td&gt;&lt;td&gt;&lt;/td&gt;&lt;td&gt;&lt;/td&gt;&lt;td&gt;&lt;/td&gt;&lt;td&gt;&lt;/td&gt;&lt;td&gt;&lt;/td&gt;&lt;/tr&gt;&lt;tr&gt;&lt;td&gt;&lt;/td&gt;&lt;td&gt;CASE:400W × 350H × 150D&lt;/td&gt;&lt;td&gt;只&lt;/td&gt;&lt;td&gt;2&lt;/td&gt;&lt;td&gt;4,000&lt;/td&gt;&lt;td&gt;8,000&lt;/td&gt;&lt;td&gt;&lt;/td&gt;&lt;/tr&gt;&lt;tr&gt;&lt;td&gt;&lt;/td&gt;&lt;td&gt;壓克力銘牌&lt;/td&gt;&lt;td&gt;式&lt;/td&gt;&lt;td&gt;2&lt;/td&gt;&lt;td&gt;300&lt;/td&gt;&lt;td&gt;600&lt;/td&gt;&lt;td&gt;&lt;/td&gt;&lt;/tr&gt;&lt;/table&gt;
## 偉茗盛有限公司
地址：新竹縣竹北市泰和里中和街191巷11號
電話：03-5519176 傳真：03-5519179 報價單
E-mail: wms.elec@msa.hinet.net
客戶：向上建設股份有限公司
報價單編號：Q20251013-04
聯絡人：李仁普 主任
報價日期：114.10.13
電話：037-775355 0921-081438
傳真：
承 辨 人 ： 廖振茗
工程名稱：後龍鎮龍富段集合住宅新建工程
(114.10.16 修改)
![](images/07f380eebcbca4cea087fe14ff1ed0c0e5b082e9cbefc1b01c204d09df173ea0.jpg)
&lt;table&gt;&lt;tr&gt;&lt;td&gt;項目&lt;/td&gt;&lt;td&gt;品名規格&lt;/td&gt;&lt;td&gt;單位&lt;/td&gt;&lt;td&gt;數量&lt;/td&gt;&lt;td&gt;單價&lt;/td&gt;&lt;td&gt;金額&lt;/td&gt;&lt;td&gt;備註&lt;/td&gt;&lt;/tr&gt;&lt;tr&gt;&lt;td&gt;10&lt;/td&gt;&lt;td&gt;運費(貨車可到達地)至後龍&lt;/td&gt;&lt;td&gt;式&lt;/td&gt;&lt;td&gt;1&lt;/td&gt;&lt;td&gt;3,500&lt;/td&gt;&lt;td&gt;3,500&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 rowspan="14"&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 rowspan="2"&gt;&lt;/td&gt;&lt;/tr&gt;&lt;tr&gt;&lt;td colspan="3"&gt;新台幣:貳拾捌萬捌仟陸佰零肆元整(未稅)&lt;/td&gt;&lt;td&gt;總計&lt;/td&gt;&lt;td&gt;&lt;/td&gt;&lt;/tr&gt;&lt;tr&gt;&lt;td rowspan="2" colspan="2"&gt;備註:1、交貨期限:報價單回簽後,10個工作日。2、交貨地點:貨車可達之地面。3、付款條件:貨到60天期票。(首次交易,請付現金)4、有效期限:報價日起7天以內。&lt;/td&gt;&lt;td colspan="5"&gt;客戶簽章&lt;/td&gt;&lt;/tr&gt;&lt;tr&gt;&lt;td colspan="4"&gt;議價後$295,000未稅&lt;/td&gt;&lt;td&gt;壹公股向用司份上章約限設&lt;/td&gt;&lt;/tr&gt;&lt;/table&gt;
\*如確認無誤，請簽名或蓋公司章後，回傳至03-5519179或E-mail至wms.elec@msa.hinet.net，謝謝！
</x:v>
      </x:c>
    </x:row>
    <x:row r="47">
      <x:c r="A47" s="69" t="str">
        <x:v>SRC043</x:v>
      </x:c>
      <x:c r="B47" s="69" t="str">
        <x:v>20251022達成鑫-竹節鋼筋報價單回傳.md#chunk-1</x:v>
      </x:c>
      <x:c r="C47" s="69" t="str">
        <x:v>Markdown</x:v>
      </x:c>
      <x:c r="D47" s="69" t="str">
        <x:v>0–1625</x:v>
      </x:c>
      <x:c r="E47" s="71" t="str">
        <x:v>## 達成鑫鋼鐵股份有限公司
電話：(037)730700 傳真：(037)730381 地址：苗栗縣後龍鎮中華路712號
報價單
中華民國 114 年 10 月 22 日
客戶名稱：向上建設股份有限公司
聯絡人：李仁普 主任
電話：037-775355#519
E-Mail: nianpu@uphousetw.com
&lt;table&gt;&lt;tr&gt;&lt;td&gt;貨品名稱&lt;/td&gt;&lt;td&gt;規格&lt;/td&gt;&lt;td&gt;數量/噸&lt;/td&gt;&lt;td&gt;單價/噸(未稅)&lt;/td&gt;&lt;/tr&gt;&lt;tr&gt;&lt;td rowspan="4"&gt;竹節鋼筋&lt;/td&gt;&lt;td&gt;3# 280熱軋鋼筋材料成型含運費&lt;/td&gt;&lt;td rowspan="4"&gt;每&lt;/td&gt;&lt;td&gt;18,700元&lt;/td&gt;&lt;/tr&gt;&lt;tr&gt;&lt;td&gt;4#、5# 280熱軋鋼筋材料成型含運費&lt;/td&gt;&lt;td&gt;18,300元&lt;/td&gt;&lt;/tr&gt;&lt;tr&gt;&lt;td&gt;3# SD-420W熱軋鋼筋材料成型含運費&lt;/td&gt;&lt;td&gt;19,900元&lt;/td&gt;&lt;/tr&gt;&lt;tr&gt;&lt;td&gt;4#~10# SD-420W熱軋鋼筋材料成型含運費&lt;/td&gt;&lt;td&gt;19,500元&lt;/td&gt;&lt;/tr&gt;&lt;tr&gt;&lt;td rowspan="2"&gt;運費&lt;/td&gt;&lt;td&gt;不足8噸&lt;/td&gt;&lt;td&gt;趟&lt;/td&gt;&lt;td&gt;3,000元&lt;/td&gt;&lt;/tr&gt;&lt;tr&gt;&lt;td&gt;限吊卡出車&lt;/td&gt;&lt;td&gt;噸&lt;/td&gt;&lt;td&gt;100元&lt;/td&gt;&lt;/tr&gt;&lt;/table&gt;
(1) 本報價工地：苗栗高鐵附近
(2) 本鋼筋以CNS560為標準，SD-420W 9#、11#單價另加500元。
(3) 付款方式：訂約時全額預付匯款，依實送數量計價100%，多退少補。
匯款至:第一銀行(東門分行)302-10-021600 達成鑫鋼鐵股份有限公司
(4) 其他條款：
(A) 貨款以工地實際交貨會磅數量計算、未會磅者依乙方出貨磅單數量計算。
(B) 加工料單請於出貨前14日交付，出貨依賣方排程為主，可以另行調配其他日期。
(C) 裁切尺寸以10CM為單位；若經成型之鋼筋不得以任何理由拒絕出貨。
(D) 吊運以車輛可放置水平地面為限，工地須提供車輛可安全下料空間，並請鐵工派人協助放至指定位置，補料亦同。若須全吊下料，每噸加收100元下料費；工地提供全吊，則每噸可抵扣50元下料費。
工地坡度超過20度，則由買方負責盤料。
(E) 多彎折、圓弧、立體、特殊、馬椅、S向、造型箍及其他非自動機台生產之彎料及箍筋總長超過7M，短邊小於17CM箍筋，每單支加工費另計，若不同意加價，則以直料出貨。
(F) 有指定鋼筋材料，若供應廠商無法出貨，則順延至有料提供，經加工7-14天出貨。
(G) 寬度2.5米以上公司不負責載運，長度超過13米(含13米)，須申請路權，每米運費每趟加價5000元，以此類推。
(H) 料單鋼筋長度，尺寸6#以上須整合每50CM進位，5#以下須整合20CM、50CM、80CM進位。
(I) 本合約僅適用於本工地專用。
(5) 急單及補料料單3日內出貨每噸加收500元，不足1噸依500元計。
料單一律採傳真作業，不接受任何口頭告知。更改(抽換)料單作業處理費，每次3000元。
(6) 特殊鋼種如9#、11#、SD-280W等裁切餘料一併出貨於買方，不受交貨期限限制。本公司不負擔特殊鋼筋之損耗。
(7) 本公司不負擔任何工地清潔費、檢驗費及分料包裝。
鋼索不外借，若買方任意自行留下鋼索，則於當期計價每條300元。
(8) 工地無法下貨導至延遲下貨，依會磅時間，逾2小時，每半小時加收1500元。
(9) 報價期限:114年10月23日。
![](images/f66c5302f4805b9a486ba3ff5cdb0c0681f05b62f3dad7da9b5c927a8fc8c2b8.jpg)
</x:v>
      </x:c>
    </x:row>
    <x:row r="48">
      <x:c r="A48" s="69" t="str">
        <x:v>SRC044</x:v>
      </x:c>
      <x:c r="B48" s="69" t="str">
        <x:v>20251030台灣吉田智能科技衛浴報價單回傳.md#chunk-1</x:v>
      </x:c>
      <x:c r="C48" s="69" t="str">
        <x:v>Markdown</x:v>
      </x:c>
      <x:c r="D48" s="69" t="str">
        <x:v>0–1360</x:v>
      </x:c>
      <x:c r="E48" s="71" t="str">
        <x:v>## 台灣吉田智能科技衛浴有限公司
雲林縣二崙鄉隆興路6-5號 TEL：886-5-5989303 FAX：886-5-5980556
產品報價單
&lt;table&gt;&lt;tr&gt;&lt;td&gt;客戶編號&lt;/td&gt;&lt;td colspan="3"&gt;B994建設公司向上建設股份有限公司&lt;/td&gt;&lt;td rowspan="4"&gt;&lt;/td&gt;&lt;td&gt;報價日期&lt;/td&gt;&lt;td colspan="2"&gt;2025/08/27&lt;/td&gt;&lt;/tr&gt;&lt;tr&gt;&lt;td&gt;連絡人&lt;/td&gt;&lt;td colspan="3"&gt;採購-謝婉琳&lt;/td&gt;&lt;td&gt;報價單號&lt;/td&gt;&lt;td colspan="2"&gt;202508.022&lt;/td&gt;&lt;/tr&gt;&lt;tr&gt;&lt;td&gt;連絡電話&lt;/td&gt;&lt;td colspan="3"&gt;&lt;/td&gt;&lt;td&gt;專案名稱&lt;/td&gt;&lt;td colspan="2"&gt;&lt;/td&gt;&lt;/tr&gt;&lt;tr&gt;&lt;td&gt;送貨地址&lt;/td&gt;&lt;td colspan="3"&gt;苗栗&lt;/td&gt;&lt;td&gt;報價有效期&lt;/td&gt;&lt;td colspan="2"&gt;2025.10.31&lt;/td&gt;&lt;/tr&gt;&lt;tr&gt;&lt;td colspan="8"&gt;付款條件: 現金匯款預計交貨日期: 生產天約15工作天左右 提早好會再通知備註內容: 90057101向上建設股份有限公司 &lt;img src="images/9d38e2940fd2806a70035bbb836a1159bda0e6bef1f0aaa22846a05b2124a9fd.jpg"/&gt;&lt;/td&gt;&lt;/tr&gt;&lt;tr&gt;&lt;td&gt;產品編號&lt;/td&gt;&lt;td&gt;產品名稱&lt;/td&gt;&lt;td&gt;數量&lt;/td&gt;&lt;td colspan="2"&gt;單價&lt;/td&gt;&lt;td&gt;金額小計&lt;/td&gt;&lt;td&gt;圖片&lt;/td&gt;&lt;td&gt;商品附註&lt;/td&gt;&lt;/tr&gt;&lt;tr&gt;&lt;td&gt;M-999&lt;/td&gt;&lt;td&gt;四方圓清鏡50*70三色燈觸控切換+觸控除霧&lt;/td&gt;&lt;td&gt;22&lt;/td&gt;&lt;td colspan="2"&gt;6,000&lt;/td&gt;&lt;td&gt;132,000&lt;/td&gt;&lt;td&gt;&lt;/td&gt;&lt;td&gt;&lt;/td&gt;&lt;/tr&gt;&lt;tr&gt;&lt;td colspan="2"&gt;頁面合計&lt;/td&gt;&lt;td&gt;22&lt;/td&gt;&lt;td colspan="2"&gt;&lt;/td&gt;&lt;td&gt;132,000&lt;/td&gt;&lt;td&gt;&lt;/td&gt;&lt;td&gt;&lt;/td&gt;&lt;/tr&gt;&lt;tr&gt;&lt;td colspan="8"&gt;合計金額: 132,000營業稅: 6,600總金額: 138,600&lt;/td&gt;&lt;/tr&gt;&lt;tr&gt;&lt;td colspan="8"&gt;1. 專案報價因近期全球成本浮動過大, 若超過報價有效期則此單作廢, 將另重新報價! 謝謝!2. 交貨時若因市場原物料漲幅過大, 將配合市場調漲價格, 調漲幅度將以10%~15%為上限3. 報價若為含基本運費者, 交貨送達以現場一樓或地下室車輛可達為準, 不另行現場分貨。4. 其它未盡事宜將以正式協議(合約)為主, 願您我有個美好的交易過程~謝謝您!&lt;/td&gt;&lt;/tr&gt;&lt;/table&gt;
主管：
業務：
製單：于靜慧
![](images/ea2b2278fd08da4b573a302f6bf70c5abd09d00cc00958dab5167c32f2611fbb.jpg)
</x:v>
      </x:c>
    </x:row>
    <x:row r="49">
      <x:c r="A49" s="69" t="str">
        <x:v>SRC046</x:v>
      </x:c>
      <x:c r="B49" s="69" t="str">
        <x:v>20251030向上拾壹間新建工程菊水利諾合約回傳.md#chunk-1</x:v>
      </x:c>
      <x:c r="C49" s="69" t="str">
        <x:v>Markdown</x:v>
      </x:c>
      <x:c r="D49" s="69" t="str">
        <x:v>0–4233</x:v>
      </x:c>
      <x:c r="E49" s="71" t="str">
        <x:v># 菊水利諾工程股份有限公司
# 工程合約書
![](images/70b1e6a4698347c95c88047d1eacd3f47a5a5cdc508c603303b4325fbac6ec20.jpg)
## 工程合約書
立合約書人（甲方） 向上建設股份有限公司
# (乙方) 菊水利諾工程股份有限公司
茲因甲方向乙方承攬\_\_\_\_拾壹間新建工程\_\_\_\_，經雙方協議後同意訂立本工程合約一式二份，並願共同遵守下開條款：
## 第一條 合約標的
工程名稱:拾壹間新建工程
工程地點:苗栗縣後龍鎮新東路116號旁
工程範圍:如附件報價單編號：KRE20251001001（以下簡稱報價單）之所示範圍
## 第二條 工程價款
一、本工程契約總價計：
新台幣陸拾伍萬陸仟柒佰柒拾伍元整元整(未稅)，詳如報價單所訂。
二、此報價內容為 2025 年\~2026 年共 2 年於貴公司案使用菊水商品累積共 2,000 m² 以上為前提所設定之特別價格。
## 第三條 施工步驟：
詳報價單明細表。
## 第四條 工程期限：
依營造廠施工進度而訂。
## 第五條 付款方式：
1. 本工程預付款為工程契約總價的30%，乙方應於簽約日後起算七個工作日內送達發票，甲方即於收到發票日後起算七個工作日內付款。
2. 本工程款的完工款為工程契約總價的 60%，乙方應於完工日後起算七個工作日內送達發票，甲方即於收到發票日後七個工作日內付款。
3. 本工程款的驗收款為工程契約總價的 10%，乙方應於驗收作業完成後起算七個工作日內送達發票，甲方即於收到發票日後七個工作日內付款。
## 第六條 工程保固：
本工程自業主正式驗收合格日起，依約定予以貳年保固，對因乙方施工不良、或材料不佳所引起之瑕疵或損壞，得無償負責修繕，但因外力或天災等人力不可抗拒因素除外。以維護乙方對工程品質保證之信譽。
## 第七條 合約附件：
報價單明細表。
立合約書人 甲方：向上建設股份
統 編：90057101
![](images/d4026356fdedb32727dec4e3e481091624da9ec7621e9bb075a29d611f78e630.jpg)
代表人：洪建豪
地址：苗栗縣竹南鎮康德街71號
電話：037-775-355
傳真：無
乙方：菊水利諾工程股份
統編：60680548
代表人：中原章義
![](images/2ee0b4bab6665edf2faa360ad97cf5b484f30fb6b802eed7e97e78c6d5bda232.jpg)
![](images/bfbb3e1218a0485a04639748e163d4b57d822c86cc5e3fcf80938ca0a20dfa90.jpg)
地址：台北市大安區敦化南路二段59號12
樓之1
電話：(02)2706-0789
傳真：(02)2706-4776
中華民國一一四年十月一日
## 報價單
日期：2025/10/1
## 向上建設股份 有限公司
報價單編號：KRE20251001001
kikusui
◎ 報價內容:
向上建設-苗栗菊水SA後製清水模
台灣菊水/菊水利諾工程
◎ 報價單期限：
30天
10681 臺北市大安區敦化南路二段
◎付款條件：
詳見備註
◎ 工程地點:
苗栗高鐵附近
59號12樓之
◎ 施工面積：
(02)2706-4775
487.5m²
(02)2706-4776
金額單位:新臺幣(元)
&lt;table&gt;&lt;tr&gt;&lt;td&gt;項次&lt;/td&gt;&lt;td&gt;品名&lt;/td&gt;&lt;td&gt;數量&lt;/td&gt;&lt;td&gt;單位&lt;/td&gt;&lt;td&gt;单価&lt;/td&gt;&lt;td&gt;单価&lt;/td&gt;&lt;td&gt;備註&lt;/td&gt;&lt;/tr&gt;&lt;tr&gt;&lt;td&gt;一&lt;/td&gt;&lt;td colspan="5"&gt;菊水SA後製清水模工程&lt;/td&gt;&lt;td&gt;&lt;/td&gt;&lt;/tr&gt;&lt;tr&gt;&lt;td&gt;A&lt;/td&gt;&lt;td&gt;菊水BR-15修補材整批+螺栓孔位,板模線位放樣+螺栓孔處理+板模線製作+依基面調整,多次押花,修飾+有機矽透明保護中塗+有機矽透明保護面塗&lt;/td&gt;&lt;td&gt;457&lt;/td&gt;&lt;td&gt;m2&lt;/td&gt;&lt;td&gt;1,350&lt;/td&gt;&lt;td&gt;616,950&lt;/td&gt;&lt;td&gt;&lt;/td&gt;&lt;/tr&gt;&lt;tr&gt;&lt;td&gt;B&lt;/td&gt;&lt;td&gt;兩柱(25.2 m2)+正面梁(4.3 m2)&lt;/td&gt;&lt;td&gt;29.5&lt;/td&gt;&lt;td&gt;m2&lt;/td&gt;&lt;td&gt;1,350&lt;/td&gt;&lt;td&gt;39,825&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合計&lt;/td&gt;&lt;td colspan="4"&gt;656,775&lt;/td&gt;&lt;td&gt;&lt;/td&gt;&lt;/tr&gt;&lt;tr&gt;&lt;td colspan="7"&gt;※本報價不含5%營業稅※付款條件:雙方協議※本工程如上所述不包含其他工程。※本工程配合其他工程進度如期完成,水電照明,施工鷹架由貴公司提供使用。※本工程內產生之廢棄物由施工端負責清運。※如有問題歡迎洽詢確認。※本工程依現場實際狀況,以報價單單價按實做數量計價。※此報價內容為2025年~2026年共2年於貴公司案使用菊水商品累積共2,000m以上為前提所設定之特別價格。&lt;/td&gt;&lt;/tr&gt;&lt;/table&gt;
※請確認後簽名回傳，萬分感謝。
![](images/e2e175954699d108b3a7d0f3b20deda2f0220f011e88b982c263149fcfed1074.jpg)
客戶簽章
![](images/baeb286254709ffff2fd0a8dcc04e6c53a37f2bb9278a4f1703a3feffbf6e107.jpg)  
菊水利諾工程股份有限公司
![](images/22826e60f815ce1d3e5c46c6c304c0669c2daf39b9e67232fbce61e38a680cb2.jpg)
![](images/a5e61c22b8a36d1230f4002578d3930a5a7c19ecc8c44a96d44a7e3720e6ab20.jpg)
右側立面圖 SCALE: A1=1/100
A3=1/200
![](images/1f3c7594d8f3cd4ffbc11cb42433fd027c9a6375d9c656d8f7a1aea3ce169da8.jpg)
&lt;table&gt;&lt;tr&gt;&lt;td colspan="2"&gt;容積管制地區建築物高度限制檢討&lt;/td&gt;&lt;td&gt;As&lt;/td&gt;&lt;td&gt;L&lt;/td&gt;&lt;td&gt;Sw&lt;/td&gt;&lt;td&gt;H&lt;/td&gt;&lt;td&gt;D&lt;/td&gt;&lt;/tr&gt;&lt;tr&gt;&lt;td rowspan="2"&gt;&lt;/td&gt;&lt;td rowspan="2"&gt;道路陰影面積As: 建築物以三六比一之斜率,依垂直建築線方向,投影於面前道路之陰影面積.L: 基地關接面前道路之長度SW: 面前道路寬度H: 建築物各部份高度D: 建築物各部份至建築線之水平距離&lt;/td&gt;&lt;td&gt; $6.2m^{2}$ &lt;/td&gt;&lt;td&gt;15.02M&lt;/td&gt;&lt;td&gt;30M&lt;/td&gt;&lt;td&gt;24.80M&lt;/td&gt;&lt;td&gt;5.985M&lt;/td&gt;&lt;/tr&gt;&lt;tr&gt;&lt;td colspan="5"&gt;陰影及高度檢討AS &amp;lt; (L*Sw)/2As= (0.9+0.505)*8.82/2=6.2&amp;lt; 15.02*30/2=225.3H&amp;lt;3.6x(Sw+D)24.8M &amp;lt; 3.6*(30+5.985)=129.55&lt;/td&gt;&lt;/tr&gt;&lt;/table&gt;
背向立面圖 SCALE: A1=1/100
A3=1/200
5. 必須注意鄰居房屋之安全，及道路車輛之安全，並不可將建築材料堆道路上妨礙交通。
6. 施工中主要結構部份，應按照規定由承造廠提出部份查驗及開工報告期等手續，以備竣工請領使用執照。
工程名稱
FORTICE TITLE
向上建設集合住宅等11户新建工程
後龍鎮龍富段614地號
圖名
背向及右側立面圖及日照檢
&lt;table&gt;&lt;tr&gt;&lt;td&gt;張號PROJECT NO.&lt;/td&gt;&lt;td&gt;圖號DRAWING NO.A3-1&lt;/td&gt;&lt;/tr&gt;&lt;tr&gt;&lt;td&gt;核準APPROVED BY&lt;/td&gt;&lt;td&gt;比例SCALE&lt;/td&gt;&lt;/tr&gt;&lt;tr&gt;&lt;td&gt;設計DESIGN BY&lt;/td&gt;&lt;td&gt;日期DATE&lt;/td&gt;&lt;/tr&gt;&lt;tr&gt;&lt;td&gt;繪圖DESIGNED BY&lt;/td&gt;&lt;td&gt;核對CHECKED BY&lt;/td&gt;&lt;/tr&gt;&lt;tr&gt;&lt;td colspan="2"&gt;業務號PROJECT NO.&lt;/td&gt;&lt;/tr&gt;&lt;tr&gt;&lt;td&gt;張號SHEET NO.&lt;/td&gt;&lt;td&gt;圖號DRAWING NO.A3-2&lt;/td&gt;&lt;/tr&gt;&lt;tr&gt;&lt;td&gt;核準APPROVED BY&lt;/td&gt;&lt;td&gt;比例SCALE&lt;/td&gt;&lt;/tr&gt;&lt;tr&gt;&lt;td&gt;設計DESIGN BY&lt;/td&gt;&lt;td&gt;日期DATE&lt;/td&gt;&lt;/tr&gt;&lt;tr&gt;&lt;td&gt;繪圖DRAWN BY&lt;/td&gt;&lt;td&gt;核對CHECKED BY&lt;/td&gt;&lt;/tr&gt;&lt;tr&gt;&lt;td colspan="2"&gt;業務號PROJECT NO.&lt;/td&gt;&lt;/tr&gt;&lt;/table&gt;
![](images/43b6cf496ca93ed450facfd85ae8863d224364ea62e3eac04a0078ea9547b685.jpg)  
正向立面圖 SCALE: A1=1/100
A3=1/200
</x:v>
      </x:c>
    </x:row>
    <x:row r="50">
      <x:c r="A50" s="69" t="str">
        <x:v>SRC045</x:v>
      </x:c>
      <x:c r="B50" s="69" t="str">
        <x:v>20251030永富工程-圍牆報價單回傳.md#chunk-1</x:v>
      </x:c>
      <x:c r="C50" s="69" t="str">
        <x:v>Markdown</x:v>
      </x:c>
      <x:c r="D50" s="69" t="str">
        <x:v>0–2166</x:v>
      </x:c>
      <x:c r="E50" s="71" t="str">
        <x:v>## 工程標單詳細表
製表日期： 2025/10/29
&lt;table&gt;&lt;tr&gt;&lt;td&gt;工程名稱&lt;/td&gt;&lt;td colspan="3"&gt;向上建設股份有限公司-拾壹間集合住宅新建工程&lt;/td&gt;&lt;td&gt;&lt;/td&gt;&lt;td&gt;&lt;/td&gt;&lt;td&gt;&lt;/td&gt;&lt;/tr&gt;&lt;tr&gt;&lt;td&gt;施工地點&lt;/td&gt;&lt;td colspan="3"&gt;苗栗縣後龍鎮新東路120號&lt;/td&gt;&lt;td&gt;工程編號&lt;/td&gt;&lt;td&gt;&lt;/td&gt;&lt;td&gt;&lt;/td&gt;&lt;/tr&gt;&lt;tr&gt;&lt;td&gt;項次&lt;/td&gt;&lt;td&gt;項目及說明&lt;/td&gt;&lt;td&gt;單位&lt;/td&gt;&lt;td&gt;數量&lt;/td&gt;&lt;td&gt;單價&lt;/td&gt;&lt;td&gt;複價&lt;/td&gt;&lt;td&gt;(備註)&lt;/td&gt;&lt;/tr&gt;&lt;tr&gt;&lt;td&gt;&lt;/td&gt;&lt;td&gt;&lt;/td&gt;&lt;td&gt;&lt;/td&gt;&lt;td&gt;&lt;/td&gt;&lt;td&gt;&lt;/td&gt;&lt;td&gt;&lt;/td&gt;&lt;td&gt;&lt;/td&gt;&lt;/tr&gt;&lt;tr&gt;&lt;td&gt;一&lt;/td&gt;&lt;td&gt;RC圍牆_H=190CM含重力式基礎H=40*寬60&lt;/td&gt;&lt;td&gt; $M^2$ &lt;/td&gt;&lt;td&gt;67.0&lt;/td&gt;&lt;td&gt;850&lt;/td&gt;&lt;td&gt;56,950&lt;/td&gt;&lt;td rowspan="2"&gt;依現場數量實作實算;鄰地側使用清水損&lt;/td&gt;&lt;/tr&gt;&lt;tr&gt;&lt;td&gt;二&lt;/td&gt;&lt;td&gt;RC圍牆_H=190CM(清水摸)&lt;/td&gt;&lt;td&gt; $M^2$ &lt;/td&gt;&lt;td&gt;45.0&lt;/td&gt;&lt;td&gt;1,100&lt;/td&gt;&lt;td&gt;49,500&lt;/td&gt;&lt;/tr&gt;&lt;tr&gt;&lt;td&gt;三&lt;/td&gt;&lt;td&gt;鋼筋綁紮#4雙向雙層@20&lt;/td&gt;&lt;td&gt;噸&lt;/td&gt;&lt;td&gt;3.6&lt;/td&gt;&lt;td&gt;8,000&lt;/td&gt;&lt;td&gt;28,800&lt;/td&gt;&lt;td&gt;噸數較少出車一趟2000&lt;/td&gt;&lt;/tr&gt;&lt;tr&gt;&lt;td&gt;四&lt;/td&gt;&lt;td&gt;鋼筋植筋#4&lt;/td&gt;&lt;td&gt;支&lt;/td&gt;&lt;td&gt;170.0&lt;/td&gt;&lt;td&gt;50&lt;/td&gt;&lt;td&gt;8,500&lt;/td&gt;&lt;td&gt;&lt;/td&gt;&lt;/tr&gt;&lt;tr&gt;&lt;td&gt;五&lt;/td&gt;&lt;td&gt;出車費&lt;/td&gt;&lt;td&gt;趟&lt;/td&gt;&lt;td&gt;3.0&lt;/td&gt;&lt;td&gt;2,000&lt;/td&gt;&lt;td&gt;6,000&lt;/td&gt;&lt;td&gt;&lt;/td&gt;&lt;/tr&gt;&lt;tr&gt;&lt;td&gt;六&lt;/td&gt;&lt;td&gt;技術工&lt;/td&gt;&lt;td&gt;工&lt;/td&gt;&lt;td&gt;1.0&lt;/td&gt;&lt;td&gt;3,000&lt;/td&gt;&lt;td&gt;3,000&lt;/td&gt;&lt;td&gt;&lt;/td&gt;&lt;/tr&gt;&lt;tr&gt;&lt;td&gt;七&lt;/td&gt;&lt;td&gt;&lt;/td&gt;&lt;td&gt;&lt;/td&gt;&lt;td&gt;&lt;/td&gt;&lt;td&gt;&lt;/td&gt;&lt;td&gt;0&lt;/td&gt;&lt;td&gt;&lt;/td&gt;&lt;/tr&gt;&lt;tr&gt;&lt;td&gt;&lt;/td&gt;&lt;td&gt;&lt;/td&gt;&lt;td&gt;&lt;/td&gt;&lt;td&gt;&lt;/td&gt;&lt;td&gt;&lt;/td&gt;&lt;td&gt;&lt;/td&gt;&lt;td&gt;&lt;/td&gt;&lt;/tr&gt;&lt;tr&gt;&lt;td&gt;&lt;/td&gt;&lt;td&gt;&lt;/td&gt;&lt;td&gt;&lt;/td&gt;&lt;td&gt;&lt;/td&gt;&lt;td&gt;&lt;/td&gt;&lt;td&gt;&lt;/td&gt;&lt;td&gt;&lt;/td&gt;&lt;/tr&gt;&lt;tr&gt;&lt;td&gt;&lt;/td&gt;&lt;td&gt;小計&lt;/td&gt;&lt;td&gt;&lt;/td&gt;&lt;td&gt;&lt;/td&gt;&lt;td&gt;&lt;/td&gt;&lt;td&gt;152,750&lt;/td&gt;&lt;td&gt;&lt;/td&gt;&lt;/tr&gt;&lt;tr&gt;&lt;td&gt;參&lt;/td&gt;&lt;td&gt;運什費(0.3%)&lt;/td&gt;&lt;td&gt;式&lt;/td&gt;&lt;td&gt;1.0&lt;/td&gt;&lt;td&gt;&lt;/td&gt;&lt;td&gt;458&lt;/td&gt;&lt;td&gt;&lt;/td&gt;&lt;/tr&gt;&lt;tr&gt;&lt;td&gt;肆&lt;/td&gt;&lt;td&gt;勞工安全衛生及交通維護費(0.25%)&lt;/td&gt;&lt;td&gt;式&lt;/td&gt;&lt;td&gt;1.0&lt;/td&gt;&lt;td&gt;&lt;/td&gt;&lt;td&gt;382&lt;/td&gt;&lt;td&gt;&lt;/td&gt;&lt;/tr&gt;&lt;tr&gt;&lt;td&gt;伍&lt;/td&gt;&lt;td&gt;工程保險費(0.2%)&lt;/td&gt;&lt;td&gt;式&lt;/td&gt;&lt;td&gt;1.0&lt;/td&gt;&lt;td&gt;&lt;/td&gt;&lt;td&gt;306&lt;/td&gt;&lt;td&gt;&lt;/td&gt;&lt;/tr&gt;&lt;tr&gt;&lt;td&gt;陸&lt;/td&gt;&lt;td&gt;管理費及利潤(8%)&lt;/td&gt;&lt;td&gt;式&lt;/td&gt;&lt;td&gt;1.0&lt;/td&gt;&lt;td&gt;&lt;/td&gt;&lt;td&gt;12,220&lt;/td&gt;&lt;td&gt;&lt;/td&gt;&lt;/tr&gt;&lt;tr&gt;&lt;td&gt;&lt;/td&gt;&lt;td&gt;合計&lt;/td&gt;&lt;td&gt;&lt;/td&gt;&lt;td&gt;&lt;/td&gt;&lt;td&gt;&lt;/td&gt;&lt;td&gt;166,116&lt;/td&gt;&lt;td&gt;&lt;/td&gt;&lt;/tr&gt;&lt;tr&gt;&lt;td&gt;柒&lt;/td&gt;&lt;td&gt;加值營業稅&lt;/td&gt;&lt;td&gt;式&lt;/td&gt;&lt;td&gt;1.0&lt;/td&gt;&lt;td&gt;&lt;/td&gt;&lt;td&gt;8,306&lt;/td&gt;&lt;td&gt;&lt;/td&gt;&lt;/tr&gt;&lt;tr&gt;&lt;td&gt;&lt;/td&gt;&lt;td&gt;總計&lt;/td&gt;&lt;td&gt;&lt;/td&gt;&lt;td&gt;&lt;/td&gt;&lt;td&gt;&lt;/td&gt;&lt;td&gt;174,421&lt;/td&gt;&lt;td&gt;&lt;/td&gt;&lt;/tr&gt;&lt;tr&gt;&lt;td colspan="7"&gt;工程總價:壹拾柒萬肆仟肆佰貳拾壹,肆零陸貳伍元整新台幣&lt;/td&gt;&lt;/tr&gt;&lt;/table&gt;
![](images/f38dcf52e06961370d7d38826730664979e4d813a759d6be692e67ed22720a6e.jpg)
![](images/e4eec9508bd20a4910ab0987c4712f06aff68acf1392a2dbbfb699d6ba77cb5e.jpg)
</x:v>
      </x:c>
    </x:row>
    <x:row r="51">
      <x:c r="A51" s="69" t="str">
        <x:v>SRC047</x:v>
      </x:c>
      <x:c r="B51" s="69" t="str">
        <x:v>20251104升駿工程報價單回傳.md#chunk-1</x:v>
      </x:c>
      <x:c r="C51" s="69" t="str">
        <x:v>Markdown</x:v>
      </x:c>
      <x:c r="D51" s="69" t="str">
        <x:v>0–1376</x:v>
      </x:c>
      <x:c r="E51" s="71" t="str">
        <x:v>## 升駿工程行
統編:88487267
聯絡人:陳先生
聯絡電話:0966577061
付款人
工程名稱：
聯絡人:向上建設 李主任
統一編號:90057101
## 報價單
00001
聯絡電話：
日期：114/10/30
報價單號：
客戶編號：
&lt;table&gt;&lt;tr&gt;&lt;td&gt;項目&lt;/td&gt;&lt;td&gt;單價&lt;/td&gt;&lt;td&gt;數量&lt;/td&gt;&lt;td&gt;合計&lt;/td&gt;&lt;/tr&gt;&lt;tr&gt;&lt;td&gt;乾淨土&lt;/td&gt;&lt;td&gt;$800/米&lt;/td&gt;&lt;td&gt;&lt;/td&gt;&lt;td&gt;&lt;/td&gt;&lt;/tr&gt;&lt;tr&gt;&lt;td&gt;木頭、純木板&lt;/td&gt;&lt;td&gt;$1500/米&lt;/td&gt;&lt;td&gt;&lt;/td&gt;&lt;td&gt;&lt;/td&gt;&lt;/tr&gt;&lt;tr&gt;&lt;td&gt;磚塊、水泥塊(不得有馬桶、磁磚、瓦片、玻璃)&lt;/td&gt;&lt;td&gt;$1800/米&lt;/td&gt;&lt;td&gt;&lt;/td&gt;&lt;td&gt;&lt;/td&gt;&lt;/tr&gt;&lt;tr&gt;&lt;td&gt;混合廢料&lt;/td&gt;&lt;td&gt;$2800/米&lt;/td&gt;&lt;td&gt;&lt;/td&gt;&lt;td&gt;&lt;/td&gt;&lt;/tr&gt;&lt;tr&gt;&lt;td&gt;石膏板、矽酸蓋板&lt;/td&gt;&lt;td&gt;$3000/米&lt;/td&gt;&lt;td&gt;&lt;/td&gt;&lt;td&gt;&lt;/td&gt;&lt;/tr&gt;&lt;tr&gt;&lt;td&gt;135怪手(飯車運費另計)&lt;/td&gt;&lt;td&gt;$9000/工&lt;/td&gt;&lt;td&gt;&lt;/td&gt;&lt;td&gt;&lt;/td&gt;&lt;/tr&gt;&lt;tr&gt;&lt;td&gt;135怪手破碎機、鋼牙&lt;/td&gt;&lt;td&gt;$3000/工&lt;/td&gt;&lt;td&gt;&lt;/td&gt;&lt;td&gt;&lt;/td&gt;&lt;/tr&gt;&lt;tr&gt;&lt;td&gt;200怪手(飯車運費另計)&lt;/td&gt;&lt;td&gt;$12000/工&lt;/td&gt;&lt;td&gt;&lt;/td&gt;&lt;td&gt;&lt;/td&gt;&lt;/tr&gt;&lt;tr&gt;&lt;td&gt;55怪手&lt;/td&gt;&lt;td&gt;$8000/工&lt;/td&gt;&lt;td&gt;&lt;/td&gt;&lt;td&gt;&lt;/td&gt;&lt;/tr&gt;&lt;tr&gt;&lt;td&gt;55怪手破碎、夾斗、剪刀&lt;/td&gt;&lt;td&gt;$3000/工&lt;/td&gt;&lt;td&gt;&lt;/td&gt;&lt;td&gt;&lt;/td&gt;&lt;/tr&gt;&lt;tr&gt;&lt;td&gt;17怪手&lt;/td&gt;&lt;td&gt;$8000/工&lt;/td&gt;&lt;td&gt;&lt;/td&gt;&lt;td&gt;&lt;/td&gt;&lt;/tr&gt;&lt;tr&gt;&lt;td&gt;17怪手破碎、夾斗&lt;/td&gt;&lt;td&gt;$3000/工&lt;/td&gt;&lt;td&gt;&lt;/td&gt;&lt;td&gt;&lt;/td&gt;&lt;/tr&gt;&lt;tr&gt;&lt;td&gt;鏈裝機&lt;/td&gt;&lt;td&gt;$8000/工&lt;/td&gt;&lt;td&gt;&lt;/td&gt;&lt;td&gt;&lt;/td&gt;&lt;/tr&gt;&lt;tr&gt;&lt;td&gt;掃地機&lt;/td&gt;&lt;td&gt;$12000/工&lt;/td&gt;&lt;td&gt;&lt;/td&gt;&lt;td&gt;&lt;/td&gt;&lt;/tr&gt;&lt;tr&gt;&lt;td&gt;小車做工&lt;/td&gt;&lt;td&gt;$8000/工&lt;/td&gt;&lt;td&gt;&lt;/td&gt;&lt;td&gt;&lt;/td&gt;&lt;/tr&gt;&lt;tr&gt;&lt;td&gt;大車做工&lt;/td&gt;&lt;td&gt;$10000/工&lt;/td&gt;&lt;td&gt;&lt;/td&gt;&lt;td&gt;&lt;/td&gt;&lt;/tr&gt;&lt;tr&gt;&lt;td colspan="4"&gt;條款及細則&lt;/td&gt;&lt;/tr&gt;&lt;/table&gt;
\- 本報價單等同契約書(一式兩份)，煩請確認後簽章回傳本單或郵寄。
付款方式:清運結束收現金或匯款。
\- 本報價單有效期限:7天。
統一編號
![](images/b71efd355e7da0618444d2cc49eb8adc84c7e8cb1ac5c346e7e5cbbd44ada959.jpg)
\$實做實算
總計 (未稅)
</x:v>
      </x:c>
    </x:row>
    <x:row r="52">
      <x:c r="A52" s="69" t="str">
        <x:v>SRC048</x:v>
      </x:c>
      <x:c r="B52" s="69" t="str">
        <x:v>20251106山源工程-清水模潑水劑報價單回傳.md#chunk-1</x:v>
      </x:c>
      <x:c r="C52" s="69" t="str">
        <x:v>Markdown</x:v>
      </x:c>
      <x:c r="D52" s="69" t="str">
        <x:v>0–2191</x:v>
      </x:c>
      <x:c r="E52" s="71" t="str">
        <x:v>&lt;table&gt;&lt;tr&gt;&lt;td colspan="7"&gt;山源工程行報價單&lt;/td&gt;&lt;/tr&gt;&lt;tr&gt;&lt;td colspan="7"&gt;業主名稱:向上建設&lt;/td&gt;&lt;/tr&gt;&lt;tr&gt;&lt;td colspan="5"&gt;工程地點:後龍&lt;/td&gt;&lt;td colspan="2"&gt;日期:114年11月04日&lt;/td&gt;&lt;/tr&gt;&lt;tr&gt;&lt;td&gt;項次&lt;/td&gt;&lt;td&gt;工程項目&lt;/td&gt;&lt;td&gt;規格&lt;/td&gt;&lt;td&gt;數量&lt;/td&gt;&lt;td&gt;單價&lt;/td&gt;&lt;td&gt;複價&lt;/td&gt;&lt;td&gt;備註&lt;/td&gt;&lt;/tr&gt;&lt;tr&gt;&lt;td&gt;1&lt;/td&gt;&lt;td&gt;清水模潑水劑塗佈&lt;/td&gt;&lt;td&gt;m2&lt;/td&gt;&lt;td&gt;40&lt;/td&gt;&lt;td&gt;420&lt;/td&gt;&lt;td&gt;16,800&lt;/td&gt;&lt;td&gt;&lt;/td&gt;&lt;/tr&gt;&lt;tr&gt;&lt;td&gt;&lt;/td&gt;&lt;td&gt;&lt;/td&gt;&lt;td&gt;&lt;/td&gt;&lt;td&gt;&lt;/td&gt;&lt;td&gt;400&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小計&lt;/td&gt;&lt;td&gt;&lt;/td&gt;&lt;/tr&gt;&lt;tr&gt;&lt;td&gt;&lt;/td&gt;&lt;td&gt;&lt;/td&gt;&lt;td&gt;&lt;/td&gt;&lt;td&gt;&lt;/td&gt;&lt;td&gt;&lt;/td&gt;&lt;td&gt;稅金&lt;/td&gt;&lt;td&gt;&lt;/td&gt;&lt;/tr&gt;&lt;tr&gt;&lt;td&gt;&lt;/td&gt;&lt;td&gt;&lt;/td&gt;&lt;td&gt;&lt;/td&gt;&lt;td&gt;&lt;/td&gt;&lt;td&gt;&lt;/td&gt;&lt;td&gt;合計&lt;/td&gt;&lt;td&gt;16,800&lt;/td&gt;&lt;/tr&gt;&lt;tr&gt;&lt;td&gt;&lt;/td&gt;&lt;td&gt;&lt;/td&gt;&lt;td&gt;&lt;/td&gt;&lt;td&gt;&lt;/td&gt;&lt;td&gt;&lt;/td&gt;&lt;td&gt;&lt;/td&gt;&lt;td&gt;16000&lt;/td&gt;&lt;/tr&gt;&lt;tr&gt;&lt;td&gt;&lt;/td&gt;&lt;td&gt;&lt;/td&gt;&lt;td&gt;&lt;/td&gt;&lt;td&gt;&lt;/td&gt;&lt;td&gt;&lt;/td&gt;&lt;td&gt;&lt;/td&gt;&lt;td&gt;&lt;/td&gt;&lt;/tr&gt;&lt;tr&gt;&lt;td colspan="4"&gt;備註:&lt;/td&gt;&lt;td colspan="3"&gt;客戶同意簽章&lt;/td&gt;&lt;/tr&gt;&lt;tr&gt;&lt;td colspan="4"&gt;(1)以上報價金額不含稅金(如需發票5%稅金另計)。&lt;/td&gt;&lt;td rowspan="4" colspan="3"&gt;李仁青&lt;/td&gt;&lt;/tr&gt;&lt;tr&gt;&lt;td colspan="4"&gt;&lt;/td&gt;&lt;/tr&gt;&lt;tr&gt;&lt;td colspan="4"&gt;&lt;/td&gt;&lt;/tr&gt;&lt;tr&gt;&lt;td colspan="4"&gt;&lt;/td&gt;&lt;/tr&gt;&lt;tr&gt;&lt;td colspan="4"&gt;聯絡人:葉先生&lt;/td&gt;&lt;td colspan="2"&gt;電話:0932-088-914&lt;/td&gt;&lt;td&gt;負責人:苗栗&lt;/td&gt;&lt;/tr&gt;&lt;tr&gt;&lt;td colspan="4"&gt;公司地址:新北市中和區國光街103號&lt;/td&gt;&lt;td colspan="2"&gt;電話:(02)2956-2673&lt;/td&gt;&lt;td&gt;竹南鎮中港里中&lt;/td&gt;&lt;/tr&gt;&lt;tr&gt;&lt;td colspan="4"&gt;統編:17819498&lt;/td&gt;&lt;td colspan="3"&gt;Mail:jinnjia1118@gmail.com&lt;/td&gt;&lt;/tr&gt;&lt;/table&gt;
![](images/3494f5e96bf3043c90ae8a983cefdd6590318ee162ceb51fe38772ff0f241de0.jpg)
</x:v>
      </x:c>
    </x:row>
    <x:row r="53">
      <x:c r="A53" s="69" t="str">
        <x:v>SRC049</x:v>
      </x:c>
      <x:c r="B53" s="69" t="str">
        <x:v>20251106昶盛製網-鋼線網報價單回傳.md#chunk-1</x:v>
      </x:c>
      <x:c r="C53" s="69" t="str">
        <x:v>Markdown</x:v>
      </x:c>
      <x:c r="D53" s="69" t="str">
        <x:v>0–2732</x:v>
      </x:c>
      <x:c r="E53" s="71" t="str">
        <x:v>昶盛製網有限公司
## 地址：桃園市新屋區望間里13鄰十五間13-5號
電話：(03)476-6121 傳真：(03)476-6378
報價單
客戶名稱：向上建設股份有限公司
報價日期：114年10月29日
CH-1141031
工程案名：
公司地址：苗栗縣竹南鎮康德街71號
聯絡人：李主任
現場聯絡人：0921-081438
統一編號：90057101
送货地址：後龍
電話：03-7775355#519
傳真：
&lt;table&gt;&lt;tr&gt;&lt;td&gt;序號&lt;/td&gt;&lt;td&gt;品名&lt;/td&gt;&lt;td&gt;縱徑(mm)&lt;/td&gt;&lt;td&gt;橫徑(mm)&lt;/td&gt;&lt;td&gt;縱距(mm)&lt;/td&gt;&lt;td&gt;横距(mm)&lt;/td&gt;&lt;td&gt;長(M)&lt;/td&gt;&lt;td&gt;寬(M)&lt;/td&gt;&lt;td&gt;數量&lt;/td&gt;&lt;td&gt;單位&lt;/td&gt;&lt;td&gt;單價&lt;/td&gt;&lt;td&gt;計價單位&lt;/td&gt;&lt;td&gt;複價&lt;/td&gt;&lt;td&gt;備註&lt;/td&gt;&lt;/tr&gt;&lt;tr&gt;&lt;td&gt;01&lt;/td&gt;&lt;td&gt;點焊鋼線網&lt;/td&gt;&lt;td&gt;5&lt;/td&gt;&lt;td&gt;5&lt;/td&gt;&lt;td&gt;200&lt;/td&gt;&lt;td&gt;200&lt;/td&gt;&lt;td&gt;3&lt;/td&gt;&lt;td&gt;2&lt;/td&gt;&lt;td&gt;&lt;/td&gt;&lt;td&gt;片&lt;/td&gt;&lt;td&gt;230&lt;/td&gt;&lt;td&gt;元/片&lt;/td&gt;&lt;td&gt;&lt;/td&gt;&lt;td&gt;&lt;/td&gt;&lt;/tr&gt;&lt;tr&gt;&lt;td&gt;02&lt;/td&gt;&lt;td&gt;點焊鋼線網&lt;/td&gt;&lt;td&gt;6&lt;/td&gt;&lt;td&gt;6&lt;/td&gt;&lt;td&gt;200&lt;/td&gt;&lt;td&gt;200&lt;/td&gt;&lt;td&gt;3&lt;/td&gt;&lt;td&gt;2&lt;/td&gt;&lt;td&gt;&lt;/td&gt;&lt;td&gt;片&lt;/td&gt;&lt;td&gt;320&lt;/td&gt;&lt;td&gt;元/片&lt;/td&gt;&lt;td&gt;&lt;/td&gt;&lt;td&gt;&lt;/td&gt;&lt;/tr&gt;&lt;tr&gt;&lt;td&gt;03&lt;/td&gt;&lt;td&gt;運費&lt;/td&gt;&lt;td&gt;&lt;/td&gt;&lt;td&gt;&lt;/td&gt;&lt;td&gt;&lt;/td&gt;&lt;td&gt;&lt;/td&gt;&lt;td&gt;&lt;/td&gt;&lt;td&gt;&lt;/td&gt;&lt;td&gt;1&lt;/td&gt;&lt;td&gt;趟&lt;/td&gt;&lt;td&gt;2000&lt;/td&gt;&lt;td&gt;元/趟&lt;/td&gt;&lt;td&gt;2,000&lt;/td&gt;&lt;td&gt;&lt;/td&gt;&lt;/tr&gt;&lt;tr&gt;&lt;td&gt;04&lt;/td&gt;&lt;td&gt;&lt;/td&gt;&lt;td&gt;&lt;/td&gt;&lt;td&gt;&lt;/td&gt;&lt;td&gt;&lt;/td&gt;&lt;td&gt;&lt;/td&gt;&lt;td&gt;&lt;/td&gt;&lt;td&gt;&lt;/td&gt;&lt;td&gt;&lt;/td&gt;&lt;td&gt;&lt;/td&gt;&lt;td&gt;&lt;/td&gt;&lt;td&gt;&lt;/td&gt;&lt;td&gt;&lt;/td&gt;&lt;td&gt;&lt;/td&gt;&lt;/tr&gt;&lt;tr&gt;&lt;td&gt;05&lt;/td&gt;&lt;td&gt;&lt;/td&gt;&lt;td&gt;&lt;/td&gt;&lt;td&gt;&lt;/td&gt;&lt;td&gt;&lt;/td&gt;&lt;td&gt;&lt;/td&gt;&lt;td&gt;&lt;/td&gt;&lt;td&gt;&lt;/td&gt;&lt;td&gt;&lt;/td&gt;&lt;td&gt;&lt;/td&gt;&lt;td&gt;&lt;/td&gt;&lt;td&gt;&lt;/td&gt;&lt;td&gt;&lt;/td&gt;&lt;td&gt;&lt;/td&gt;&lt;/tr&gt;&lt;tr&gt;&lt;td&gt;06&lt;/td&gt;&lt;td&gt;&lt;/td&gt;&lt;td&gt;&lt;/td&gt;&lt;td&gt;&lt;/td&gt;&lt;td&gt;&lt;/td&gt;&lt;td&gt;&lt;/td&gt;&lt;td&gt;&lt;/td&gt;&lt;td&gt;&lt;/td&gt;&lt;td&gt;&lt;/td&gt;&lt;td&gt;&lt;/td&gt;&lt;td&gt;&lt;/td&gt;&lt;td&gt;&lt;/td&gt;&lt;td&gt;&lt;/td&gt;&lt;td&gt;&lt;/td&gt;&lt;/tr&gt;&lt;tr&gt;&lt;td&gt;07&lt;/td&gt;&lt;td&gt;&lt;/td&gt;&lt;td&gt;&lt;/td&gt;&lt;td&gt;&lt;/td&gt;&lt;td&gt;&lt;/td&gt;&lt;td&gt;&lt;/td&gt;&lt;td&gt;&lt;/td&gt;&lt;td&gt;&lt;/td&gt;&lt;td&gt;&lt;/td&gt;&lt;td&gt;&lt;/td&gt;&lt;td&gt;&lt;/td&gt;&lt;td&gt;&lt;/td&gt;&lt;td&gt;&lt;/td&gt;&lt;td&gt;&lt;/td&gt;&lt;/tr&gt;&lt;tr&gt;&lt;td&gt;08&lt;/td&gt;&lt;td&gt;&lt;/td&gt;&lt;td&gt;&lt;/td&gt;&lt;td&gt;&lt;/td&gt;&lt;td&gt;&lt;/td&gt;&lt;td&gt;&lt;/td&gt;&lt;td&gt;&lt;/td&gt;&lt;td&gt;&lt;/td&gt;&lt;td&gt;&lt;/td&gt;&lt;td&gt;&lt;/td&gt;&lt;td&gt;&lt;/td&gt;&lt;td&gt;&lt;/td&gt;&lt;td&gt;&lt;/td&gt;&lt;td&gt;&lt;/td&gt;&lt;/tr&gt;&lt;tr&gt;&lt;td&gt;09&lt;/td&gt;&lt;td&gt;&lt;/td&gt;&lt;td&gt;&lt;/td&gt;&lt;td&gt;&lt;/td&gt;&lt;td&gt;&lt;/td&gt;&lt;td&gt;&lt;/td&gt;&lt;td&gt;&lt;/td&gt;&lt;td&gt;&lt;/td&gt;&lt;td&gt;&lt;/td&gt;&lt;td&gt;&lt;/td&gt;&lt;td&gt;&lt;/td&gt;&lt;td&gt;&lt;/td&gt;&lt;td&gt;&lt;/td&gt;&lt;td&gt;&lt;/td&gt;&lt;/tr&gt;&lt;tr&gt;&lt;td&gt;10&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小計:&lt;/td&gt;&lt;td&gt;&lt;/td&gt;&lt;td&gt;&lt;/td&gt;&lt;td&gt;2,000 元 (未稅)&lt;/td&gt;&lt;td&gt;&lt;/td&gt;&lt;/tr&gt;&lt;tr&gt;&lt;td&gt;&lt;/td&gt;&lt;td&gt;&lt;/td&gt;&lt;td&gt;&lt;/td&gt;&lt;td&gt;&lt;/td&gt;&lt;td&gt;&lt;/td&gt;&lt;td&gt;&lt;/td&gt;&lt;td&gt;&lt;/td&gt;&lt;td&gt;&lt;/td&gt;&lt;td&gt;&lt;/td&gt;&lt;td&gt;小計:&lt;/td&gt;&lt;td&gt;&lt;/td&gt;&lt;td&gt;&lt;/td&gt;&lt;td&gt;2,100 元 (含稅)&lt;/td&gt;&lt;td&gt;&lt;/td&gt;&lt;/tr&gt;&lt;/table&gt;
注意事项：
1. 以上單價 不含5%營業稅及委外試驗費，且以實送實算計價，出貨數量超過原合約 10%以上需另行報價。
2. 付款方式：當月結30天期票。
3. 交貨日期：數量確認回傳後需通知生產 10 個工作天(不含假日)。不含額外加工(ex:鍍鋅)
4. 材料單價：不含裁切、施工、吊運機具、墊片、小搬運、補強筋(材料及加工)。
5. 報價有效日期：自報價日起5天內有效，回傳下訂後3個月未出貨，超時需另重新議價。
6. 本產品規範依 CNS 6919 G3132 為標準。
買方公司章
![](images/8a0530f071eb2de3f84435601a80661be970f227c3f2848d7919af2ec5f47859.jpg)
统一發票專用章
統一編號
90057101
TEL:037-775355
負責人：洪建豪
本資料經雙方簽章後，視同正式契約。（請蓋章回傳）
昶盛製網公司章
製網有限
TEL:(03)4766121
FAX:(03)4766378
![](images/ce310da34d709054b77ee44807798258ff79e3f9045121c32c1ae587f61bd197.jpg)
報價章
承辦人：曾s
聯絡人：陳柏融
0935-264216
</x:v>
      </x:c>
    </x:row>
    <x:row r="54">
      <x:c r="A54" s="69" t="str">
        <x:v>SRC050</x:v>
      </x:c>
      <x:c r="B54" s="69" t="str">
        <x:v>20251110晏成工程-鷹架報價單回傳.md#chunk-1</x:v>
      </x:c>
      <x:c r="C54" s="69" t="str">
        <x:v>Markdown</x:v>
      </x:c>
      <x:c r="D54" s="69" t="str">
        <x:v>0–5364</x:v>
      </x:c>
      <x:c r="E54" s="71" t="str">
        <x:v>## 晏成工程有限公司
報價單
公司名稱：向上建設股份有限公司/90057101
聯絡人：李仁普先生
公司地址：350苗栗縣竹南鎮康德街71號
行動電話：0921-081438
工程名稱：向上-拾壹間(1F、2F外牆塗料搭架)
電話：03-777-5355#519
工程地址：356苗栗縣後龍鎮新東路120號
傳真：
&lt;table&gt;&lt;tr&gt;&lt;td&gt;項次&lt;/td&gt;&lt;td&gt;項目&lt;/td&gt;&lt;td&gt;單位&lt;/td&gt;&lt;td&gt;數量&lt;/td&gt;&lt;td&gt;單價&lt;/td&gt;&lt;td&gt;金額&lt;/td&gt;&lt;td&gt;備註&lt;/td&gt;&lt;/tr&gt;&lt;tr&gt;&lt;td&gt;1&lt;/td&gt;&lt;td&gt;鋼管鷹架(非CNS4750)&lt;/td&gt;&lt;td&gt;m2&lt;/td&gt;&lt;td&gt;673.00&lt;/td&gt;&lt;td&gt;230&lt;/td&gt;&lt;td&gt;154,790&lt;/td&gt;&lt;td&gt;含內外側交叉拉桿、內外側中欄杆&lt;/td&gt;&lt;/tr&gt;&lt;tr&gt;&lt;td&gt;2&lt;/td&gt;&lt;td&gt;防塵網(0針)&lt;/td&gt;&lt;td&gt;m2&lt;/td&gt;&lt;td&gt;525.00&lt;/td&gt;&lt;td&gt;45&lt;/td&gt;&lt;td&gt;23,625&lt;/td&gt;&lt;td&gt;&lt;/td&gt;&lt;/tr&gt;&lt;tr&gt;&lt;td&gt;3&lt;/td&gt;&lt;td&gt;防塵網(18針)&lt;/td&gt;&lt;td&gt;m2&lt;/td&gt;&lt;td&gt;&lt;/td&gt;&lt;td&gt;70&lt;/td&gt;&lt;td&gt;0&lt;/td&gt;&lt;td&gt;&lt;/td&gt;&lt;/tr&gt;&lt;tr&gt;&lt;td&gt;4&lt;/td&gt;&lt;td&gt;帆布網(鄰房處)&lt;/td&gt;&lt;td&gt;m2&lt;/td&gt;&lt;td&gt;&lt;/td&gt;&lt;td&gt;75&lt;/td&gt;&lt;td&gt;0&lt;/td&gt;&lt;td&gt;&lt;/td&gt;&lt;/tr&gt;&lt;tr&gt;&lt;td&gt;5&lt;/td&gt;&lt;td&gt;鐵爬梯&lt;/td&gt;&lt;td&gt;支&lt;/td&gt;&lt;td&gt;6&lt;/td&gt;&lt;td&gt;600&lt;/td&gt;&lt;td&gt;3,600&lt;/td&gt;&lt;td&gt;&lt;/td&gt;&lt;/tr&gt;&lt;tr&gt;&lt;td&gt;6&lt;/td&gt;&lt;td&gt;壁拉桿CNS4750&lt;/td&gt;&lt;td&gt;支&lt;/td&gt;&lt;td&gt;&lt;/td&gt;&lt;td&gt;350&lt;/td&gt;&lt;td&gt;0&lt;/td&gt;&lt;td&gt;&lt;/td&gt;&lt;/tr&gt;&lt;tr&gt;&lt;td&gt;7&lt;/td&gt;&lt;td&gt;鋪板(含3R管)&lt;/td&gt;&lt;td&gt;m&lt;/td&gt;&lt;td&gt;&lt;/td&gt;&lt;td&gt;600&lt;/td&gt;&lt;td&gt;0&lt;/td&gt;&lt;td&gt;&lt;/td&gt;&lt;/tr&gt;&lt;tr&gt;&lt;td&gt;8&lt;/td&gt;&lt;td&gt;踢腳板&lt;/td&gt;&lt;td&gt;m&lt;/td&gt;&lt;td&gt;&lt;/td&gt;&lt;td&gt;100&lt;/td&gt;&lt;td&gt;0&lt;/td&gt;&lt;td&gt;&lt;/td&gt;&lt;/tr&gt;&lt;tr&gt;&lt;td&gt;9&lt;/td&gt;&lt;td&gt;安全母索&lt;/td&gt;&lt;td&gt;m2&lt;/td&gt;&lt;td&gt;&lt;/td&gt;&lt;td&gt;15&lt;/td&gt;&lt;td&gt;0&lt;/td&gt;&lt;td&gt;&lt;/td&gt;&lt;/tr&gt;&lt;tr&gt;&lt;td&gt;10&lt;/td&gt;&lt;td&gt;延伸架(含30 cm水平踏板)&lt;/td&gt;&lt;td&gt;m&lt;/td&gt;&lt;td&gt;44.50&lt;/td&gt;&lt;td&gt;250&lt;/td&gt;&lt;td&gt;11,125&lt;/td&gt;&lt;td&gt;&lt;/td&gt;&lt;/tr&gt;&lt;tr&gt;&lt;td&gt;11&lt;/td&gt;&lt;td&gt;可掀式防墜網&lt;/td&gt;&lt;td&gt;m&lt;/td&gt;&lt;td&gt;&lt;/td&gt;&lt;td&gt;140&lt;/td&gt;&lt;td&gt;0&lt;/td&gt;&lt;td&gt;&lt;/td&gt;&lt;/tr&gt;&lt;tr&gt;&lt;td&gt;12&lt;/td&gt;&lt;td&gt;滿堂架&lt;/td&gt;&lt;td&gt;m3&lt;/td&gt;&lt;td&gt;&lt;/td&gt;&lt;td&gt;150&lt;/td&gt;&lt;td&gt;0&lt;/td&gt;&lt;td&gt;&lt;/td&gt;&lt;/tr&gt;&lt;tr&gt;&lt;td&gt;13&lt;/td&gt;&lt;td&gt;三角架(L=1.3~1.5 m)&lt;/td&gt;&lt;td&gt;支&lt;/td&gt;&lt;td&gt;&lt;/td&gt;&lt;td&gt;400&lt;/td&gt;&lt;td&gt;0&lt;/td&gt;&lt;td&gt;&lt;/td&gt;&lt;/tr&gt;&lt;tr&gt;&lt;td&gt;14&lt;/td&gt;&lt;td&gt;三角架(L=1.6~2 m)&lt;/td&gt;&lt;td&gt;支&lt;/td&gt;&lt;td&gt;&lt;/td&gt;&lt;td&gt;600&lt;/td&gt;&lt;td&gt;0&lt;/td&gt;&lt;td&gt;&lt;/td&gt;&lt;/tr&gt;&lt;tr&gt;&lt;td&gt;15&lt;/td&gt;&lt;td&gt;三角架(L=2.1~2.5 m)&lt;/td&gt;&lt;td&gt;支&lt;/td&gt;&lt;td&gt;&lt;/td&gt;&lt;td&gt;1,100&lt;/td&gt;&lt;td&gt;0&lt;/td&gt;&lt;td&gt;&lt;/td&gt;&lt;/tr&gt;&lt;tr&gt;&lt;td&gt;16&lt;/td&gt;&lt;td&gt;三角架(L=3 m)&lt;/td&gt;&lt;td&gt;支&lt;/td&gt;&lt;td&gt;&lt;/td&gt;&lt;td&gt;1,500&lt;/td&gt;&lt;td&gt;0&lt;/td&gt;&lt;td&gt;&lt;/td&gt;&lt;/tr&gt;&lt;tr&gt;&lt;td&gt;17&lt;/td&gt;&lt;td&gt;安全斜籬&lt;/td&gt;&lt;td&gt;m&lt;/td&gt;&lt;td&gt;&lt;/td&gt;&lt;td&gt;600&lt;/td&gt;&lt;td&gt;0&lt;/td&gt;&lt;td&gt;&lt;/td&gt;&lt;/tr&gt;&lt;tr&gt;&lt;td&gt;18&lt;/td&gt;&lt;td&gt;單側扶手先行&lt;/td&gt;&lt;td&gt;m2&lt;/td&gt;&lt;td&gt;&lt;/td&gt;&lt;td&gt;40&lt;/td&gt;&lt;td&gt;0&lt;/td&gt;&lt;td&gt;&lt;/td&gt;&lt;/tr&gt;&lt;tr&gt;&lt;td&gt;19&lt;/td&gt;&lt;td&gt;遮斷平台&lt;/td&gt;&lt;td&gt;m&lt;/td&gt;&lt;td&gt;&lt;/td&gt;&lt;td&gt;500&lt;/td&gt;&lt;td&gt;0&lt;/td&gt;&lt;td&gt;&lt;/td&gt;&lt;/tr&gt;&lt;tr&gt;&lt;td&gt;20&lt;/td&gt;&lt;td&gt;遮斷斜板&lt;/td&gt;&lt;td&gt;m&lt;/td&gt;&lt;td&gt;&lt;/td&gt;&lt;td&gt;250&lt;/td&gt;&lt;td&gt;0&lt;/td&gt;&lt;td&gt;&lt;/td&gt;&lt;/tr&gt;&lt;tr&gt;&lt;td&gt;21&lt;/td&gt;&lt;td&gt;遮斷帆布&lt;/td&gt;&lt;td&gt;m&lt;/td&gt;&lt;td&gt;&lt;/td&gt;&lt;td&gt;250&lt;/td&gt;&lt;td&gt;0&lt;/td&gt;&lt;td&gt;&lt;/td&gt;&lt;/tr&gt;&lt;tr&gt;&lt;td&gt;22&lt;/td&gt;&lt;td&gt;加長型壁拉桿&lt;/td&gt;&lt;td&gt;支&lt;/td&gt;&lt;td&gt;&lt;/td&gt;&lt;td&gt;500&lt;/td&gt;&lt;td&gt;0&lt;/td&gt;&lt;td&gt;&lt;/td&gt;&lt;/tr&gt;&lt;tr&gt;&lt;td&gt;23&lt;/td&gt;&lt;td&gt;大斜撑&lt;/td&gt;&lt;td&gt;支&lt;/td&gt;&lt;td&gt;30&lt;/td&gt;&lt;td&gt;700&lt;/td&gt;&lt;td&gt;21,000&lt;/td&gt;&lt;td&gt;&lt;/td&gt;&lt;/tr&gt;&lt;tr&gt;&lt;td&gt;24&lt;/td&gt;&lt;td&gt;活動式施工架&lt;/td&gt;&lt;td&gt;組&lt;/td&gt;&lt;td&gt;&lt;/td&gt;&lt;td&gt;10,000&lt;/td&gt;&lt;td&gt;0&lt;/td&gt;&lt;td&gt;&lt;/td&gt;&lt;/tr&gt;&lt;tr&gt;&lt;td&gt;25&lt;/td&gt;&lt;td&gt;桁架&lt;/td&gt;&lt;td&gt;支&lt;/td&gt;&lt;td&gt;&lt;/td&gt;&lt;td&gt;2,000&lt;/td&gt;&lt;td&gt;0&lt;/td&gt;&lt;td&gt;&lt;/td&gt;&lt;/tr&gt;&lt;tr&gt;&lt;td&gt;26&lt;/td&gt;&lt;td&gt;支撐排架&lt;/td&gt;&lt;td&gt;m3&lt;/td&gt;&lt;td&gt;&lt;/td&gt;&lt;td&gt;160&lt;/td&gt;&lt;td&gt;0&lt;/td&gt;&lt;td&gt;&lt;/td&gt;&lt;/tr&gt;&lt;tr&gt;&lt;td&gt;27&lt;/td&gt;&lt;td&gt;排架滿鋪&lt;/td&gt;&lt;td&gt;m2&lt;/td&gt;&lt;td&gt;&lt;/td&gt;&lt;td&gt;250&lt;/td&gt;&lt;td&gt;0&lt;/td&gt;&lt;td&gt;&lt;/td&gt;&lt;/tr&gt;&lt;tr&gt;&lt;td&gt;28&lt;/td&gt;&lt;td&gt;點工&lt;/td&gt;&lt;td&gt;工&lt;/td&gt;&lt;td&gt;&lt;/td&gt;&lt;td&gt;3,200&lt;/td&gt;&lt;td&gt;0&lt;/td&gt;&lt;td&gt;&lt;/td&gt;&lt;/tr&gt;&lt;tr&gt;&lt;td&gt;&lt;/td&gt;&lt;td&gt;以上金額不含稅&lt;/td&gt;&lt;td&gt;&lt;/td&gt;&lt;td&gt;&lt;/td&gt;&lt;td&gt;&lt;/td&gt;&lt;td&gt;&lt;/td&gt;&lt;td&gt;&lt;/td&gt;&lt;/tr&gt;&lt;tr&gt;&lt;td colspan="5"&gt;小計&lt;/td&gt;&lt;td&gt;214,140&lt;/td&gt;&lt;td&gt;&lt;/td&gt;&lt;/tr&gt;&lt;tr&gt;&lt;td colspan="5"&gt;營業稅&lt;/td&gt;&lt;td&gt;10,707&lt;/td&gt;&lt;td rowspan="2"&gt;向上建設股份有限公司統一發票專用統一編號&lt;/td&gt;&lt;/tr&gt;&lt;tr&gt;&lt;td colspan="5"&gt;合計&lt;/td&gt;&lt;td&gt;224,847&lt;/td&gt;&lt;/tr&gt;&lt;tr&gt;&lt;td&gt;備註&lt;/td&gt;&lt;td colspan="4"&gt;1).本次報價非CNS-4750。2).此次交易實做實算,其他未盡事宜雙方得另行協議之。3).若同意此報價,請簽名回傳。4).依現場數量實做實算吳成工程有限公司負責人:吳和宗 0935-166504&lt;/td&gt;&lt;td&gt;&lt;img src="images/3debd880aca923a59751c7de779c2fdfb3be1f55dc3e111487f5e8ea154c98fb.jpg"/&gt;&lt;/td&gt;&lt;td&gt;9005710TEL:037-7758負責人:洪建苗栗縣竹南鎮中港里中正路報價日期:114年11月7日&lt;/td&gt;&lt;/tr&gt;&lt;/table&gt;
徐艳作 张建义 114.11.10
![](images/5a99fa9c6e3a937788bd5190f28ba5a9508c6bfb652657e1fbddcf15ae659ed8.jpg)
工程名稱：向上-拾壹間（1F、2F外牆塗料搭架）
數量計算表
&lt;table&gt;&lt;tr&gt;&lt;td&gt;編號&lt;/td&gt;&lt;td&gt;契約項次&lt;/td&gt;&lt;td&gt;項目&lt;/td&gt;&lt;td&gt;單位&lt;/td&gt;&lt;td colspan="4"&gt;計算式&lt;/td&gt;&lt;td&gt;數量&lt;/td&gt;&lt;td&gt;備註&lt;/td&gt;&lt;/tr&gt;&lt;tr&gt;&lt;td&gt;一&lt;/td&gt;&lt;td&gt;1&lt;/td&gt;&lt;td&gt;鋼管鷹架(非CNS4750)&lt;/td&gt;&lt;td&gt;m2&lt;/td&gt;&lt;td&gt;長度(m)&lt;/td&gt;&lt;td&gt;排數&lt;/td&gt;&lt;td&gt;高度(m)&lt;/td&gt;&lt;td&gt;處、樓&lt;/td&gt;&lt;td&gt;面積(m2)&lt;/td&gt;&lt;td&gt;&lt;/td&gt;&lt;/tr&gt;&lt;tr&gt;&lt;td&gt;1&lt;/td&gt;&lt;td&gt;&lt;/td&gt;&lt;td&gt;1F 外架&lt;/td&gt;&lt;td&gt;&lt;/td&gt;&lt;td&gt;65.00&lt;/td&gt;&lt;td&gt;1&lt;/td&gt;&lt;td&gt;4.30&lt;/td&gt;&lt;td&gt;1&lt;/td&gt;&lt;td&gt;279.50&lt;/td&gt;&lt;td&gt;&lt;/td&gt;&lt;/tr&gt;&lt;tr&gt;&lt;td&gt;2&lt;/td&gt;&lt;td&gt;&lt;/td&gt;&lt;td&gt;1F 內補架、天井架 合計&lt;/td&gt;&lt;td&gt;&lt;/td&gt;&lt;td&gt;41.30&lt;/td&gt;&lt;td&gt;1&lt;/td&gt;&lt;td&gt;4.30&lt;/td&gt;&lt;td&gt;1&lt;/td&gt;&lt;td&gt;177.59&lt;/td&gt;&lt;td&gt;&lt;/td&gt;&lt;/tr&gt;&lt;tr&gt;&lt;td&gt;3&lt;/td&gt;&lt;td&gt;&lt;/td&gt;&lt;td&gt;2F 外架&lt;/td&gt;&lt;td&gt;&lt;/td&gt;&lt;td&gt;65.00&lt;/td&gt;&lt;td&gt;1&lt;/td&gt;&lt;td&gt;2.70&lt;/td&gt;&lt;td&gt;1&lt;/td&gt;&lt;td&gt;175.50&lt;/td&gt;&lt;td&gt;&lt;/td&gt;&lt;/tr&gt;&lt;tr&gt;&lt;td&gt;4&lt;/td&gt;&lt;td&gt;&lt;/td&gt;&lt;td&gt;2F 內補架、天井架 合計&lt;/td&gt;&lt;td&gt;&lt;/td&gt;&lt;td&gt;15.00&lt;/td&gt;&lt;td&gt;1&lt;/td&gt;&lt;td&gt;2.70&lt;/td&gt;&lt;td&gt;1&lt;/td&gt;&lt;td&gt;40.50&lt;/td&gt;&lt;td&gt;&lt;/td&gt;&lt;/tr&gt;&lt;tr&gt;&lt;td&gt;&lt;/td&gt;&lt;td&gt;&lt;/td&gt;&lt;td&gt;小計&lt;/td&gt;&lt;td&gt;m2&lt;/td&gt;&lt;td colspan="4"&gt;&lt;/td&gt;&lt;td&gt;673.00&lt;/td&gt;&lt;td&gt;&lt;/td&gt;&lt;/tr&gt;&lt;tr&gt;&lt;td&gt;二&lt;/td&gt;&lt;td&gt;2&lt;/td&gt;&lt;td&gt;防塵網(9針)&lt;/td&gt;&lt;td&gt;m2&lt;/td&gt;&lt;td&gt;長度(m)&lt;/td&gt;&lt;td&gt;排數&lt;/td&gt;&lt;td&gt;高度(m)&lt;/td&gt;&lt;td&gt;處、樓&lt;/td&gt;&lt;td&gt;面積(m2)&lt;/td&gt;&lt;td&gt;&lt;/td&gt;&lt;/tr&gt;&lt;tr&gt;&lt;td&gt;1&lt;/td&gt;&lt;td&gt;&lt;/td&gt;&lt;td&gt;1F 外架防塵網&lt;/td&gt;&lt;td&gt;&lt;/td&gt;&lt;td&gt;75.00&lt;/td&gt;&lt;td&gt;1&lt;/td&gt;&lt;td&gt;4.30&lt;/td&gt;&lt;td&gt;1&lt;/td&gt;&lt;td&gt;322.50&lt;/td&gt;&lt;td&gt;&lt;/td&gt;&lt;/tr&gt;&lt;tr&gt;&lt;td&gt;2&lt;/td&gt;&lt;td&gt;&lt;/td&gt;&lt;td&gt;2F 外架防塵網&lt;/td&gt;&lt;td&gt;&lt;/td&gt;&lt;td&gt;75.00&lt;/td&gt;&lt;td&gt;1&lt;/td&gt;&lt;td&gt;2.70&lt;/td&gt;&lt;td&gt;1&lt;/td&gt;&lt;td&gt;202.50&lt;/td&gt;&lt;td&gt;&lt;/td&gt;&lt;/tr&gt;&lt;tr&gt;&lt;td&gt;&lt;/td&gt;&lt;td&gt;&lt;/td&gt;&lt;td&gt;小計&lt;/td&gt;&lt;td&gt;m2&lt;/td&gt;&lt;td colspan="4"&gt;&lt;/td&gt;&lt;td&gt;525.00&lt;/td&gt;&lt;td&gt;&lt;/td&gt;&lt;/tr&gt;&lt;tr&gt;&lt;td&gt;三&lt;/td&gt;&lt;td&gt;5&lt;/td&gt;&lt;td&gt;鐵爬梯&lt;/td&gt;&lt;td&gt;支&lt;/td&gt;&lt;td colspan="4"&gt;1F 4支、2F 2支&lt;/td&gt;&lt;td&gt;6.00&lt;/td&gt;&lt;td&gt;&lt;/td&gt;&lt;/tr&gt;&lt;tr&gt;&lt;td&gt;四&lt;/td&gt;&lt;td&gt;10&lt;/td&gt;&lt;td&gt;延伸架(含30 cm水平踏板)&lt;/td&gt;&lt;td&gt;m&lt;/td&gt;&lt;td colspan="4"&gt;1F L=2.5m、2F L=42m&lt;/td&gt;&lt;td&gt;44.50&lt;/td&gt;&lt;td&gt;&lt;/td&gt;&lt;/tr&gt;&lt;tr&gt;&lt;td&gt;五&lt;/td&gt;&lt;td&gt;23&lt;/td&gt;&lt;td&gt;大斜撑&lt;/td&gt;&lt;td&gt;支&lt;/td&gt;&lt;td colspan="4"&gt;1F 30支&lt;/td&gt;&lt;td&gt;30&lt;/td&gt;&lt;td&gt;&lt;/td&gt;&lt;/tr&gt;&lt;/table&gt;
![](images/e0e3f5192e77c74f7ac97b60aebca31cc09fc62653588d6ffe98f3fa43f5e85d.jpg)
![](images/a15c61bdcc1268bd8429127ae4af96b9256ace24870fccec77e8bd643c43c8f4.jpg)  
計算式:
2F H=2.7m
(H=1.1m+1.6m)
外架 L=65m
內補架、天井架
合計 L=15m
防塵網 L=75m
鐵爬梯 2支(1支\*2處)
延伸架 合計 L=42m
</x:v>
      </x:c>
    </x:row>
    <x:row r="55">
      <x:c r="A55" s="69" t="str">
        <x:v>SRC051</x:v>
      </x:c>
      <x:c r="B55" s="69" t="str">
        <x:v>20251118卉鄉景觀-喬木移植報價單回傳.md#chunk-1</x:v>
      </x:c>
      <x:c r="C55" s="69" t="str">
        <x:v>Markdown</x:v>
      </x:c>
      <x:c r="D55" s="69" t="str">
        <x:v>0–2159</x:v>
      </x:c>
      <x:c r="E55" s="71" t="str">
        <x:v>## 估價單-詳細表
工程名稱:喬木移植
業主：line\_普
工程地點:後龍高鐵
114年11月2日
&lt;table&gt;&lt;tr&gt;&lt;td&gt;&lt;/td&gt;&lt;td&gt;品名&lt;/td&gt;&lt;td&gt;規格&lt;/td&gt;&lt;td&gt;單位&lt;/td&gt;&lt;td&gt;數量&lt;/td&gt;&lt;td&gt;單價&lt;/td&gt;&lt;td&gt;金額&lt;/td&gt;&lt;td&gt;備註&lt;/td&gt;&lt;/tr&gt;&lt;tr&gt;&lt;td&gt;&lt;/td&gt;&lt;td colspan="6"&gt;小葉欖仁移植&amp;amp;樹穴圈起預留&lt;/td&gt;&lt;td&gt;&lt;/td&gt;&lt;/tr&gt;&lt;tr&gt;&lt;td&gt;1&lt;/td&gt;&lt;td&gt;怪手&lt;/td&gt;&lt;td&gt;TB215 植栽移植.樹穴開挖&lt;/td&gt;&lt;td&gt;工&lt;/td&gt;&lt;td&gt;1&lt;/td&gt;&lt;td&gt;5,000&lt;/td&gt;&lt;td&gt;5,000&lt;/td&gt;&lt;td&gt;&lt;/td&gt;&lt;/tr&gt;&lt;tr&gt;&lt;td&gt;2&lt;/td&gt;&lt;td&gt;園藝工&lt;/td&gt;&lt;td&gt;協助怪手.設置植草板.小搬運&lt;/td&gt;&lt;td&gt;工&lt;/td&gt;&lt;td&gt;1&lt;/td&gt;&lt;td&gt;3,500&lt;/td&gt;&lt;td&gt;3,500&lt;/td&gt;&lt;td&gt;&lt;/td&gt;&lt;/tr&gt;&lt;tr&gt;&lt;td&gt;3&lt;/td&gt;&lt;td&gt;植栽擋土板&lt;/td&gt;&lt;td&gt;H:45cm&lt;/td&gt;&lt;td&gt;組&lt;/td&gt;&lt;td&gt;2&lt;/td&gt;&lt;td&gt;600&lt;/td&gt;&lt;td&gt;1,200&lt;/td&gt;&lt;td&gt;&lt;/td&gt;&lt;/tr&gt;&lt;tr&gt;&lt;td&gt;4&lt;/td&gt;&lt;td&gt;雜項損耗&lt;/td&gt;&lt;td&gt;工具五金.運費&lt;/td&gt;&lt;td&gt;式&lt;/td&gt;&lt;td&gt;1&lt;/td&gt;&lt;td&gt;2,000&lt;/td&gt;&lt;td&gt;2,000&lt;/td&gt;&lt;td&gt;&lt;/td&gt;&lt;/tr&gt;&lt;tr&gt;&lt;td&gt;&lt;/td&gt;&lt;td&gt;&lt;/td&gt;&lt;td&gt;&lt;/td&gt;&lt;td&gt;&lt;/td&gt;&lt;td&gt;&lt;/td&gt;&lt;td&gt;計&lt;/td&gt;&lt;td&gt;11,700&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小計&lt;/td&gt;&lt;td&gt;&lt;/td&gt;&lt;td&gt;&lt;/td&gt;&lt;td&gt;&lt;/td&gt;&lt;td&gt;計&lt;/td&gt;&lt;td&gt;11,700&lt;/td&gt;&lt;td&gt;&lt;/td&gt;&lt;/tr&gt;&lt;tr&gt;&lt;td&gt;&lt;/td&gt;&lt;td&gt;稅金&lt;/td&gt;&lt;td&gt;&lt;/td&gt;&lt;td&gt;&lt;/td&gt;&lt;td&gt;5%&lt;/td&gt;&lt;td&gt;11,700&lt;/td&gt;&lt;td&gt;585&lt;/td&gt;&lt;td&gt;&lt;/td&gt;&lt;/tr&gt;&lt;tr&gt;&lt;td&gt;&lt;/td&gt;&lt;td&gt;合計&lt;/td&gt;&lt;td&gt;&lt;/td&gt;&lt;td&gt;&lt;/td&gt;&lt;td&gt;&lt;/td&gt;&lt;td&gt;&lt;/td&gt;&lt;td&gt;12,285&lt;/td&gt;&lt;td&gt;&lt;/td&gt;&lt;/tr&gt;&lt;tr&gt;&lt;td colspan="4"&gt;壹萬貳仟貳佰捌拾伍 元整&lt;/td&gt;&lt;td colspan="4"&gt;NT$12,285&lt;/td&gt;&lt;/tr&gt;&lt;tr&gt;&lt;td colspan="8"&gt;卉鄉景觀工程有限公司 承辦人: 分機發票地址:新竹市寶山路452巷12弄25號 展售園址:新竹市寶山路220號景觀工程·灌溉系統·設計·施工· TEL:03-5240437.5619845 FAX:5244368室內外送禮盆栽 諮詢專線:0978-120-952 E-Mail:t240437@yahoo.com.tw統編:12981767匯款資料:卉鄉景觀工程有限公司凱基銀行-新竹分行8090234 帳號:0002-31-1804780-6&lt;/td&gt;&lt;/tr&gt;&lt;/table&gt;
![](images/f217f8d27033cd4e7ea04d4ef23eff4c8eeb90955f98ca51df9d67ee009a0c0f.jpg)
</x:v>
      </x:c>
    </x:row>
    <x:row r="56">
      <x:c r="A56" s="69" t="str">
        <x:v>SRC053</x:v>
      </x:c>
      <x:c r="B56" s="69" t="str">
        <x:v>20251121錦祥工程-隔間報價單回傳.md#chunk-1</x:v>
      </x:c>
      <x:c r="C56" s="69" t="str">
        <x:v>Markdown</x:v>
      </x:c>
      <x:c r="D56" s="69" t="str">
        <x:v>0–2515</x:v>
      </x:c>
      <x:c r="E56" s="71" t="str">
        <x:v>## 錦祥工程行
新竹市孝賢路 57 號
TEL : 5369293
手機：0937993630
FAX : 536909
估價單
114年11月20日
&lt;table&gt;&lt;tr&gt;&lt;td colspan="5"&gt;客戶名稱:向上建設電話:03-777-5355&lt;/td&gt;&lt;td rowspan="3" colspan="3"&gt;付款方式:&lt;/td&gt;&lt;/tr&gt;&lt;tr&gt;&lt;td colspan="5"&gt;工程地址:苗栗一後龍&lt;/td&gt;&lt;/tr&gt;&lt;tr&gt;&lt;td colspan="2"&gt;傳真:&lt;/td&gt;&lt;td colspan="3"&gt;統一編號:90057101&lt;/td&gt;&lt;/tr&gt;&lt;tr&gt;&lt;td&gt;項次&lt;/td&gt;&lt;td colspan="2"&gt;品名&lt;/td&gt;&lt;td&gt;數量&lt;/td&gt;&lt;td&gt;單位&lt;/td&gt;&lt;td&gt;單價&lt;/td&gt;&lt;td&gt;總價&lt;/td&gt;&lt;td&gt;備註&lt;/td&gt;&lt;/tr&gt;&lt;tr&gt;&lt;td&gt;&lt;/td&gt;&lt;td colspan="2"&gt;9mm雙面矽酸鈣板隔間&lt;/td&gt;&lt;td&gt;9&lt;/td&gt;&lt;td&gt;坪&lt;/td&gt;&lt;td&gt;3300&lt;/td&gt;&lt;td&gt;29700&lt;/td&gt;&lt;td&gt;不含油漆&lt;/td&gt;&lt;/tr&gt;&lt;tr&gt;&lt;td&gt;&lt;/td&gt;&lt;td colspan="2"&gt;&lt;/td&gt;&lt;td&gt;&lt;/td&gt;&lt;td&gt;&lt;/td&gt;&lt;td&gt;&lt;/td&gt;&lt;td&gt;&lt;/td&gt;&lt;td&gt;&lt;/td&gt;&lt;/tr&gt;&lt;tr&gt;&lt;td&gt;&lt;/td&gt;&lt;td colspan="2"&gt;60k隔音棉&lt;/td&gt;&lt;td&gt;9&lt;/td&gt;&lt;td&gt;坪&lt;/td&gt;&lt;td&gt;650&lt;/td&gt;&lt;td&gt;5850&lt;/td&gt;&lt;td&gt;&lt;/td&gt;&lt;/tr&gt;&lt;tr&gt;&lt;td&gt;&lt;/td&gt;&lt;td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colspan="2"&gt;&lt;/td&gt;&lt;td&gt;&lt;/td&gt;&lt;td&gt;&lt;/td&gt;&lt;td&gt;&lt;/td&gt;&lt;td&gt;&lt;/td&gt;&lt;td&gt;&lt;/td&gt;&lt;/tr&gt;&lt;tr&gt;&lt;td&gt;&lt;/td&gt;&lt;td colspan="2"&gt;&lt;/td&gt;&lt;td&gt;&lt;/td&gt;&lt;td&gt;&lt;/td&gt;&lt;td&gt;&lt;/td&gt;&lt;td rowspan="6"&gt;&lt;img src="images/2d234301743779c58e3ac0103cf1d0e36a33e95c6755fa01f3b6909d6d4e115d.jpg"/&gt;&lt;/td&gt;&lt;td&gt;&lt;/td&gt;&lt;/tr&gt;&lt;tr&gt;&lt;td&gt;&lt;/td&gt;&lt;td colspan="2"&gt;&lt;/td&gt;&lt;td&gt;&lt;/td&gt;&lt;td&gt;&lt;/td&gt;&lt;td&gt;&lt;/td&gt;&lt;td&gt;&lt;/td&gt;&lt;/tr&gt;&lt;tr&gt;&lt;td&gt;&lt;/td&gt;&lt;td colspan="2"&gt;&lt;/td&gt;&lt;td&gt;&lt;/td&gt;&lt;td&gt;&lt;/td&gt;&lt;td&gt;&lt;/td&gt;&lt;td&gt;&lt;/td&gt;&lt;/tr&gt;&lt;tr&gt;&lt;td&gt;&lt;/td&gt;&lt;td colspan="2"&gt;&lt;/td&gt;&lt;td&gt;&lt;/td&gt;&lt;td&gt;&lt;/td&gt;&lt;td&gt;&lt;/td&gt;&lt;td&gt;&lt;/td&gt;&lt;/tr&gt;&lt;tr&gt;&lt;td&gt;&lt;/td&gt;&lt;td colspan="2"&gt;&lt;/td&gt;&lt;td&gt;&lt;/td&gt;&lt;td&gt;&lt;/td&gt;&lt;td&gt;&lt;/td&gt;&lt;td&gt;&lt;/td&gt;&lt;/tr&gt;&lt;tr&gt;&lt;td&gt;&lt;/td&gt;&lt;td colspan="2"&gt;&lt;/td&gt;&lt;td&gt;&lt;/td&gt;&lt;td&gt;&lt;/td&gt;&lt;td&gt;&lt;/td&gt;&lt;td&gt;&lt;/td&gt;&lt;/tr&gt;&lt;tr&gt;&lt;td colspan="5"&gt;銷售金額合計&lt;/td&gt;&lt;td colspan="3"&gt;35550&lt;/td&gt;&lt;/tr&gt;&lt;tr&gt;&lt;td colspan="2"&gt;營業稅&lt;/td&gt;&lt;td colspan="3"&gt;含稅 未稅&lt;/td&gt;&lt;td colspan="3"&gt;1778&lt;/td&gt;&lt;/tr&gt;&lt;tr&gt;&lt;td colspan="5"&gt;合計總金額&lt;/td&gt;&lt;td colspan="3"&gt;37328 35000&lt;/td&gt;&lt;/tr&gt;&lt;tr&gt;&lt;td colspan="8"&gt;合計新台幣: 叁萬柒仟叁佰貳拾捌 元整 議價後含較&lt;/td&gt;&lt;/tr&gt;&lt;tr&gt;&lt;td colspan="8"&gt;根據動產法第三章附條件買賣、買方購貨若無法償付貨款或支票到期無法兌現、則賣方則隨時取回原物或等值他物以抵償貨款、買方不得異議。 天花板施工不扣燈具面積、不含木料收邊、水電空調補強自行處理。本單經雙方簽字或簽章是同買賣。合約雙方各執壹份。&lt;/td&gt;&lt;/tr&gt;&lt;/table&gt;
2間 0K 洪春文
</x:v>
      </x:c>
    </x:row>
    <x:row r="57">
      <x:c r="A57" s="69" t="str">
        <x:v>SRC052</x:v>
      </x:c>
      <x:c r="B57" s="69" t="str">
        <x:v>20251121長陽企業-格來得鐵捲門報價單回傳.md#chunk-1</x:v>
      </x:c>
      <x:c r="C57" s="69" t="str">
        <x:v>Markdown</x:v>
      </x:c>
      <x:c r="D57" s="69" t="str">
        <x:v>0–1404</x:v>
      </x:c>
      <x:c r="E57" s="71" t="str">
        <x:v># 長陽企業社
# 報價單
客戶名稱：向上建設
聯絡人：李主任0921-081-438
日期：2025/11/20
聯絡電話：037-775-355#526
單號：141120004
頁次：1
傳真號碼：
工程地點：苗栗縣後龍鎮新東路120號向上拾壹間社區大樓
&lt;table&gt;&lt;tr&gt;&lt;td&gt;No&lt;/td&gt;&lt;td&gt;品名/規格&lt;/td&gt;&lt;td&gt;數量&lt;/td&gt;&lt;td&gt;單位&lt;/td&gt;&lt;td&gt;單價&lt;/td&gt;&lt;td&gt;金額&lt;/td&gt;&lt;td&gt;備註&lt;/td&gt;&lt;/tr&gt;&lt;tr&gt;&lt;td&gt;1&lt;/td&gt;&lt;td&gt;格來得鋁合金花格快速捲門經典型W3830*H31801.304不銹鋼軌道-防飢型。2.鍍鋅烤漆捲箱-三面封+上蓋板一面。(註:標準制式色為白、奶油白、深灰)3.車道專用馬達、遙控器*3類、安全系統等裝置。4.電源用220V,馬達邊在內左邊。5.使用鋼板捲軸成捲。&lt;/td&gt;&lt;td&gt;1.00&lt;/td&gt;&lt;td&gt;式&lt;/td&gt;&lt;td&gt;83,000&lt;/td&gt;&lt;td&gt;83,000&lt;/td&gt;&lt;td&gt;公用車道門-內捲&lt;/td&gt;&lt;/tr&gt;&lt;tr&gt;&lt;td&gt;2&lt;/td&gt;&lt;td&gt;光電開關-紅外線安全感調整自動關門&lt;/td&gt;&lt;td&gt;1.00&lt;/td&gt;&lt;td&gt;PCS&lt;/td&gt;&lt;td&gt;5,000&lt;/td&gt;&lt;td&gt;5,000&lt;/td&gt;&lt;td&gt;&lt;/td&gt;&lt;/tr&gt;&lt;tr&gt;&lt;td&gt;3&lt;/td&gt;&lt;td&gt;遙控器另作追加。原附3類,共計有11類。&amp;lt;以下空白&amp;gt;&lt;/td&gt;&lt;td&gt;8.00&lt;/td&gt;&lt;td&gt;類&lt;/td&gt;&lt;td&gt;500&lt;/td&gt;&lt;td&gt;4,000&lt;/td&gt;&lt;td&gt;&lt;/td&gt;&lt;/tr&gt;&lt;tr&gt;&lt;td colspan="5"&gt;&lt;/td&gt;&lt;td colspan="2"&gt;合 計: 92,000折扣: -1,524稅 額: 4,524總 計: 95,000&lt;/td&gt;&lt;/tr&gt;&lt;/table&gt;
重要事項：  
1. 本報價有效期限30日。  
2. 報價單經確認後簽回視同訂單。  
3. 此報價量依圖面初步估價，實際計價將依現場正式施工尺寸及用料確認有無需要更改，再調整。  
4.上述款項未全部兌現時，本公司仍保有產品所有權。
&lt;table&gt;&lt;tr&gt;&lt;td&gt;公司:長陽企業社/格來得竹苗分廠&lt;/td&gt;&lt;td rowspan="5"&gt;&lt;img src="images/f93cf7e3a5c508584e564981303e7967f544aabfcdb75421484435ee1e018dcd.jpg"/&gt;&lt;/td&gt;&lt;td rowspan="5"&gt;客戶確認蓋章&lt;/td&gt;&lt;td rowspan="5"&gt;向上建設股份有限公司統一發票專用章統一編號90057101TEL:037-775355負責人:洪建豪苗栗縣竹南鎮中港里中正路423號&lt;/td&gt;&lt;/tr&gt;&lt;tr&gt;&lt;td&gt;電話:03-5926-125&lt;/td&gt;&lt;/tr&gt;&lt;tr&gt;&lt;td&gt;傳真:03-5926-617&lt;/td&gt;&lt;/tr&gt;&lt;tr&gt;&lt;td&gt;住址:新竹縣芎林鄉文明路57號&lt;/td&gt;&lt;/tr&gt;&lt;tr&gt;&lt;td&gt;聯絡人:黃品欣 0938-649-292&lt;/td&gt;&lt;/tr&gt;&lt;/table&gt;
![](images/fd5f569dc1948a188f74a26e1f6923430b0dda0a8ace672114d0f9eb77820bb6.jpg)
</x:v>
      </x:c>
    </x:row>
    <x:row r="58">
      <x:c r="A58" s="69" t="str">
        <x:v>SRC054</x:v>
      </x:c>
      <x:c r="B58" s="69" t="str">
        <x:v>20251124百鴻工程-陽台修補報價單回傳.md#chunk-1</x:v>
      </x:c>
      <x:c r="C58" s="69" t="str">
        <x:v>Markdown</x:v>
      </x:c>
      <x:c r="D58" s="69" t="str">
        <x:v>0–1248</x:v>
      </x:c>
      <x:c r="E58" s="71" t="str">
        <x:v># 百鴻工程行
# 報價單
客户名稱：向上建設 李主任
工地名稱：
114.11.24
&lt;table&gt;&lt;tr&gt;&lt;td&gt;類別&lt;/td&gt;&lt;td&gt;項目&lt;/td&gt;&lt;td&gt;單位&lt;/td&gt;&lt;td&gt;單價&lt;/td&gt;&lt;td&gt;預估&lt;/td&gt;&lt;/tr&gt;&lt;tr&gt;&lt;td&gt;&lt;/td&gt;&lt;td&gt;10*10硬底線工費&lt;/td&gt;&lt;td&gt;年&lt;/td&gt;&lt;td&gt;2.100&lt;/td&gt;&lt;td&gt;&lt;/td&gt;&lt;/tr&gt;&lt;tr&gt;&lt;td&gt;&lt;/td&gt;&lt;td&gt;磚台30*30修機&lt;/td&gt;&lt;td&gt;L&lt;/td&gt;&lt;td&gt;3.000&lt;/td&gt;&lt;td&gt;2.2&lt;/td&gt;&lt;/tr&gt;&lt;tr&gt;&lt;td&gt;&lt;/td&gt;&lt;td&gt;(以下空白)&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r&gt;&lt;/table&gt;
保註：
1. 本報價單價之營業稅5%一律外加
2. 本報償單有效期間至114年12月23日止。
![](images/710d3c2b008f2ef910cbe879ff44c41b9f22eea3e4be05ef0356a574c1afab4e.jpg)
向上建設股份有限公司
統一發票專用章
統一編號
洪轩
報價人：張至宗0932 108.126
电话：037 613.119
传真：037 613.120
</x:v>
      </x:c>
    </x:row>
    <x:row r="59">
      <x:c r="A59" s="69" t="str">
        <x:v>SRC057</x:v>
      </x:c>
      <x:c r="B59" s="69" t="str">
        <x:v>20251203TOTO-衛浴報價單回傳.md#chunk-1</x:v>
      </x:c>
      <x:c r="C59" s="69" t="str">
        <x:v>Markdown</x:v>
      </x:c>
      <x:c r="D59" s="69" t="str">
        <x:v>0–2895</x:v>
      </x:c>
      <x:c r="E59" s="71" t="str">
        <x:v>张燕
![](images/894c858d57ec86a0bf213b097d3cd290e590f1ae448c3a2693deeb3ea4f9bbf8.jpg)
買方確認簽名：
&lt;table&gt;&lt;tr&gt;&lt;td colspan="3"&gt;公司名稱:向上建設股份有限公司&lt;/td&gt;&lt;td colspan="4"&gt;地址:苗栗縣竹南鎮中正路423號&lt;/td&gt;&lt;/tr&gt;&lt;tr&gt;&lt;td colspan="3"&gt;案件名稱:&lt;/td&gt;&lt;td colspan="4"&gt;電話:0932-695878&lt;/td&gt;&lt;/tr&gt;&lt;tr&gt;&lt;td colspan="3"&gt;聯絡人:洪建豪先生&lt;/td&gt;&lt;td colspan="4"&gt;傳真:&lt;/td&gt;&lt;/tr&gt;&lt;tr&gt;&lt;td&gt;項次&lt;/td&gt;&lt;td&gt;品名&lt;/td&gt;&lt;td&gt;規格&lt;/td&gt;&lt;td&gt;數量&lt;/td&gt;&lt;td&gt;單價&lt;/td&gt;&lt;td&gt;金額&lt;/td&gt;&lt;td&gt;備註&lt;/td&gt;&lt;/tr&gt;&lt;tr&gt;&lt;td&gt;1&lt;/td&gt;&lt;td&gt;單體馬桶&lt;/td&gt;&lt;td&gt;CW288SGUR&lt;/td&gt;&lt;td&gt;11&lt;/td&gt;&lt;td&gt;13,620&lt;/td&gt;&lt;td&gt;149,820&lt;/td&gt;&lt;td&gt;&lt;/td&gt;&lt;/tr&gt;&lt;tr&gt;&lt;td&gt;2&lt;/td&gt;&lt;td&gt;單體馬桶&lt;/td&gt;&lt;td&gt;CW889CDRTW&lt;/td&gt;&lt;td&gt;11&lt;/td&gt;&lt;td&gt;12,300&lt;/td&gt;&lt;td&gt;135,300&lt;/td&gt;&lt;td&gt;&lt;/td&gt;&lt;/tr&gt;&lt;tr&gt;&lt;td&gt;3&lt;/td&gt;&lt;td&gt;溫水洗淨便座&lt;/td&gt;&lt;td&gt;TCF4911ETR&lt;/td&gt;&lt;td&gt;11&lt;/td&gt;&lt;td&gt;31,410&lt;/td&gt;&lt;td&gt;345,510&lt;/td&gt;&lt;td&gt;特惠價&lt;/td&gt;&lt;/tr&gt;&lt;tr&gt;&lt;td&gt;4&lt;/td&gt;&lt;td&gt;溫水洗淨便座&lt;/td&gt;&lt;td&gt;TCF23360ATW&lt;/td&gt;&lt;td&gt;11&lt;/td&gt;&lt;td&gt;10,260&lt;/td&gt;&lt;td&gt;112,860&lt;/td&gt;&lt;td&gt;特惠價&lt;/td&gt;&lt;/tr&gt;&lt;tr&gt;&lt;td&gt;5&lt;/td&gt;&lt;td&gt;檯面盆&lt;/td&gt;&lt;td&gt;LW1615CTW&lt;/td&gt;&lt;td&gt;22&lt;/td&gt;&lt;td&gt;8,220&lt;/td&gt;&lt;td&gt;180,840&lt;/td&gt;&lt;td&gt;&lt;/td&gt;&lt;/tr&gt;&lt;tr&gt;&lt;td&gt;6&lt;/td&gt;&lt;td&gt;白色浴櫃&lt;/td&gt;&lt;td&gt;C-1615&lt;/td&gt;&lt;td&gt;22&lt;/td&gt;&lt;td&gt;6,500&lt;/td&gt;&lt;td&gt;143,000&lt;/td&gt;&lt;td&gt;需開衛生紙孔&lt;/td&gt;&lt;/tr&gt;&lt;tr&gt;&lt;td&gt;7&lt;/td&gt;&lt;td&gt;面盆龍頭&lt;/td&gt;&lt;td&gt;TLG02301PC&lt;/td&gt;&lt;td&gt;22&lt;/td&gt;&lt;td&gt;6,780&lt;/td&gt;&lt;td&gt;149,160&lt;/td&gt;&lt;td&gt;&lt;/td&gt;&lt;/tr&gt;&lt;tr&gt;&lt;td&gt;8&lt;/td&gt;&lt;td&gt;淋浴控溫龍頭&lt;/td&gt;&lt;td&gt;TBV03426P-S2&lt;/td&gt;&lt;td&gt;22&lt;/td&gt;&lt;td&gt;8,024&lt;/td&gt;&lt;td&gt;176,528&lt;/td&gt;&lt;td&gt;&lt;/td&gt;&lt;/tr&gt;&lt;tr&gt;&lt;td&gt;9&lt;/td&gt;&lt;td&gt;蓮蓬頭一段&lt;/td&gt;&lt;td&gt;9A519RY-1&lt;/td&gt;&lt;td&gt;12&lt;/td&gt;&lt;td&gt;1,593&lt;/td&gt;&lt;td&gt;19,116&lt;/td&gt;&lt;td&gt;&lt;/td&gt;&lt;/tr&gt;&lt;tr&gt;&lt;td&gt;10&lt;/td&gt;&lt;td&gt;蓮蓬頭三段&lt;/td&gt;&lt;td&gt;9A520SY-1&lt;/td&gt;&lt;td&gt;11&lt;/td&gt;&lt;td&gt;2,596&lt;/td&gt;&lt;td&gt;28,556&lt;/td&gt;&lt;td&gt;&lt;/td&gt;&lt;/tr&gt;&lt;tr&gt;&lt;td&gt;11&lt;/td&gt;&lt;td&gt;升降桿&lt;/td&gt;&lt;td&gt;TBW01016P&lt;/td&gt;&lt;td&gt;22&lt;/td&gt;&lt;td&gt;1,534&lt;/td&gt;&lt;td&gt;33,748&lt;/td&gt;&lt;td&gt;&lt;/td&gt;&lt;/tr&gt;&lt;tr&gt;&lt;td&gt;12&lt;/td&gt;&lt;td&gt;暖風乾燥機(無線220V)&lt;/td&gt;&lt;td&gt;TYB3151ADR&lt;/td&gt;&lt;td&gt;22&lt;/td&gt;&lt;td&gt;13,260&lt;/td&gt;&lt;td&gt;291,720&lt;/td&gt;&lt;td&gt;&lt;/td&gt;&lt;/tr&gt;&lt;tr&gt;&lt;td&gt;13&lt;/td&gt;&lt;td&gt;暖風乾燥機(有線220V)&lt;/td&gt;&lt;td&gt;TYB3151AAR&lt;/td&gt;&lt;td&gt;1&lt;/td&gt;&lt;td&gt;9,700&lt;/td&gt;&lt;td&gt;9,700&lt;/td&gt;&lt;td&gt;已出貨&lt;/td&gt;&lt;/tr&gt;&lt;tr&gt;&lt;td&gt;14&lt;/td&gt;&lt;td&gt;置衣平台&lt;/td&gt;&lt;td&gt;AK15&lt;/td&gt;&lt;td&gt;22&lt;/td&gt;&lt;td&gt;2,040&lt;/td&gt;&lt;td&gt;44,880&lt;/td&gt;&lt;td&gt;訂金80萬元&lt;/td&gt;&lt;/tr&gt;&lt;tr&gt;&lt;td&gt;15&lt;/td&gt;&lt;td&gt;安裝費&lt;/td&gt;&lt;td&gt;&lt;/td&gt;&lt;td&gt;1&lt;/td&gt;&lt;td&gt;141,260&lt;/td&gt;&lt;td&gt;141,260&lt;/td&gt;&lt;td&gt;&lt;/td&gt;&lt;/tr&gt;&lt;tr&gt;&lt;td&gt;16&lt;/td&gt;&lt;td&gt;&lt;/td&gt;&lt;td&gt;&lt;/td&gt;&lt;td&gt;&lt;/td&gt;&lt;td&gt;&lt;/td&gt;&lt;td&gt;&lt;/td&gt;&lt;td&gt;&lt;/td&gt;&lt;/tr&gt;&lt;tr&gt;&lt;td&gt;17&lt;/td&gt;&lt;td&gt;&lt;/td&gt;&lt;td&gt;&lt;/td&gt;&lt;td colspan="3"&gt;小計 1,961,998&lt;/td&gt;&lt;td&gt;元整&lt;/td&gt;&lt;/tr&gt;&lt;tr&gt;&lt;td&gt;18&lt;/td&gt;&lt;td&gt;&lt;/td&gt;&lt;td&gt;&lt;/td&gt;&lt;td colspan="3"&gt;稅額 98,100&lt;/td&gt;&lt;td&gt;元整&lt;/td&gt;&lt;/tr&gt;&lt;tr&gt;&lt;td&gt;19&lt;/td&gt;&lt;td&gt;&lt;/td&gt;&lt;td&gt;&lt;/td&gt;&lt;td colspan="3"&gt;總計 2,060,098&lt;/td&gt;&lt;td&gt;元整&lt;/td&gt;&lt;/tr&gt;&lt;tr&gt;&lt;td colspan="3"&gt;1.本報價單在有效期限內使生效,有效期限至 113年9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6.本報價單僅限本案使用,不得挪為其他案件使用。7.基於誠信保密原則,本報價單均不得揭露予第三人知悉。8.如因天災或不可抗力之事由,供應商之產線匯乏,致本契約產品不能繼續供應時,雙方得同意更換其它產品取代之。&lt;/td&gt;&lt;td colspan="4"&gt;9.若付款方式為匯款/轉帳,請提供帳號後5碼及匯款人姓名。◆匯款帳戶如下:銀行:台灣土地銀行 東新竹分行 (銀行代碼:005)戶名:晉展股份有限公司 帳號:103-001-005883:1.遙控器內為測試用電池,安裝後三個月內需更換,請使用碳鋅電池.2.瓷器,五金零件請使用軟質抹布,海綿沾中性清潔劑或牙膏清潔保養.3.衛洗麗溫水洗淨便座為電子類產品,應用軟質抹布沾中性清潔劑擦拭保養請勿用水清洗 承辦人:李建達0921-980012報價日期:113年8月26日&lt;/td&gt;&lt;/tr&gt;&lt;/table&gt;
TEL:03-5337638 分機:618 傳真:03-5337708
建信自動化有限公司 畏展股份有限公司
公司地址：新竹市公道五路三段538號
</x:v>
      </x:c>
    </x:row>
    <x:row r="60">
      <x:c r="A60" s="69" t="str">
        <x:v>SRC055</x:v>
      </x:c>
      <x:c r="B60" s="69" t="str">
        <x:v>20251203安翊-滴水條報價單回傳.md#chunk-1</x:v>
      </x:c>
      <x:c r="C60" s="69" t="str">
        <x:v>Markdown</x:v>
      </x:c>
      <x:c r="D60" s="69" t="str">
        <x:v>0–1469</x:v>
      </x:c>
      <x:c r="E60" s="71" t="str">
        <x:v>## 安翊企業股份有限公司
## (235)台北縣中和市中正路788號4樓
電話:02-3234-0206 傳真:02-3234-0189 E-mail:goodland@ms10.hinet.net
## 報價單
客戶名稱: 向上建設
聯絡地址: 苗栗縣竹南鎮康德街71號
連絡人: 許志豪0928652985
電話: 03 7775355\*985
有效期限:至
統一編號
報價日期: 114/12/2
負責業務: 何義軒0921-114945
幣別: NT\$
稅別: 外加
&lt;table&gt;&lt;tr&gt;&lt;td&gt;產品編號&lt;/td&gt;&lt;td&gt;產品名稱/規格描述&lt;/td&gt;&lt;td&gt;&lt;/td&gt;&lt;td&gt;單位&lt;/td&gt;&lt;td&gt;單價&lt;/td&gt;&lt;td&gt;金額&lt;/td&gt;&lt;/tr&gt;&lt;tr&gt;&lt;td&gt;直線安裝&lt;/td&gt;&lt;td&gt;S-25-烤漆滴水條本體+配件+安裝+791膠一道(下方不&lt;/td&gt;&lt;td&gt;15.00&lt;/td&gt;&lt;td&gt;M&lt;/td&gt;&lt;td&gt;$500&lt;/td&gt;&lt;td&gt;$7,500&lt;/td&gt;&lt;/tr&gt;&lt;tr&gt;&lt;td&gt;&lt;/td&gt;&lt;td&gt;車資補貼&lt;/td&gt;&lt;td&gt;1.00&lt;/td&gt;&lt;td&gt;式&lt;/td&gt;&lt;td&gt;$2,500&lt;/td&gt;&lt;td&gt;$2,500&lt;/td&gt;&lt;/tr&gt;&lt;tr&gt;&lt;td&gt;&lt;/td&gt;&lt;td&gt;*依實作數量計價,報價為一次施工費用,&lt;/td&gt;&lt;td&gt;&lt;/td&gt;&lt;td&gt;&lt;/td&gt;&lt;td&gt;&lt;/td&gt;&lt;td&gt;&lt;/td&gt;&lt;/tr&gt;&lt;tr&gt;&lt;td&gt;&lt;/td&gt;&lt;td&gt;&lt;/td&gt;&lt;td&gt;&lt;/td&gt;&lt;td&gt;&lt;/td&gt;&lt;td&gt;&lt;/td&gt;&lt;td&gt;&lt;/td&gt;&lt;/tr&gt;&lt;tr&gt;&lt;td colspan="4"&gt;付款條件:訂金30%現金/依施工進度月結支付70%(無保留款,30天內期票)&lt;/td&gt;&lt;td&gt;報價淨額&lt;/td&gt;&lt;td&gt;$10,000&lt;/td&gt;&lt;/tr&gt;&lt;tr&gt;&lt;td colspan="4"&gt;&lt;/td&gt;&lt;td&gt;稅 額&lt;/td&gt;&lt;td&gt;$500&lt;/td&gt;&lt;/tr&gt;&lt;tr&gt;&lt;td colspan="4"&gt;送貨地址:&lt;/td&gt;&lt;td&gt;總金額&lt;/td&gt;&lt;td&gt;$10,500&lt;/td&gt;&lt;/tr&gt;&lt;tr&gt;&lt;td colspan="6"&gt;備註: 1.本交易為附條件買賣,依動產交易法第二章之規定,在貨款未付清或票據未兌現償付之前,標的物之所有權,仍屬本公司所有,買受人無異議同意,本公司無須經法律程序隨時取回貨品或代物清償。2.交貨完畢,雙方如有發生訴訟,則雙方同意以台灣板橋地方法院為管轄法院。3.報價單經客戶簽認、蓋章後視同訂購合約生效。4.交貨期:另訂。5.匯款帳號:彰化銀行雙和分行(009);5678-01-00091-600。6.煩請 貴公司填寫付款人之銀行相關資料,以供本公司財務部信用徵信,不便之處請見諒,謝謝。支票付款人:支票付款支存帳號:支票付款銀行、分行名:銀行分行電話:&lt;/td&gt;&lt;/tr&gt;&lt;tr&gt;&lt;td colspan="3"&gt;客戶確認:向上建設 &lt;img src="images/4032223d46d95ac8269db02045dc698a37df8d11f574cd129c4f77c80c6ea679.jpg"/&gt;&lt;/td&gt;&lt;td colspan="3"&gt;公司確認:安翊企業股份有限公司&lt;img src="images/ece22d8b5ea02daf50cf52056ca6baae42040c91dd00f0837cbf2cb1868e38fe.jpg"/&gt;&lt;/td&gt;&lt;/tr&gt;&lt;/table&gt;
</x:v>
      </x:c>
    </x:row>
    <x:row r="61">
      <x:c r="A61" s="69" t="str">
        <x:v>SRC056</x:v>
      </x:c>
      <x:c r="B61" s="69" t="str">
        <x:v>20251203長陽企業-格來得鐵捲門報價單回傳.md#chunk-1</x:v>
      </x:c>
      <x:c r="C61" s="69" t="str">
        <x:v>Markdown</x:v>
      </x:c>
      <x:c r="D61" s="69" t="str">
        <x:v>0–1408</x:v>
      </x:c>
      <x:c r="E61" s="71" t="str">
        <x:v>&lt;table&gt;&lt;tr&gt;&lt;td&gt;公司:長陽企業社/格來得竹苗分廠&lt;/td&gt;&lt;td rowspan="5"&gt;&lt;img src="images/b444b35a43323748c672db9e5d3f79a415274a7886dd097b2b2f1231d4a4bfb5.jpg"/&gt;&lt;/td&gt;&lt;td rowspan="5"&gt;客戶確認蓋章&lt;/td&gt;&lt;td rowspan="5"&gt;向上建設股份有限公司統一發票專用章統一編號90057101TEL:037-775355負責人:洪建豪苗栗縣竹南鎮中港里中正路423號&lt;/td&gt;&lt;td rowspan="5"&gt;收訂金&lt;/td&gt;&lt;/tr&gt;&lt;tr&gt;&lt;td&gt;電話:03-5926-125&lt;/td&gt;&lt;/tr&gt;&lt;tr&gt;&lt;td&gt;傳真:03-5926-617&lt;/td&gt;&lt;/tr&gt;&lt;tr&gt;&lt;td&gt;住址:新竹縣芎林鄉文明路57號&lt;/td&gt;&lt;/tr&gt;&lt;tr&gt;&lt;td&gt;聯絡人:黃品欣 0938-649-292&lt;/td&gt;&lt;/tr&gt;&lt;/table&gt;
2. 報價單經確認後簽回視同訂單。  
3. 此報價單依圖面初步估價，實際計價將依現場正式施工尺寸及用料確認有無需要更改，再調整。  
4. 上述款項未全部兌現時，本公司仍保有產品所有權。
# 長陽企業社 報價單
客戶名稱：向上建設
日期：2025/11/20
聯絡人：李主任0921-081-438
單號：141120004
聯絡電話：037-775-355#526
頁次：1
傳真號碼：
工程地點：苗栗縣後龍鎮新東路120號向上拾壹間社區大樓
&lt;table&gt;&lt;tr&gt;&lt;td&gt;No&lt;/td&gt;&lt;td&gt;品名/規格&lt;/td&gt;&lt;td&gt;數量&lt;/td&gt;&lt;td&gt;單位&lt;/td&gt;&lt;td&gt;單價&lt;/td&gt;&lt;td&gt;金額&lt;/td&gt;&lt;td&gt;備註&lt;/td&gt;&lt;/tr&gt;&lt;tr&gt;&lt;td&gt;1&lt;/td&gt;&lt;td&gt;格來得鋁合金花格快速捲門經典型W3830*H31801.304不銹鋼軌道-防駷型。2.鍍鋅烤漆捲箱-三面封+上蓋板一面。(註:標準制式色為白、奶油白、深灰)3.車道專用馬達、遙控器*3顆、安全系統等裝置。4.電源用220V,馬達邊在內左邊。5.使用鋼板捲軸成捲。&lt;/td&gt;&lt;td&gt;1.00&lt;/td&gt;&lt;td&gt;式&lt;/td&gt;&lt;td&gt;83,000&lt;/td&gt;&lt;td&gt;83,000&lt;/td&gt;&lt;td&gt;公用車道門-內捲&lt;/td&gt;&lt;/tr&gt;&lt;tr&gt;&lt;td&gt;2&lt;/td&gt;&lt;td&gt;光電開關-紅外線安全感應調整自動關門&lt;/td&gt;&lt;td&gt;1.00&lt;/td&gt;&lt;td&gt;PCS&lt;/td&gt;&lt;td&gt;5,000&lt;/td&gt;&lt;td&gt;5,000&lt;/td&gt;&lt;td&gt;&lt;/td&gt;&lt;/tr&gt;&lt;tr&gt;&lt;td&gt;3&lt;/td&gt;&lt;td&gt;遙控器另作追加。原附3顆,共計有11顆。&amp;lt;以下空白&amp;gt;&lt;/td&gt;&lt;td&gt;8.00&lt;/td&gt;&lt;td&gt;顆&lt;/td&gt;&lt;td&gt;500&lt;/td&gt;&lt;td&gt;4,000&lt;/td&gt;&lt;td&gt;&lt;/td&gt;&lt;/tr&gt;&lt;tr&gt;&lt;td colspan="7"&gt;合 計: 92,000折扣: -1,524稅 額: 4,524總 計: 95,000&lt;/td&gt;&lt;/tr&gt;&lt;/table&gt;
重要事項：
1. 本報價有效期限30日。
![](images/12da6395bd2439e12936b384b89344987deaa798c82eb80ca98a6b4c95b35ef8.jpg)
张鑫
</x:v>
      </x:c>
    </x:row>
    <x:row r="62">
      <x:c r="A62" s="69" t="str">
        <x:v>SRC058</x:v>
      </x:c>
      <x:c r="B62" s="69" t="str">
        <x:v>20251204長陽企業-格來得鐵捲門報價單回傳.md#chunk-1</x:v>
      </x:c>
      <x:c r="C62" s="69" t="str">
        <x:v>Markdown</x:v>
      </x:c>
      <x:c r="D62" s="69" t="str">
        <x:v>0–1262</x:v>
      </x:c>
      <x:c r="E62" s="71" t="str">
        <x:v>## 長陽企業社
# 報價單
客戶名稱：向上建設
聯絡人：李主任0921-081-438
日期：2025/11/20
聯絡電話：037-775-355#526
單號：141120004
傳真號碼：
頁 次：1
工程地點：苗栗縣後龍鎮新東路120號向上拾壹間社區大樓
&lt;table&gt;&lt;tr&gt;&lt;td&gt;No&lt;/td&gt;&lt;td&gt;品名/規格&lt;/td&gt;&lt;td&gt;數量&lt;/td&gt;&lt;td&gt;單位&lt;/td&gt;&lt;td&gt;單價&lt;/td&gt;&lt;td&gt;金額&lt;/td&gt;&lt;td&gt;備註&lt;/td&gt;&lt;/tr&gt;&lt;tr&gt;&lt;td&gt;1&lt;/td&gt;&lt;td&gt;格來得鋁合金花格快速捲門經典型W3830*H31801.304不銹鋼軌道-防飢型。2.鍍鋅烤漆捲箱-三面封+上蓋板一面。(註:標準制式色為白、奶油白、深灰)3.車道專用馬達、遙控器*5顆、安全系統等裝置。4.電源用220V,馬達邊在內左邊。5.使用鋼板捲軸成捲。&lt;/td&gt;&lt;td&gt;1.00&lt;/td&gt;&lt;td&gt;式&lt;/td&gt;&lt;td&gt;83,000&lt;/td&gt;&lt;td&gt;83,000&lt;/td&gt;&lt;td&gt;公用車道門-內捲&lt;/td&gt;&lt;/tr&gt;&lt;tr&gt;&lt;td&gt;2&lt;/td&gt;&lt;td&gt;光電開關-紅外線安全感應調整自動關門&lt;/td&gt;&lt;td&gt;1.00&lt;/td&gt;&lt;td&gt;PCS&lt;/td&gt;&lt;td&gt;5,000&lt;/td&gt;&lt;td&gt;5,000&lt;/td&gt;&lt;td&gt;&lt;/td&gt;&lt;/tr&gt;&lt;tr&gt;&lt;td&gt;3&lt;/td&gt;&lt;td&gt;遙控器另作追加。原附5顆,共計有13顆。&amp;lt;以下空白&amp;gt;&lt;/td&gt;&lt;td&gt;8.00&lt;/td&gt;&lt;td&gt;顆&lt;/td&gt;&lt;td&gt;500&lt;/td&gt;&lt;td&gt;4,000&lt;/td&gt;&lt;td&gt;&lt;/td&gt;&lt;/tr&gt;&lt;tr&gt;&lt;td colspan="5"&gt;&lt;/td&gt;&lt;td colspan="2"&gt;合計: 92,000折扣: -1,524稅額: 4,524總計: 95,000&lt;/td&gt;&lt;/tr&gt;&lt;/table&gt;
重要事項：  
1. 本報價有效期限30日。  
2.報價單經確認後贖回視同訂單。  
3. 此報價單依圖面初步估價，實際計價將依現場正式施工尺寸及用料確認有無需要更改，再調整。  
4.上述款項未全部兌現時，本公司仍保有產品所有權。
&lt;table&gt;&lt;tr&gt;&lt;td&gt;公司:長陽企業社/格來得竹苗分廠&lt;/td&gt;&lt;/tr&gt;&lt;tr&gt;&lt;td&gt;電話:03-5926-125&lt;/td&gt;&lt;/tr&gt;&lt;tr&gt;&lt;td&gt;傳真:03-5926-617&lt;/td&gt;&lt;/tr&gt;&lt;tr&gt;&lt;td&gt;住址:新竹縣芎林鄉文明路57號&lt;/td&gt;&lt;/tr&gt;&lt;tr&gt;&lt;td&gt;聯絡人:黃品欣 0938-649-292&lt;/td&gt;&lt;/tr&gt;&lt;/table&gt;
![](images/450d6788b2ee5b7a02b70dac3217677051bbd3e17a1e98f2426b6c15472d3427.jpg)
![](images/96430180520b7c2cd33b17c68b8b194c24361def8d5ec1f87a686db5a8e78913.jpg)
</x:v>
      </x:c>
    </x:row>
    <x:row r="63">
      <x:c r="A63" s="69" t="str">
        <x:v>SRC059</x:v>
      </x:c>
      <x:c r="B63" s="69" t="str">
        <x:v>20251205上順家-壓花地坪報價單回傳.md#chunk-1</x:v>
      </x:c>
      <x:c r="C63" s="69" t="str">
        <x:v>Markdown</x:v>
      </x:c>
      <x:c r="D63" s="69" t="str">
        <x:v>0–1758</x:v>
      </x:c>
      <x:c r="E63" s="71" t="str">
        <x:v>報價單
業方：向上建設股份有限公司
業方連絡：李主任
TEL:03-777-5355
0921-081438
工程名稱：
合約編碼：
FAX:
工程地點：
估價日期：114.12.04
&lt;table&gt;&lt;tr&gt;&lt;td&gt;項次&lt;/td&gt;&lt;td&gt;工程名稱&lt;/td&gt;&lt;td&gt;單位&lt;/td&gt;&lt;td&gt;數量&lt;/td&gt;&lt;td&gt;單價&lt;/td&gt;&lt;td&gt;金額&lt;/td&gt;&lt;td&gt;備註說明&lt;/td&gt;&lt;/tr&gt;&lt;tr&gt;&lt;td&gt;1.&lt;/td&gt;&lt;td&gt;彩石硬化料(金鋼砂)&lt;/td&gt;&lt;td&gt;M2&lt;/td&gt;&lt;td&gt;&lt;/td&gt;&lt;td&gt;&lt;/td&gt;&lt;td&gt;&lt;/td&gt;&lt;td&gt;3kg/1m2. 數量:約160㎡&lt;/td&gt;&lt;/tr&gt;&lt;tr&gt;&lt;td&gt;2.&lt;/td&gt;&lt;td&gt;脱膜粉&lt;/td&gt;&lt;td&gt;M2&lt;/td&gt;&lt;td&gt;&lt;/td&gt;&lt;td&gt;&lt;/td&gt;&lt;td&gt;&lt;/td&gt;&lt;td&gt;&lt;/td&gt;&lt;/tr&gt;&lt;tr&gt;&lt;td&gt;3.&lt;/td&gt;&lt;td&gt;封面劑&lt;/td&gt;&lt;td&gt;M2&lt;/td&gt;&lt;td&gt;&lt;/td&gt;&lt;td&gt;280&lt;/td&gt;&lt;td&gt;&lt;/td&gt;&lt;td&gt;&lt;/td&gt;&lt;/tr&gt;&lt;tr&gt;&lt;td&gt;4.&lt;/td&gt;&lt;td&gt;壓模施工工資&lt;/td&gt;&lt;td&gt;M2&lt;/td&gt;&lt;td&gt;&lt;/td&gt;&lt;td&gt;&lt;/td&gt;&lt;td&gt;&lt;/td&gt;&lt;td&gt;&lt;/td&gt;&lt;/tr&gt;&lt;tr&gt;&lt;td&gt;5.&lt;/td&gt;&lt;td&gt;清洗養護&lt;/td&gt;&lt;td&gt;M2&lt;/td&gt;&lt;td&gt;&lt;/td&gt;&lt;td&gt;&lt;/td&gt;&lt;td&gt;&lt;/td&gt;&lt;td&gt;&lt;/td&gt;&lt;/tr&gt;&lt;tr&gt;&lt;td&gt;6.&lt;/td&gt;&lt;td&gt;&lt;/td&gt;&lt;td&gt;&lt;/td&gt;&lt;td&gt;&lt;/td&gt;&lt;td&gt;&lt;/td&gt;&lt;td&gt;&lt;/td&gt;&lt;td&gt;&lt;/td&gt;&lt;/tr&gt;&lt;tr&gt;&lt;td&gt;7.&lt;/td&gt;&lt;td&gt;&lt;/td&gt;&lt;td&gt;&lt;/td&gt;&lt;td&gt;&lt;/td&gt;&lt;td&gt;&lt;/td&gt;&lt;td&gt;&lt;/td&gt;&lt;td&gt;&lt;/td&gt;&lt;/tr&gt;&lt;tr&gt;&lt;td&gt;8.&lt;/td&gt;&lt;td&gt;&lt;/td&gt;&lt;td&gt;&lt;/td&gt;&lt;td&gt;&lt;/td&gt;&lt;td&gt;&lt;/td&gt;&lt;td&gt;&lt;/td&gt;&lt;td&gt;&lt;/td&gt;&lt;/tr&gt;&lt;tr&gt;&lt;td&gt;9.&lt;/td&gt;&lt;td&gt;&lt;/td&gt;&lt;td&gt;&lt;/td&gt;&lt;td&gt;&lt;/td&gt;&lt;td&gt;&lt;/td&gt;&lt;td&gt;&lt;/td&gt;&lt;td&gt;&lt;/td&gt;&lt;/tr&gt;&lt;tr&gt;&lt;td&gt;10.&lt;/td&gt;&lt;td&gt;&lt;/td&gt;&lt;td&gt;&lt;/td&gt;&lt;td&gt;&lt;/td&gt;&lt;td&gt;&lt;/td&gt;&lt;td&gt;&lt;/td&gt;&lt;td&gt;&lt;/td&gt;&lt;/tr&gt;&lt;tr&gt;&lt;td colspan="2"&gt;小計&lt;/td&gt;&lt;td&gt;&lt;/td&gt;&lt;td&gt;&lt;/td&gt;&lt;td&gt;280&lt;/td&gt;&lt;td&gt;&lt;/td&gt;&lt;td rowspan="4"&gt;&lt;img src="images/7f259082d2dad5600741a2cb3796a279be2c128c79a9b8151442ee5d0862bf23.jpg"/&gt;&lt;/td&gt;&lt;/tr&gt;&lt;tr&gt;&lt;td colspan="2"&gt;營業稅&lt;/td&gt;&lt;td&gt;&lt;/td&gt;&lt;td&gt;&lt;/td&gt;&lt;td&gt;未稅&lt;/td&gt;&lt;td&gt;&lt;/td&gt;&lt;/tr&gt;&lt;tr&gt;&lt;td colspan="2"&gt;總合計&lt;/td&gt;&lt;td&gt;&lt;/td&gt;&lt;td&gt;&lt;/td&gt;&lt;td&gt;&lt;/td&gt;&lt;td&gt;&lt;/td&gt;&lt;/tr&gt;&lt;tr&gt;&lt;td colspan="6"&gt;報價說明: 1.本工程單價之付款方式:50%現金票50%30天期票、無保留款。2.以上單價不含5%營業稅。3.本工程計價依實際工程數量為準。4.本工程不含土尾、壓送、混凝土、點焊鋼絲網、標高、伸縮縫切割、垃圾清運。5.模具型式:人字型模具。6.顏色:S01色顏色乙方目錄為依據。7.以上報價為60天期限。&lt;/td&gt;&lt;/tr&gt;&lt;/table&gt;
黄培络人：黄冠智 0937485930
桃園公司：桃園市八德區廣福路879巷109-6號
TEL: 03-3777,82
FAX:03-377648]
E-mail: shang.shunjia@msa.hinet.net
營業項目：進口玻璃磚、玻璃馬賽克、文化石、彩石壓花地坪、速泥壓花地坪、金鋼砂。
张春梅
竹南鎮中
![](images/204bf0b9091208941f99416d4d9e602974d88ddf79a5bb225b69c05bdb91c41d.jpg)
</x:v>
      </x:c>
    </x:row>
    <x:row r="64">
      <x:c r="A64" s="69" t="str">
        <x:v>SRC060</x:v>
      </x:c>
      <x:c r="B64" s="69" t="str">
        <x:v>20251211浩森-細清報價單回傳.md#chunk-1</x:v>
      </x:c>
      <x:c r="C64" s="69" t="str">
        <x:v>Markdown</x:v>
      </x:c>
      <x:c r="D64" s="69" t="str">
        <x:v>0–1020</x:v>
      </x:c>
      <x:c r="E64" s="71" t="str">
        <x:v>![](images/41740e4c23fe0ad5848b82f5476254696c5f06e16f96078f31717d35ca7cb798.jpg)
## 浩森專業清潔工作室 報價單
客戶：李主任0921-081438
地址：向上-拾臺間／苗栗縣後龍鎮
2025.12/8
新東路120號
大楼新建案交屋清潔
&lt;table&gt;&lt;tr&gt;&lt;td&gt;項目&lt;/td&gt;&lt;td&gt;數量&lt;/td&gt;&lt;td&gt;單價&lt;/td&gt;&lt;td&gt;總價&lt;/td&gt;&lt;/tr&gt;&lt;tr&gt;&lt;td&gt;1。交屋細清+公設清潔&lt;/td&gt;&lt;td&gt;&lt;/td&gt;&lt;td&gt;$72000&lt;/td&gt;&lt;td&gt;$72000&lt;/td&gt;&lt;/tr&gt;&lt;tr&gt;&lt;td colspan="4"&gt;派工人數:4~6人&lt;/td&gt;&lt;/tr&gt;&lt;tr&gt;&lt;td colspan="4"&gt;入場日期:12/17~20&lt;/td&gt;&lt;/tr&gt;&lt;tr&gt;&lt;td&gt;&lt;/td&gt;&lt;td&gt;總報價金額&lt;/td&gt;&lt;td colspan="2"&gt;$72000(含稅)&lt;/td&gt;&lt;/tr&gt;&lt;tr&gt;&lt;td&gt;室內清潔內容天花板牆面除塵全室地板除塵除膠清潔窗戶落地門窗玻璃窗溝窗框除塵除膠清洗全室房門大門關關除塵擦拭清潔&lt;/td&gt;&lt;td&gt;廁所馬桶洗手台牆面地板清洗廚房樹框洗手台抽油煙機瓦斯爐除塵清潔陽台磁磚地板玻璃欄杆清洗變電箱吸塵&lt;/td&gt;&lt;td&gt;公設清潔內容樓梯+扶手除塵清潔機械車位除塵清潔電梯內外除塵清潔梯口磁磚地板清潔公設陽台地板玻璃欄杆清洗安全門開關除塵擦拭清潔&lt;/td&gt;&lt;td&gt;窗戶以安全為主,若無法全開式窗戶則以內部清潔為主抽屉層板可拆卸皆會拆卸清潔內部木地板採微濕清潔(平板乾跑吸塵後微濕拖過)&lt;/td&gt;&lt;/tr&gt;&lt;tr&gt;&lt;td colspan="2"&gt;戶名:浩森專業清潔工作室任守一銀行:台北富邦銀行012分行:北屯分行收款帳號:82110000426868匯款後請提供後五碼或轉帳明細以便對帳!&lt;/td&gt;&lt;td colspan="2"&gt;可開統一發票統一編號94480447LINE:@hs_clean9488電話:0975-268-055 (楊&amp;#x27;s)EMAIL: benywawayang@gmail.com&lt;/td&gt;&lt;/tr&gt;&lt;/table&gt;
张锦
![](images/f3d7a40d727cb51c626a37fcae0ec0f2118542056d27c8ce77c3e3ccf0b40394.jpg)
</x:v>
      </x:c>
    </x:row>
    <x:row r="65">
      <x:c r="A65" s="69" t="str">
        <x:v>SRC061</x:v>
      </x:c>
      <x:c r="B65" s="69" t="str">
        <x:v>20251222TOTO-衛浴報價單回傳.md#chunk-1</x:v>
      </x:c>
      <x:c r="C65" s="69" t="str">
        <x:v>Markdown</x:v>
      </x:c>
      <x:c r="D65" s="69" t="str">
        <x:v>0–3477</x:v>
      </x:c>
      <x:c r="E65" s="71" t="str">
        <x:v>買方確認簽名
建信自動化有限公司 番展股份有限公司
公司地址：新竹市公道五路三段538號
TEL：03-5337638 分機：618 傳員：03-5337708
統一編號：23968262（建信）89359135（曆展）
E-mail: totoleeda@gmail.com
&lt;table&gt;&lt;tr&gt;&lt;td colspan="3"&gt;公司名稱:向上建設股份有限公司&lt;/td&gt;&lt;td colspan="4"&gt;地址:苗栗縣竹南鎮中正路423號&lt;/td&gt;&lt;/tr&gt;&lt;tr&gt;&lt;td colspan="3"&gt;案件名稱:&lt;/td&gt;&lt;td colspan="4"&gt;電話:0932-695878&lt;/td&gt;&lt;/tr&gt;&lt;tr&gt;&lt;td colspan="3"&gt;聯絡人:洪建豪先生&lt;/td&gt;&lt;td colspan="4"&gt;傳真:&lt;/td&gt;&lt;/tr&gt;&lt;tr&gt;&lt;td&gt;項次&lt;/td&gt;&lt;td&gt;品名&lt;/td&gt;&lt;td&gt;規格&lt;/td&gt;&lt;td&gt;數量&lt;/td&gt;&lt;td&gt;單價&lt;/td&gt;&lt;td&gt;金額&lt;/td&gt;&lt;td&gt;備註&lt;/td&gt;&lt;/tr&gt;&lt;tr&gt;&lt;td&gt;1&lt;/td&gt;&lt;td&gt;單體馬桶&lt;/td&gt;&lt;td&gt;CW288SGUR&lt;/td&gt;&lt;td&gt;11&lt;/td&gt;&lt;td&gt;13,620&lt;/td&gt;&lt;td&gt;149,820&lt;/td&gt;&lt;td&gt;&lt;/td&gt;&lt;/tr&gt;&lt;tr&gt;&lt;td&gt;2&lt;/td&gt;&lt;td&gt;單體馬桶&lt;/td&gt;&lt;td&gt;CW889CDRTW&lt;/td&gt;&lt;td&gt;11&lt;/td&gt;&lt;td&gt;12,300&lt;/td&gt;&lt;td&gt;135,300&lt;/td&gt;&lt;td&gt;&lt;/td&gt;&lt;/tr&gt;&lt;tr&gt;&lt;td&gt;3&lt;/td&gt;&lt;td&gt;溫水洗淨便座&lt;/td&gt;&lt;td&gt;TCF4911ETR&lt;/td&gt;&lt;td&gt;11&lt;/td&gt;&lt;td&gt;31,410&lt;/td&gt;&lt;td&gt;345,510&lt;/td&gt;&lt;td&gt;特惠價&lt;/td&gt;&lt;/tr&gt;&lt;tr&gt;&lt;td&gt;4&lt;/td&gt;&lt;td&gt;溫水洗淨便座&lt;/td&gt;&lt;td&gt;TCF23360ATW&lt;/td&gt;&lt;td&gt;11&lt;/td&gt;&lt;td&gt;10,260&lt;/td&gt;&lt;td&gt;112,860&lt;/td&gt;&lt;td&gt;特惠價&lt;/td&gt;&lt;/tr&gt;&lt;tr&gt;&lt;td&gt;5&lt;/td&gt;&lt;td&gt;檯面盆&lt;/td&gt;&lt;td&gt;LW1615CTW 數量更動&lt;/td&gt;&lt;td&gt;20&lt;/td&gt;&lt;td&gt;8,220&lt;/td&gt;&lt;td&gt;164,400&lt;/td&gt;&lt;td&gt;&lt;/td&gt;&lt;/tr&gt;&lt;tr&gt;&lt;td&gt;6&lt;/td&gt;&lt;td&gt;檯面盆&lt;/td&gt;&lt;td&gt;LW1616CTW 數量更動&lt;/td&gt;&lt;td&gt;2&lt;/td&gt;&lt;td&gt;9,360&lt;/td&gt;&lt;td&gt;18,720&lt;/td&gt;&lt;td&gt;&lt;/td&gt;&lt;/tr&gt;&lt;tr&gt;&lt;td&gt;7&lt;/td&gt;&lt;td&gt;白色浴櫃&lt;/td&gt;&lt;td&gt;C-1615 數量更動&lt;/td&gt;&lt;td&gt;20&lt;/td&gt;&lt;td&gt;6,500&lt;/td&gt;&lt;td&gt;130,000&lt;/td&gt;&lt;td&gt;需開衛生紙孔&lt;/td&gt;&lt;/tr&gt;&lt;tr&gt;&lt;td&gt;8&lt;/td&gt;&lt;td&gt;白色浴櫃&lt;/td&gt;&lt;td&gt;C-1616 數量更動&lt;/td&gt;&lt;td&gt;2&lt;/td&gt;&lt;td&gt;7,000&lt;/td&gt;&lt;td&gt;14,000&lt;/td&gt;&lt;td&gt;###&lt;/td&gt;&lt;/tr&gt;&lt;tr&gt;&lt;td&gt;9&lt;/td&gt;&lt;td&gt;面盆龍頭&lt;/td&gt;&lt;td&gt;TLG02301PC&lt;/td&gt;&lt;td&gt;22&lt;/td&gt;&lt;td&gt;6,780&lt;/td&gt;&lt;td&gt;149,160&lt;/td&gt;&lt;td&gt;&lt;/td&gt;&lt;/tr&gt;&lt;tr&gt;&lt;td&gt;10&lt;/td&gt;&lt;td&gt;淋浴控溫龍頭&lt;/td&gt;&lt;td&gt;TBV03426P-S2&lt;/td&gt;&lt;td&gt;22&lt;/td&gt;&lt;td&gt;8,024&lt;/td&gt;&lt;td&gt;176,528&lt;/td&gt;&lt;td&gt;&lt;/td&gt;&lt;/tr&gt;&lt;tr&gt;&lt;td&gt;11&lt;/td&gt;&lt;td&gt;蓮蓬頭一段&lt;/td&gt;&lt;td&gt;9A519RY-1&lt;/td&gt;&lt;td&gt;12&lt;/td&gt;&lt;td&gt;1,593&lt;/td&gt;&lt;td&gt;19,116&lt;/td&gt;&lt;td&gt;&lt;/td&gt;&lt;/tr&gt;&lt;tr&gt;&lt;td&gt;12&lt;/td&gt;&lt;td&gt;蓮蓬頭三段&lt;/td&gt;&lt;td&gt;9A520SY-1&lt;/td&gt;&lt;td&gt;11&lt;/td&gt;&lt;td&gt;2,596&lt;/td&gt;&lt;td&gt;28,556&lt;/td&gt;&lt;td&gt;&lt;/td&gt;&lt;/tr&gt;&lt;tr&gt;&lt;td&gt;13&lt;/td&gt;&lt;td&gt;升降桿&lt;/td&gt;&lt;td&gt;TBW01016P&lt;/td&gt;&lt;td&gt;22&lt;/td&gt;&lt;td&gt;1,534&lt;/td&gt;&lt;td&gt;33,748&lt;/td&gt;&lt;td&gt;&lt;/td&gt;&lt;/tr&gt;&lt;tr&gt;&lt;td&gt;14&lt;/td&gt;&lt;td&gt;暖風乾燥機(無線 220V)&lt;/td&gt;&lt;td&gt;TYB3151ADR&lt;/td&gt;&lt;td&gt;22&lt;/td&gt;&lt;td&gt;13,260&lt;/td&gt;&lt;td&gt;291,720&lt;/td&gt;&lt;td&gt;&lt;/td&gt;&lt;/tr&gt;&lt;tr&gt;&lt;td&gt;15&lt;/td&gt;&lt;td&gt;暖風乾燥機(有線 220V)&lt;/td&gt;&lt;td&gt;TYB3151AAR&lt;/td&gt;&lt;td&gt;1&lt;/td&gt;&lt;td&gt;9,700&lt;/td&gt;&lt;td&gt;9,700&lt;/td&gt;&lt;td&gt;已出貨&lt;/td&gt;&lt;/tr&gt;&lt;tr&gt;&lt;td&gt;16&lt;/td&gt;&lt;td&gt;置衣平台&lt;/td&gt;&lt;td&gt;AK15&lt;/td&gt;&lt;td&gt;22&lt;/td&gt;&lt;td&gt;2,040&lt;/td&gt;&lt;td&gt;44,880&lt;/td&gt;&lt;td&gt;訂金80萬元&lt;/td&gt;&lt;/tr&gt;&lt;tr&gt;&lt;td&gt;17&lt;/td&gt;&lt;td&gt;安裝費&lt;/td&gt;&lt;td&gt;&lt;/td&gt;&lt;td&gt;1&lt;/td&gt;&lt;td&gt;141,260&lt;/td&gt;&lt;td&gt;141,260&lt;/td&gt;&lt;td&gt;&lt;/td&gt;&lt;/tr&gt;&lt;tr&gt;&lt;td&gt;18&lt;/td&gt;&lt;td&gt;淋浴控溫龍頭&lt;/td&gt;&lt;td&gt;TBV03426P-S2&lt;/td&gt;&lt;td&gt;1&lt;/td&gt;&lt;td&gt;9,000&lt;/td&gt;&lt;td&gt;9,000&lt;/td&gt;&lt;td&gt;追加&lt;/td&gt;&lt;/tr&gt;&lt;tr&gt;&lt;td&gt;19&lt;/td&gt;&lt;td&gt;升降桿&lt;/td&gt;&lt;td&gt;TBW01016P&lt;/td&gt;&lt;td&gt;1&lt;/td&gt;&lt;td&gt;1,740&lt;/td&gt;&lt;td&gt;1,740&lt;/td&gt;&lt;td&gt;追加&lt;/td&gt;&lt;/tr&gt;&lt;tr&gt;&lt;td&gt;20&lt;/td&gt;&lt;td&gt;遙控器&lt;/td&gt;&lt;td&gt;TCM7340R#M&lt;/td&gt;&lt;td&gt;1&lt;/td&gt;&lt;td&gt;4,000&lt;/td&gt;&lt;td&gt;4,000&lt;/td&gt;&lt;td&gt;追加&lt;/td&gt;&lt;/tr&gt;&lt;tr&gt;&lt;td&gt;21&lt;/td&gt;&lt;td&gt;&lt;/td&gt;&lt;td&gt;&lt;/td&gt;&lt;td&gt;&lt;/td&gt;&lt;td&gt;&lt;/td&gt;&lt;td&gt;&lt;/td&gt;&lt;td&gt;&lt;/td&gt;&lt;/tr&gt;&lt;tr&gt;&lt;td&gt;22&lt;/td&gt;&lt;td&gt;&lt;/td&gt;&lt;td&gt;&lt;/td&gt;&lt;td colspan="3"&gt;小計 1,980,018&lt;/td&gt;&lt;td&gt;元整&lt;/td&gt;&lt;/tr&gt;&lt;tr&gt;&lt;td&gt;23&lt;/td&gt;&lt;td&gt;&lt;/td&gt;&lt;td&gt;&lt;/td&gt;&lt;td colspan="3"&gt;税額 99,001&lt;/td&gt;&lt;td&gt;元整&lt;/td&gt;&lt;/tr&gt;&lt;tr&gt;&lt;td&gt;24&lt;/td&gt;&lt;td&gt;&lt;/td&gt;&lt;td&gt;&lt;/td&gt;&lt;td colspan="3"&gt;總計 2,079,019&lt;/td&gt;&lt;td&gt;元整&lt;/td&gt;&lt;/tr&gt;&lt;tr&gt;&lt;td colspan="3"&gt;1.本報價單在有效期限內使生效.有效期限至 113年9月2日2.本報價單上產品,公司保固一年,並負責產品售後服務。3.本報價單於出貨或安裝後7日內付清款項,付款方式以現金或即期支票方式結清。4.本報價單於確認同時應付貨品總價百分之三十以上,做為簽約訂金。5.以上產品,貨品以送達一樓為主,除特別註記外,均不含安裝費用。※注意6.本報價單僅限本案使用,不得挪為其他案件使用。7.基於誠信保密原則,本報價單均不得揭露予第三人知悉。8.如因天災或不可抗力之事由,供應商之產線價乏,致本契約產品不能繼續供應時,雙方得同意更換其它產品取代,另股份有限。&lt;/td&gt;&lt;td colspan="4"&gt;9.若付款方式為匯款/轉帳,請提供帳號後5碼及匯款人姓名。◆匯款帳戶如下:銀行:台灣土地銀行 東新竹分行 (銀行代碼:005)戶名:晉展股份有限公司 帳號:103-001-005883:1.遙控器內為測試用電池,安裝後三個月內需更換,請使用碳鋅電池.2.瓷器.五金零件請使用軟質抹布.海綿沾中性清潔劑或牙膏清潔保養.3.衛洗麗溫水洗淨便座為電子類產品.應用軟質抹布沾中性清潔劑擦拭保養請勿用水清洗 承辦人:李建達 0921-980012報價日期:113年8月26日&lt;/td&gt;&lt;/tr&gt;&lt;/table&gt;
![](images/2a5b0141733d237f0cb7fef9a33aad272176701ec86a64588d2426a89f3b9e07.jpg)
</x:v>
      </x:c>
    </x:row>
    <x:row r="66">
      <x:c r="A66" s="69" t="str">
        <x:v>SRC062</x:v>
      </x:c>
      <x:c r="B66" s="69" t="str">
        <x:v>20260108塑豐-一樓追加報價單回傳.md#chunk-1</x:v>
      </x:c>
      <x:c r="C66" s="69" t="str">
        <x:v>Markdown</x:v>
      </x:c>
      <x:c r="D66" s="69" t="str">
        <x:v>0–2509</x:v>
      </x:c>
      <x:c r="E66" s="71" t="str">
        <x:v>&lt;table&gt;&lt;tr&gt;&lt;td&gt;報價注意事項&lt;/td&gt;&lt;td&gt;1.型式照本公司標準用料製造。2.一般附屬五金配件、鋁門把手均使用本公司標準規格。3.鋁紗門窗,一律使用國產特製灰色或黑色太陽紗網。4.單價與小計、合計不符時,以單價為準。5.本報價單有效日期15天。6.本報價單經買方訂購簽認蓋章後視同合約。&lt;/td&gt;&lt;td&gt;一般事項:1.尺寸、數量及內容有變更時均予以重新計價。2.訂貨產品開始製造後,發生規格變更或取消訂貨時其損失由客戶負擔。3.除事前談妥之特殊情況下,下列各物不包括在內:特殊五金配件:地鉸鏈、踏腳板、門弓器特殊裝置:搖窗機、氣密裝置、自動門機、拉門鎖。&lt;/td&gt;&lt;td&gt;鋁門窗含安裝配合條款:1.安裝所需之搭架、吊車,電力及崁補使用之水泥砂漿等,須由甲方負責供應。2.各樓層門窗按裝所需之高程及中心線,應由甲方標明。&lt;/td&gt;&lt;/tr&gt;&lt;/table&gt;
&lt;table&gt;&lt;tr&gt;&lt;td rowspan="2"&gt;項目&lt;/td&gt;&lt;td rowspan="2"&gt;圖號&lt;/td&gt;&lt;td rowspan="2"&gt;窗型&lt;/td&gt;&lt;td colspan="3"&gt;尺寸&lt;/td&gt;&lt;td rowspan="2"&gt;數量&lt;/td&gt;&lt;td rowspan="2"&gt;小計&lt;/td&gt;&lt;td rowspan="2"&gt;合計&lt;/td&gt;&lt;td rowspan="2"&gt;備註&lt;/td&gt;&lt;/tr&gt;&lt;tr&gt;&lt;td&gt;寬度(mm)&lt;/td&gt;&lt;td&gt;開天(mm)&lt;/td&gt;&lt;td&gt;高度(mm)&lt;/td&gt;&lt;/tr&gt;&lt;tr&gt;&lt;td&gt;1&lt;/td&gt;&lt;td&gt;D01&lt;/td&gt;&lt;td&gt;111/D 111單開鋁框自動門&lt;/td&gt;&lt;td&gt;1100&lt;/td&gt;&lt;td&gt;&lt;/td&gt;&lt;td&gt;2250&lt;/td&gt;&lt;td&gt;1&lt;/td&gt;&lt;td&gt;64,407&lt;/td&gt;&lt;td&gt;64,407&lt;/td&gt;&lt;td&gt;&lt;/td&gt;&lt;/tr&gt;&lt;tr&gt;&lt;td&gt;2&lt;/td&gt;&lt;td&gt;D02&lt;/td&gt;&lt;td&gt;111/D 111單開鋁門無開天&lt;/td&gt;&lt;td&gt;1100&lt;/td&gt;&lt;td&gt;&lt;/td&gt;&lt;td&gt;2200&lt;/td&gt;&lt;td&gt;1&lt;/td&gt;&lt;td&gt;40,782&lt;/td&gt;&lt;td&gt;40,782&lt;/td&gt;&lt;td&gt;&lt;/td&gt;&lt;/tr&gt;&lt;tr&gt;&lt;td&gt;3&lt;/td&gt;&lt;td&gt;D03&lt;/td&gt;&lt;td&gt;@鍍鋅烤漆鋼製防盜門+不銹鋼烤漆固定窗分2格&lt;/td&gt;&lt;td&gt;2230&lt;/td&gt;&lt;td&gt;1020&lt;/td&gt;&lt;td&gt;3120&lt;/td&gt;&lt;td&gt;1&lt;/td&gt;&lt;td&gt;56,080&lt;/td&gt;&lt;td&gt;56,080&lt;/td&gt;&lt;td&gt;鋼板門樣式:EC-013 流蘇壓花&lt;/td&gt;&lt;/tr&gt;&lt;tr&gt;&lt;td&gt;4&lt;/td&gt;&lt;td&gt;D04&lt;/td&gt;&lt;td&gt;4J 不銹鋼烤漆單開推拉門+固定窗(3併)&lt;/td&gt;&lt;td&gt;4140&lt;/td&gt;&lt;td&gt;1200&lt;/td&gt;&lt;td&gt;3400&lt;/td&gt;&lt;td&gt;1&lt;/td&gt;&lt;td&gt;93,560&lt;/td&gt;&lt;td&gt;93,560&lt;/td&gt;&lt;td&gt;&lt;/td&gt;&lt;/tr&gt;&lt;tr&gt;&lt;td colspan="10"&gt;各項合計 總樘數: 4 合計: 254,829營業稅: 12,741總計: 267,570&lt;/td&gt;&lt;/tr&gt;&lt;tr&gt;&lt;td colspan="10"&gt;總金額新台幣(NT$):貳拾陸萬柒仟伍佰柒拾元整附一圖號D01 D02採用大同鋁框10cm系列產品,表面處理塗粉體涂裝鑰打魚(40216)或咖啡魚(8106)等系列,若採用其他魚魚塗裝打魚。&lt;/td&gt;&lt;/tr&gt;&lt;/table&gt;
顏色：#49316鐵灰色
報價日期：0115/01/07
報表：odr204\_47\_3 (#47) 母
ISO號碼：QR-SLD-05V2.0 頁次：1/2 V1120526客戶名稱：35086向上建設股份有限公司
工程名稱：向上建設集合住宅等11戶-1F追加
電話：037-775355#366 聯絡人行動：
傳真：
報價單號：011501070001
報價單4
## 塑豐實業股份有限公司
&lt;table&gt;&lt;tr&gt;&lt;td rowspan="2"&gt;項目&lt;/td&gt;&lt;td rowspan="2"&gt;圖號&lt;/td&gt;&lt;td rowspan="2"&gt;窗型&lt;/td&gt;&lt;td colspan="4"&gt;尺寸&lt;/td&gt;&lt;td rowspan="2"&gt;數量&lt;/td&gt;&lt;td rowspan="2"&gt;小計&lt;/td&gt;&lt;td rowspan="2"&gt;合計&lt;/td&gt;&lt;td rowspan="2"&gt;備註&lt;/td&gt;&lt;/tr&gt;&lt;tr&gt;&lt;td&gt;寬度(mm)&lt;/td&gt;&lt;td&gt;開天(mm)&lt;/td&gt;&lt;td colspan="2"&gt;高度(mm)&lt;/td&gt;&lt;/tr&gt;&lt;tr&gt;&lt;td&gt;買方訂購簽認&lt;/td&gt;&lt;td colspan="5"&gt;公司名稱:向上建設股份有限公司
負責人: 簽章:
統一編號:
住址:350苗栗縣竹南鎮康德街71號
電話: 傳真: 向上建設股份有限公司
統一發票專用章
統一編號 90057101 TEL:037-775355
負責人:洪建豪&lt;/td&gt;&lt;td&gt;承包廠商&lt;/td&gt;&lt;td colspan="4"&gt;公司名稱:塑豐實業股份有限公司
統一編號:22665579
住址:苗栗縣頭份市自強路二段477號
電話:(037)636192 傳真:(037)626860
業務:顏志豪 0937-771332 &lt;img src="images/5267732962c3510d68a360f8073f07c7a24acc2f81fdae8add0a64554073c35c.jpg"/&gt;&lt;/td&gt;&lt;/tr&gt;&lt;tr&gt;&lt;td colspan="11"&gt;※如確定製作,請蓋章後回傳,謝謝&lt;/td&gt;&lt;/tr&gt;&lt;/table&gt;
顏色：#49316鐵灰色
報價日期：0115/01/07
報表：odr204\_47\_3 (#47) 母
報價單4塑豐實業股份有限公司
![](images/0f05b35916b0744032012a63413b87d39b253d5d4fbbbc064e107a1c4c012761.jpg)
</x:v>
      </x:c>
    </x:row>
    <x:row r="67">
      <x:c r="A67" s="69" t="str">
        <x:v>SRC063</x:v>
      </x:c>
      <x:c r="B67" s="69" t="str">
        <x:v>20260127 全鑫-採光罩.md#chunk-1</x:v>
      </x:c>
      <x:c r="C67" s="69" t="str">
        <x:v>Markdown</x:v>
      </x:c>
      <x:c r="D67" s="69" t="str">
        <x:v>0–1975</x:v>
      </x:c>
      <x:c r="E67" s="71" t="str">
        <x:v>## 全鑫企業社
後隴 向上建設 拾壹間
估價單
&lt;table&gt;&lt;tr&gt;&lt;td&gt;項目&lt;/td&gt;&lt;td&gt;品名&lt;/td&gt;&lt;td&gt;規格&lt;/td&gt;&lt;td&gt;數量&lt;/td&gt;&lt;td&gt;單價&lt;/td&gt;&lt;td&gt;金額&lt;/td&gt;&lt;td&gt;備註&lt;/td&gt;&lt;/tr&gt;&lt;tr&gt;&lt;td&gt;1&lt;/td&gt;&lt;td&gt;不鏽鋼粉體烤漆玻璃採光罩&lt;/td&gt;&lt;td&gt;&lt;/td&gt;&lt;td&gt;&lt;/td&gt;&lt;td&gt;&lt;/td&gt;&lt;td&gt;&lt;/td&gt;&lt;td&gt;&lt;/td&gt;&lt;/tr&gt;&lt;tr&gt;&lt;td&gt;2&lt;/td&gt;&lt;td&gt;車道長4220寬21090&lt;/td&gt;&lt;td&gt;坪&lt;/td&gt;&lt;td&gt;27&lt;/td&gt;&lt;td&gt;18000&lt;/td&gt;&lt;td&gt;486000&lt;/td&gt;&lt;td&gt;&lt;/td&gt;&lt;/tr&gt;&lt;tr&gt;&lt;td&gt;3&lt;/td&gt;&lt;td&gt;不鏽鋼烤漆水槽長21990&lt;/td&gt;&lt;td&gt;式&lt;/td&gt;&lt;td&gt;1&lt;/td&gt;&lt;td&gt;&lt;/td&gt;&lt;td&gt;35200&lt;/td&gt;&lt;td&gt;&lt;/td&gt;&lt;/tr&gt;&lt;tr&gt;&lt;td&gt;4&lt;/td&gt;&lt;td&gt;不鏽鋼烤漆力霸長21990&lt;/td&gt;&lt;td&gt;式&lt;/td&gt;&lt;td&gt;1&lt;/td&gt;&lt;td&gt;&lt;/td&gt;&lt;td&gt;35200&lt;/td&gt;&lt;td&gt;&lt;/td&gt;&lt;/tr&gt;&lt;tr&gt;&lt;td&gt;5&lt;/td&gt;&lt;td&gt;&lt;/td&gt;&lt;td&gt;&lt;/td&gt;&lt;td&gt;&lt;/td&gt;&lt;td&gt;&lt;/td&gt;&lt;td&gt;&lt;/td&gt;&lt;td&gt;&lt;/td&gt;&lt;/tr&gt;&lt;tr&gt;&lt;td&gt;6&lt;/td&gt;&lt;td&gt;捲門上長900寬4955&lt;/td&gt;&lt;td&gt;坪&lt;/td&gt;&lt;td&gt;1.5&lt;/td&gt;&lt;td&gt;18000&lt;/td&gt;&lt;td&gt;27000&lt;/td&gt;&lt;td&gt;&lt;/td&gt;&lt;/tr&gt;&lt;tr&gt;&lt;td&gt;7&lt;/td&gt;&lt;td&gt;不鏽鋼烤漆水槽長4955&lt;/td&gt;&lt;td&gt;式&lt;/td&gt;&lt;td&gt;1&lt;/td&gt;&lt;td&gt;&lt;/td&gt;&lt;td&gt;8000&lt;/td&gt;&lt;td&gt;&lt;/td&gt;&lt;/tr&gt;&lt;tr&gt;&lt;td&gt;8&lt;/td&gt;&lt;td&gt;不鏽鋼烤漆力霸長4955&lt;/td&gt;&lt;td&gt;式&lt;/td&gt;&lt;td&gt;1&lt;/td&gt;&lt;td&gt;&lt;/td&gt;&lt;td&gt;8000&lt;/td&gt;&lt;td&gt;&lt;/td&gt;&lt;/tr&gt;&lt;tr&gt;&lt;td&gt;9&lt;/td&gt;&lt;td&gt;&lt;/td&gt;&lt;td&gt;&lt;/td&gt;&lt;td&gt;&lt;/td&gt;&lt;td&gt;&lt;/td&gt;&lt;td&gt;&lt;/td&gt;&lt;td&gt;&lt;/td&gt;&lt;/tr&gt;&lt;tr&gt;&lt;td&gt;10&lt;/td&gt;&lt;td&gt;天井長2900寬2500&lt;/td&gt;&lt;td&gt;坪&lt;/td&gt;&lt;td&gt;2.5&lt;/td&gt;&lt;td&gt;18000&lt;/td&gt;&lt;td&gt;45000&lt;/td&gt;&lt;td&gt;&lt;/td&gt;&lt;/tr&gt;&lt;tr&gt;&lt;td&gt;11&lt;/td&gt;&lt;td&gt;不鏽鋼烤漆水槽長2500&lt;/td&gt;&lt;td&gt;式&lt;/td&gt;&lt;td&gt;1&lt;/td&gt;&lt;td&gt;&lt;/td&gt;&lt;td&gt;4000&lt;/td&gt;&lt;td&gt;&lt;/td&gt;&lt;/tr&gt;&lt;tr&gt;&lt;td&gt;12&lt;/td&gt;&lt;td&gt;&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合計$648400未稅&lt;/td&gt;&lt;td&gt;&lt;/td&gt;&lt;td&gt;&lt;/td&gt;&lt;td&gt;&lt;/td&gt;&lt;td&gt;&lt;/td&gt;&lt;td&gt;&lt;/td&gt;&lt;/tr&gt;&lt;tr&gt;&lt;td&gt;16&lt;/td&gt;&lt;td&gt;&lt;/td&gt;&lt;td&gt;&lt;/td&gt;&lt;td&gt;&lt;/td&gt;&lt;td&gt;&lt;/td&gt;&lt;td&gt;&lt;/td&gt;&lt;td&gt;&lt;/td&gt;&lt;/tr&gt;&lt;tr&gt;&lt;td&gt;17&lt;/td&gt;&lt;td&gt;議價後620000青銥&lt;/td&gt;&lt;td&gt;&lt;/td&gt;&lt;td&gt;&lt;/td&gt;&lt;td&gt;&lt;/td&gt;&lt;td&gt;&lt;/td&gt;&lt;td&gt;&lt;/td&gt;&lt;/tr&gt;&lt;tr&gt;&lt;td&gt;18&lt;/td&gt;&lt;td&gt;&lt;/td&gt;&lt;td&gt;&lt;/td&gt;&lt;td&gt;&lt;/td&gt;&lt;td&gt;&lt;/td&gt;&lt;td&gt;&lt;/td&gt;&lt;td&gt;&lt;/td&gt;&lt;/tr&gt;&lt;tr&gt;&lt;td&gt;19&lt;/td&gt;&lt;td&gt;&lt;/td&gt;&lt;td&gt;&lt;/td&gt;&lt;td&gt;&lt;/td&gt;&lt;td&gt;&lt;/td&gt;&lt;td&gt;&lt;/td&gt;&lt;td&gt;&lt;/td&gt;&lt;/tr&gt;&lt;tr&gt;&lt;td&gt;20&lt;/td&gt;&lt;td&gt;&lt;/td&gt;&lt;td&gt;&lt;/td&gt;&lt;td&gt;&lt;/td&gt;&lt;td&gt;&lt;/td&gt;&lt;td&gt;&lt;/td&gt;&lt;td&gt;&lt;/td&gt;&lt;/tr&gt;&lt;tr&gt;&lt;td colspan="7"&gt;PS:如有更動尺寸則另計骨架50/100 1.5 標柱100 2.0 5+5強膠合白膜玻璃&lt;/td&gt;&lt;/tr&gt;&lt;tr&gt;&lt;td colspan="5"&gt;總額新台幣佰拾萬仟佰拾元&lt;/td&gt;&lt;td colspan="2"&gt;$&lt;/td&gt;&lt;/tr&gt;&lt;/table&gt;
114年 12月27日
张建如
115.1.29
</x:v>
      </x:c>
    </x:row>
    <x:row r="68">
      <x:c r="A68" s="69" t="str">
        <x:v>SRC064</x:v>
      </x:c>
      <x:c r="B68" s="69" t="str">
        <x:v>20260212 塑豐 瓦斯鋁格柵追加.md#chunk-1</x:v>
      </x:c>
      <x:c r="C68" s="69" t="str">
        <x:v>Markdown</x:v>
      </x:c>
      <x:c r="D68" s="69" t="str">
        <x:v>0–1043</x:v>
      </x:c>
      <x:c r="E68" s="71" t="str">
        <x:v>(追加)報價單塑豐實業股份有限公司
&lt;table&gt;&lt;tr&gt;&lt;td rowspan="2"&gt;項次&lt;/td&gt;&lt;td rowspan="2"&gt;位置&lt;/td&gt;&lt;td colspan="3"&gt;規格&lt;/td&gt;&lt;td rowspan="2"&gt;色別&lt;/td&gt;&lt;td rowspan="2"&gt;數量&lt;/td&gt;&lt;td rowspan="2"&gt;單樘
小計&lt;/td&gt;&lt;td rowspan="2"&gt;複價&lt;/td&gt;&lt;td rowspan="2"&gt;備註&lt;/td&gt;&lt;/tr&gt;&lt;tr&gt;&lt;td&gt;品名&lt;/td&gt;&lt;td&gt;W(cm)&lt;/td&gt;&lt;td&gt;H(cm)&lt;/td&gt;&lt;/tr&gt;&lt;tr&gt;&lt;td&gt;1&lt;/td&gt;&lt;td&gt;1F電箱&lt;/td&gt;&lt;td&gt;鋁格柵&lt;/td&gt;&lt;td&gt;335&lt;/td&gt;&lt;td&gt;375&lt;/td&gt;&lt;td&gt;粉體塗裝
#49316鐵灰色&lt;/td&gt;&lt;td&gt;1&lt;/td&gt;&lt;td&gt;100,500&lt;/td&gt;&lt;td&gt;100,500&lt;/td&gt;&lt;td&gt;採5*5背擋+3*6立料·間距3cm&lt;/td&gt;&lt;/tr&gt;&lt;tr&gt;&lt;td&gt;&lt;/td&gt;&lt;td&gt;&lt;/td&gt;&lt;td&gt;以下空白&lt;/td&gt;&lt;td&gt;&lt;/td&gt;&lt;td&gt;&lt;/td&gt;&lt;td&gt;&lt;/td&gt;&lt;td&gt;&lt;/td&gt;&lt;td&gt;-&lt;/td&gt;&lt;td&gt;-&lt;/td&gt;&lt;td&gt;&lt;/td&gt;&lt;/tr&gt;&lt;tr&gt;&lt;td colspan="5"&gt;小計&lt;/td&gt;&lt;td&gt;&lt;/td&gt;&lt;td&gt;1&lt;/td&gt;&lt;td&gt;&lt;/td&gt;&lt;td&gt;100,500&lt;/td&gt;&lt;td&gt;&lt;/td&gt;&lt;/tr&gt;&lt;tr&gt;&lt;td colspan="7"&gt;報價說明
1.以上表面處理採一般粉體塗裝#49316鐵灰色。&lt;/td&gt;&lt;td colspan="2"&gt;稅金 5,025
總計 105,525&lt;/td&gt;&lt;td&gt;&lt;img src="images/eb7cf85f616fa765289ebc366a83885ed7e44a0e6357268e48ad963a828bbdc3.jpg"/&gt;&lt;/td&gt;&lt;/tr&gt;&lt;/table&gt;
2. 鋁格柵立料(採3\*6公分)、背檔(採5\*5公分)，價格含本體、按裝、不含塞水路、炭補、結構補強、施工架、清潔及吊車。
3.因國際鋁錠及原物料價格不斷持續上漲影響，報價會隨價格波動異動調整，若有造成不便，敬請多加包涵。
地址：苗栗縣頭份市自強路二段477號 TEL：037-636192(代表) FAX：037-626860※如確定製作，請蓋章後回傳，謝謝！
聯絡人：李姿誼（業務）
手機：0937-771-336
</x:v>
      </x:c>
    </x:row>
    <x:row r="69">
      <x:c r="A69" s="69" t="str">
        <x:v>SRC065</x:v>
      </x:c>
      <x:c r="B69" s="69" t="str">
        <x:v>20260225 太格 客變木地板.md#chunk-1</x:v>
      </x:c>
      <x:c r="C69" s="69" t="str">
        <x:v>Markdown</x:v>
      </x:c>
      <x:c r="D69" s="69" t="str">
        <x:v>0–3616</x:v>
      </x:c>
      <x:c r="E69" s="71" t="str">
        <x:v>## SEmi太格 墨砌實業有限公司
台中市北屯區崇德路三段908-1號
Tel.: 04-24228185 Fax: 04-24225587
## 報價單
客戶 (甲方): 向上建設股份有限公司
工程名稱：向上建設\_3戶住宅客廳
工地地址：苗栗縣後龍鎮新東路120號
連絡人：蘇怡樺特助
電話：03-777-5355#366
日期: 2026 年 02 月 25 日
&lt;table&gt;&lt;tr&gt;&lt;td&gt;品名&lt;/td&gt;&lt;td&gt;規格&lt;/td&gt;&lt;td&gt;單位&lt;/td&gt;&lt;td&gt;數量&lt;/td&gt;&lt;td&gt;單價&lt;/td&gt;&lt;td&gt;金額&lt;/td&gt;&lt;td&gt;備註&lt;/td&gt;&lt;/tr&gt;&lt;tr&gt;&lt;td&gt;太格德國精工木地板美綻系列&lt;/td&gt;&lt;td&gt;8mm*19.3cm*138.0cm&lt;/td&gt;&lt;td&gt;坪&lt;/td&gt;&lt;td&gt;8&lt;/td&gt;&lt;td&gt;2,900&lt;/td&gt;&lt;td&gt;23,200&lt;/td&gt;&lt;td&gt;AC4德國原裝進口6A顏色:D3201隔音值:21dB&lt;/td&gt;&lt;/tr&gt;&lt;tr&gt;&lt;td&gt;太格德國精工木地板美綻系列&lt;/td&gt;&lt;td&gt;8mm*19.3cm*138.0cm&lt;/td&gt;&lt;td&gt;坪&lt;/td&gt;&lt;td&gt;8&lt;/td&gt;&lt;td&gt;2,900&lt;/td&gt;&lt;td&gt;23,200&lt;/td&gt;&lt;td&gt;AC4德國原裝進口6B顏色:D3902隔音值:21dB&lt;/td&gt;&lt;/tr&gt;&lt;tr&gt;&lt;td&gt;太格德國精工木地板美綻系列&lt;/td&gt;&lt;td&gt;8mm*19.3cm*138.0cm&lt;/td&gt;&lt;td&gt;坪&lt;/td&gt;&lt;td&gt;7&lt;/td&gt;&lt;td&gt;3,650&lt;/td&gt;&lt;td&gt;25,550&lt;/td&gt;&lt;td&gt;AC4德國原裝進口4A顏色:D3004隔音值:21dB&lt;/td&gt;&lt;/tr&gt;&lt;tr&gt;&lt;td colspan="7"&gt;德國原裝進口木地板 8mm + 歐洲波浪隔音墊 2.3mm =全系統 10.3mm&lt;/td&gt;&lt;/tr&gt;&lt;tr&gt;&lt;td colspan="2"&gt;兩件式鋁質木紋收邊條&lt;/td&gt;&lt;td&gt;M&lt;/td&gt;&lt;td&gt;15&lt;/td&gt;&lt;td&gt;500&lt;/td&gt;&lt;td&gt;7,500&lt;/td&gt;&lt;td&gt;木地板與不同材質地面交接處收邊,架高處踏立面收邊&lt;/td&gt;&lt;/tr&gt;&lt;tr&gt;&lt;td colspan="2"&gt;以下空白&lt;/td&gt;&lt;td&gt;&lt;/td&gt;&lt;td&gt;&lt;/td&gt;&lt;td&gt;&lt;/td&gt;&lt;td&gt;&lt;/td&gt;&lt;td&gt;&lt;/td&gt;&lt;/tr&gt;&lt;tr&gt;&lt;td colspan="4"&gt;&lt;/td&gt;&lt;td&gt;合計&lt;/td&gt;&lt;td&gt;79,450&lt;/td&gt;&lt;td&gt;&lt;/td&gt;&lt;/tr&gt;&lt;tr&gt;&lt;td colspan="4"&gt;&lt;/td&gt;&lt;td&gt;5%營業稅&lt;/td&gt;&lt;td&gt;3973&lt;/td&gt;&lt;td&gt;&lt;/td&gt;&lt;/tr&gt;&lt;tr&gt;&lt;td colspan="4"&gt;&lt;/td&gt;&lt;td&gt;總計&lt;/td&gt;&lt;td&gt;83,423&lt;/td&gt;&lt;td&gt;&lt;/td&gt;&lt;/tr&gt;&lt;tr&gt;&lt;td colspan="7"&gt;附註說明:&lt;/td&gt;&lt;/tr&gt;&lt;tr&gt;&lt;td colspan="7"&gt;1.以上報價為連工帶料、未稅價格;數量實做實算。&lt;/td&gt;&lt;/tr&gt;&lt;tr&gt;&lt;td colspan="7"&gt;2.本報價不含素地整平、自平水泥施作、地板施作後之清潔打臘以及完工後鋪設保護膜。&lt;/td&gt;&lt;/tr&gt;&lt;tr&gt;&lt;td colspan="7"&gt;3.太格德國精工木地板採用德式汽浮式施工,全系列為德國原裝進口。第一層:歐洲波浪隔音墊(2.3mm)第二層:強化複合木地板。&lt;/td&gt;&lt;/tr&gt;&lt;tr&gt;&lt;td colspan="7"&gt;4.木地板施工區域四周須留 10 mm之伸縮縫(超過4M*4M空間,需視情況調整之),伸縮縫以瓷白色矽利康收邊之。&lt;/td&gt;&lt;/tr&gt;&lt;tr&gt;&lt;td colspan="7"&gt;5.木地板施工前水泥素地需乾燥不起砂、平整度要求:兩米直尺範圍高低差不超過3mm。&lt;/td&gt;&lt;/tr&gt;&lt;tr&gt;&lt;td colspan="7"&gt;6.本報價不含不同地材界面收邊處理,其收邊處理需另行計價。&lt;/td&gt;&lt;/tr&gt;&lt;tr&gt;&lt;td colspan="7"&gt;7.本材料若為訂製品或進口品,備貨時間需預留120天以上,經訂貨確認後之色號、規格及數量不得更改,否則損失應由變更數量色號之一方負責。自正式下單日起算,實際交貨期依原廠實際通知為準,且不包含專批出貨之散裝或空運運費什費。&lt;/td&gt;&lt;/tr&gt;&lt;tr&gt;&lt;td colspan="7"&gt;續下頁&lt;/td&gt;&lt;/tr&gt;&lt;tr&gt;&lt;td colspan="7"&gt;附註說明:&lt;/td&gt;&lt;/tr&gt;&lt;tr&gt;&lt;td colspan="7"&gt;8. 合約簽訂成立後,不得變更產品、材料、規格、尺寸、厚度、系列及色號。&lt;/td&gt;&lt;/tr&gt;&lt;tr&gt;&lt;td colspan="7"&gt;9. 工程進行中,甲方如必須變更設計及增減工程數量時不得超過原工程圖內數量5%,增加數量超過5%以上,以乙方公司庫存選色,且追加數量之單價需雙方另行議價;如需另行辦理進口,增加的運費由甲方自行負擔。&lt;/td&gt;&lt;/tr&gt;&lt;tr&gt;&lt;td colspan="7"&gt;10. 甲方應於完成必備基礎工程後,七日前通知乙方施工。&lt;/td&gt;&lt;/tr&gt;&lt;tr&gt;&lt;td colspan="7"&gt;11. 甲方須提供電力電梯之搬運設備,若需人力或吊車搬運上樓,費用另計。&lt;/td&gt;&lt;/tr&gt;&lt;tr&gt;&lt;td colspan="7"&gt;12. 特殊隔局/透天梯廳/樓梯等工程單價另計。&lt;/td&gt;&lt;/tr&gt;&lt;tr&gt;&lt;td colspan="7"&gt;13. 工程進度不以分次施工為雙方配合方式,若分次施工,甲方需補貼乙方點工工資,工資由雙方協議之。&lt;/td&gt;&lt;/tr&gt;&lt;tr&gt;&lt;td colspan="7"&gt;14. 夜間施工或假日施工,需另計補貼點工工資。&lt;/td&gt;&lt;/tr&gt;&lt;tr&gt;&lt;td colspan="7"&gt;15. 本交易如有貨款未清或支票未兌現前,現場未施工之材料物之所有權屬乙方所有,故乙方得不經法律程序,隨時將貨品收回,且乙方有權不進場施工,甲方如有涉及詐欺行為,並應負法律責任。&lt;/td&gt;&lt;/tr&gt;&lt;tr&gt;&lt;td colspan="7"&gt;16. 待木地板完工後,需預留1-1.5個月養護期,再施打矽利康.木工二次裝潢中,請勿打釘或鎖螺絲於木地板上。&lt;/td&gt;&lt;/tr&gt;&lt;tr&gt;&lt;td colspan="7"&gt;17. 本工程採德式標準施工法,但因現場環境氣候條件不同,踩踏些微彈性或聲音屬正常現象,不可以此認定有施工瑕疵。&lt;/td&gt;&lt;/tr&gt;&lt;tr&gt;&lt;td colspan="7"&gt;18. 鋪設之保護板需於木地板完工後1個月內拆除,室內空氣保持流通,避免木地板處於悶濕密閉狀態而翹曲。&lt;/td&gt;&lt;/tr&gt;&lt;tr&gt;&lt;td colspan="7"&gt;19. 本工程施工保固一年(天災人禍等非乙方原因者除外)。&lt;/td&gt;&lt;/tr&gt;&lt;tr&gt;&lt;td colspan="7"&gt;20. 若本材料為貨櫃進貨或國產訂製品,則自材料到貨起,若因甲方延誤進場施作日數超過六十日,乙方得請領50%進貨款。&lt;/td&gt;&lt;/tr&gt;&lt;tr&gt;&lt;td colspan="7"&gt;21. 由於原物料及人力成本近年來處於不穩定波動狀態、我司基於責任態度原則,與確保雙方權益,若材料成本漲幅在5%以內,由乙方吸收;倘若材料成本漲幅超過5%,則由雙方另行合約議價之(乙方需出具德國原廠正式漲價文件)。&lt;/td&gt;&lt;/tr&gt;&lt;tr&gt;&lt;td colspan="7"&gt;22. 本報價單有效期限:1個月。&lt;/td&gt;&lt;/tr&gt;&lt;tr&gt;&lt;td colspan="7"&gt;23. 本報價單經甲方簽名或用印回簽確認後,即視為甲乙雙方就本報價單所載全部內容達成合意,並自甲方回簽之日起即視為雙方契約成立。&lt;/td&gt;&lt;/tr&gt;&lt;tr&gt;&lt;td colspan="7"&gt;24. 因本約定報價內容發生之訴訟,雙方同意以乙方登記所在地管轄法院為第一審管轄法院。&lt;/td&gt;&lt;/tr&gt;&lt;tr&gt;&lt;td colspan="7"&gt;付款條件說明:&lt;/td&gt;&lt;/tr&gt;&lt;tr&gt;&lt;td colspan="7"&gt;1. 出廠證明需於工程款項收款達90%方可開之。&lt;/td&gt;&lt;/tr&gt;&lt;tr&gt;&lt;td colspan="7"&gt;2. 尾款於使用執照取得後六個月,並乙次發放。&lt;/td&gt;&lt;/tr&gt;&lt;tr&gt;&lt;td&gt;客戶(甲方)確認欄&lt;img src="images/2de424c8646feceac036c142923c88545d1659dffb0fb4d833343604ac62e28e.jpg"/&gt;&lt;/td&gt;&lt;td colspan="6"&gt;付款方式:1. 訂金:50%工程進度款:50%&lt;/td&gt;&lt;/tr&gt;&lt;tr&gt;&lt;td colspan="7"&gt;乙方:墨砌實業有限公司 業務代表:陳妤瑄 0905-261878 主管簽認處:&lt;/td&gt;&lt;/tr&gt;&lt;/table&gt;
</x:v>
      </x:c>
    </x:row>
    <x:row r="70">
      <x:c r="A70" s="69" t="str">
        <x:v>SRC066</x:v>
      </x:c>
      <x:c r="B70" s="69" t="str">
        <x:v>20260312 公設電箱木作封牆.md#chunk-1</x:v>
      </x:c>
      <x:c r="C70" s="69" t="str">
        <x:v>Markdown</x:v>
      </x:c>
      <x:c r="D70" s="69" t="str">
        <x:v>0–2249</x:v>
      </x:c>
      <x:c r="E70" s="71" t="str">
        <x:v>![](images/ae0f626af9c86a486737cc4ae1b8f773216912d859779ddb05c39158a0ee9d75.jpg)  
3、依現場尺寸實做實算，數量、尺寸和內容有變更時，均予以重新估價。  
4、貨款未付清前，所有之產品權歸屬於山城裝潢工程行所有。
## 報價單
客戶名稱：向上建設-李先生
山城裝潢工程行
聯絡電話：
工程地址：後龍鎮新東路120號
電話：0976-445506
聯絡人：王右鈞
報價日期：115/03/04
&lt;table&gt;&lt;tr&gt;&lt;td&gt;項次&lt;/td&gt;&lt;td&gt;品名規格&lt;/td&gt;&lt;td&gt;數量&lt;/td&gt;&lt;td&gt;單位&lt;/td&gt;&lt;td&gt;單價&lt;/td&gt;&lt;td&gt;金額&lt;/td&gt;&lt;td&gt;備註&lt;/td&gt;&lt;/tr&gt;&lt;tr&gt;&lt;td&gt;1&lt;/td&gt;&lt;td&gt;一樓公設電箱木作封牆&lt;/td&gt;&lt;td&gt;8&lt;/td&gt;&lt;td&gt;坪&lt;/td&gt;&lt;td&gt;3,500&lt;/td&gt;&lt;td&gt;28,000&lt;/td&gt;&lt;td rowspan="2"&gt;面板合板6mm 3*6尺&lt;/td&gt;&lt;/tr&gt;&lt;tr&gt;&lt;td&gt;&lt;/td&gt;&lt;td&gt;&lt;/td&gt;&lt;td&gt;&lt;/td&gt;&lt;td&gt;&lt;/td&gt;&lt;td&gt;&lt;/td&gt;&lt;td&gt;&lt;/td&gt;&lt;/tr&gt;&lt;tr&gt;&lt;td&gt;2&lt;/td&gt;&lt;td&gt;電箱維修口&lt;/td&gt;&lt;td&gt;1&lt;/td&gt;&lt;td&gt;式&lt;/td&gt;&lt;td&gt;&lt;/td&gt;&lt;td&gt;4,000&lt;/td&gt;&lt;td&gt;&lt;/td&gt;&lt;/tr&gt;&lt;tr&gt;&lt;td&gt;3&lt;/td&gt;&lt;td&gt;頂樓電梯前公設天花板間照&lt;/td&gt;&lt;td&gt;21&lt;/td&gt;&lt;td&gt;尺&lt;/td&gt;&lt;td&gt;450&lt;/td&gt;&lt;td&gt;9,450&lt;/td&gt;&lt;td rowspan="2"&gt;面板矽酸鈣板 6mm 3*6尺&lt;/td&gt;&lt;/tr&gt;&lt;tr&gt;&lt;td&gt;&lt;/td&gt;&lt;td&gt;&lt;/td&gt;&lt;td&gt;&lt;/td&gt;&lt;td&gt;&lt;/td&gt;&lt;td&gt;&lt;/td&gt;&lt;td&gt;&lt;/td&gt;&lt;/tr&gt;&lt;tr&gt;&lt;td&gt;4&lt;/td&gt;&lt;td&gt;電梯車廂保護板&lt;/td&gt;&lt;td&gt;1&lt;/td&gt;&lt;td&gt;式&lt;/td&gt;&lt;td&gt;&lt;/td&gt;&lt;td&gt;5,000&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 rowspan="6"&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備註&lt;/td&gt;&lt;td colspan="3"&gt;稅金5%&lt;/td&gt;&lt;td colspan="3"&gt;合計金額:NT $ 46,450稅 金:NT $ 2,323應收總額:NT $ 48,773&lt;/td&gt;&lt;/tr&gt;&lt;/table&gt;
本報價單簽約時，請先注意下列事項，經雙方確認簽章後，兼具合約之效。本報價單有效期間 30 天。
1、本報價單金額，為未稅價格，如需發票稅金另計。
2、訂貨產品開始製造後，發生變更規格或取消時，損失由貴買方承擔。
5、付款方式：※現金 ※現金匯款
</x:v>
      </x:c>
    </x:row>
    <x:row r="71">
      <x:c r="A71" s="69" t="str">
        <x:v>SRC068</x:v>
      </x:c>
      <x:c r="B71" s="69" t="str">
        <x:v>20260317 全鑫 採光罩玻璃.md#chunk-1</x:v>
      </x:c>
      <x:c r="C71" s="69" t="str">
        <x:v>Markdown</x:v>
      </x:c>
      <x:c r="D71" s="69" t="str">
        <x:v>0–1876</x:v>
      </x:c>
      <x:c r="E71" s="71" t="str">
        <x:v>## 全鑫企業社
後龍向上建設
&lt;table&gt;&lt;tr&gt;&lt;td&gt;項目&lt;/td&gt;&lt;td&gt;品名&lt;/td&gt;&lt;td&gt;規格&lt;/td&gt;&lt;td&gt;數量&lt;/td&gt;&lt;td&gt;單價&lt;/td&gt;&lt;td&gt;金額&lt;/td&gt;&lt;td&gt;備註&lt;/td&gt;&lt;/tr&gt;&lt;tr&gt;&lt;td&gt;1&lt;/td&gt;&lt;td&gt;不鏽鋼玻璃溝烤漆鐵灰砂&lt;/td&gt;&lt;td&gt;&lt;/td&gt;&lt;td&gt;&lt;/td&gt;&lt;td&gt;&lt;/td&gt;&lt;td&gt;&lt;/td&gt;&lt;td&gt;&lt;/td&gt;&lt;/tr&gt;&lt;tr&gt;&lt;td&gt;2&lt;/td&gt;&lt;td&gt;固定玻璃牆面 8mm 強灰色內到外寬*高&lt;/td&gt;&lt;td&gt;&lt;/td&gt;&lt;td&gt;&lt;/td&gt;&lt;td&gt;&lt;/td&gt;&lt;td&gt;&lt;/td&gt;&lt;td&gt;&lt;/td&gt;&lt;/tr&gt;&lt;tr&gt;&lt;td&gt;3&lt;/td&gt;&lt;td&gt;3042*1505*1&lt;/td&gt;&lt;td&gt;&lt;/td&gt;&lt;td&gt;&lt;/td&gt;&lt;td&gt;&lt;/td&gt;&lt;td&gt;&lt;/td&gt;&lt;td&gt;&lt;/td&gt;&lt;/tr&gt;&lt;tr&gt;&lt;td&gt;4&lt;/td&gt;&lt;td&gt;3072*1510*1&lt;/td&gt;&lt;td&gt;&lt;/td&gt;&lt;td&gt;&lt;/td&gt;&lt;td&gt;&lt;/td&gt;&lt;td&gt;&lt;/td&gt;&lt;td&gt;&lt;/td&gt;&lt;/tr&gt;&lt;tr&gt;&lt;td&gt;5&lt;/td&gt;&lt;td&gt;3075*1510*1&lt;/td&gt;&lt;td&gt;&lt;/td&gt;&lt;td&gt;&lt;/td&gt;&lt;td&gt;&lt;/td&gt;&lt;td&gt;&lt;/td&gt;&lt;td&gt;&lt;/td&gt;&lt;/tr&gt;&lt;tr&gt;&lt;td&gt;6&lt;/td&gt;&lt;td&gt;3070*1520*1&lt;/td&gt;&lt;td&gt;&lt;/td&gt;&lt;td&gt;&lt;/td&gt;&lt;td&gt;&lt;/td&gt;&lt;td&gt;&lt;/td&gt;&lt;td&gt;&lt;/td&gt;&lt;/tr&gt;&lt;tr&gt;&lt;td&gt;7&lt;/td&gt;&lt;td&gt;3075*1510*1&lt;/td&gt;&lt;td&gt;&lt;/td&gt;&lt;td&gt;&lt;/td&gt;&lt;td&gt;&lt;/td&gt;&lt;td&gt;&lt;/td&gt;&lt;td&gt;&lt;/td&gt;&lt;/tr&gt;&lt;tr&gt;&lt;td&gt;8&lt;/td&gt;&lt;td&gt;3065*1500*1&lt;/td&gt;&lt;td&gt;&lt;/td&gt;&lt;td&gt;&lt;/td&gt;&lt;td&gt;&lt;/td&gt;&lt;td&gt;&lt;/td&gt;&lt;td&gt;&lt;/td&gt;&lt;/tr&gt;&lt;tr&gt;&lt;td&gt;9&lt;/td&gt;&lt;td&gt;2000*300*1&lt;/td&gt;&lt;td&gt;&lt;/td&gt;&lt;td&gt;&lt;/td&gt;&lt;td&gt;&lt;/td&gt;&lt;td&gt;&lt;/td&gt;&lt;td&gt;&lt;/td&gt;&lt;/tr&gt;&lt;tr&gt;&lt;td&gt;10&lt;/td&gt;&lt;td&gt;&lt;/td&gt;&lt;td&gt;&lt;/td&gt;&lt;td&gt;&lt;/td&gt;&lt;td&gt;&lt;/td&gt;&lt;td&gt;&lt;/td&gt;&lt;td&gt;&lt;/td&gt;&lt;/tr&gt;&lt;tr&gt;&lt;td&gt;11&lt;/td&gt;&lt;td&gt;合計$126800&lt;/td&gt;&lt;td&gt;&lt;/td&gt;&lt;td&gt;&lt;/td&gt;&lt;td&gt;&lt;/td&gt;&lt;td&gt;&lt;/td&gt;&lt;td&gt;&lt;/td&gt;&lt;/tr&gt;&lt;tr&gt;&lt;td&gt;12&lt;/td&gt;&lt;td&gt;議價$118000 未稅&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lt;/td&gt;&lt;td&gt;&lt;/td&gt;&lt;td&gt;&lt;/td&gt;&lt;td&gt;&lt;/td&gt;&lt;td&gt;&lt;/td&gt;&lt;td&gt;&lt;/td&gt;&lt;/tr&gt;&lt;tr&gt;&lt;td&gt;16&lt;/td&gt;&lt;td&gt;&lt;/td&gt;&lt;td&gt;&lt;/td&gt;&lt;td&gt;&lt;/td&gt;&lt;td&gt;&lt;/td&gt;&lt;td&gt;&lt;/td&gt;&lt;td&gt;&lt;/td&gt;&lt;/tr&gt;&lt;tr&gt;&lt;td&gt;17&lt;/td&gt;&lt;td&gt;&lt;/td&gt;&lt;td&gt;&lt;/td&gt;&lt;td&gt;&lt;/td&gt;&lt;td&gt;&lt;/td&gt;&lt;td&gt;&lt;/td&gt;&lt;td&gt;&lt;/td&gt;&lt;/tr&gt;&lt;tr&gt;&lt;td&gt;18&lt;/td&gt;&lt;td&gt;&lt;/td&gt;&lt;td&gt;&lt;/td&gt;&lt;td&gt;&lt;/td&gt;&lt;td&gt;&lt;/td&gt;&lt;td&gt;&lt;/td&gt;&lt;td&gt;&lt;/td&gt;&lt;/tr&gt;&lt;tr&gt;&lt;td&gt;19&lt;/td&gt;&lt;td&gt;&lt;/td&gt;&lt;td&gt;&lt;/td&gt;&lt;td&gt;&lt;/td&gt;&lt;td&gt;&lt;/td&gt;&lt;td&gt;&lt;/td&gt;&lt;td&gt;&lt;/td&gt;&lt;/tr&gt;&lt;tr&gt;&lt;td&gt;20&lt;/td&gt;&lt;td&gt;&lt;/td&gt;&lt;td&gt;&lt;/td&gt;&lt;td&gt;&lt;/td&gt;&lt;td&gt;&lt;/td&gt;&lt;td&gt;&lt;/td&gt;&lt;td&gt;&lt;/td&gt;&lt;/tr&gt;&lt;tr&gt;&lt;td colspan="7"&gt;備註:寬3米多的分兩片玻璃上下骨料就好玻璃中間相接處透明矽利康收&lt;/td&gt;&lt;/tr&gt;&lt;tr&gt;&lt;td colspan="5"&gt;總額新台幣 佰 拾 萬仟 佰 拾 元&lt;/td&gt;&lt;td colspan="2"&gt;&lt;/td&gt;&lt;/tr&gt;&lt;/table&gt;
115年3月11日
設股份有限公司
向上建洪豪
</x:v>
      </x:c>
    </x:row>
    <x:row r="72">
      <x:c r="A72" s="69" t="str">
        <x:v>SRC067</x:v>
      </x:c>
      <x:c r="B72" s="69" t="str">
        <x:v>20260317 全鑫 浪板更換.md#chunk-1</x:v>
      </x:c>
      <x:c r="C72" s="69" t="str">
        <x:v>Markdown</x:v>
      </x:c>
      <x:c r="D72" s="69" t="str">
        <x:v>0–1833</x:v>
      </x:c>
      <x:c r="E72" s="71" t="str">
        <x:v>## 全鑫企業社
## 後龍\_向上建設
&lt;table&gt;&lt;tr&gt;&lt;td&gt;項目&lt;/td&gt;&lt;td&gt;品名&lt;/td&gt;&lt;td&gt;規格&lt;/td&gt;&lt;td&gt;數量&lt;/td&gt;&lt;td&gt;單價&lt;/td&gt;&lt;td&gt;金額&lt;/td&gt;&lt;td&gt;備註&lt;/td&gt;&lt;/tr&gt;&lt;tr&gt;&lt;td&gt;1&lt;/td&gt;&lt;td&gt;牙白色牆面浪板更換&lt;/td&gt;&lt;td&gt;&lt;/td&gt;&lt;td&gt;&lt;/td&gt;&lt;td&gt;&lt;/td&gt;&lt;td&gt;&lt;/td&gt;&lt;td&gt;&lt;/td&gt;&lt;/tr&gt;&lt;tr&gt;&lt;td&gt;2&lt;/td&gt;&lt;td&gt;長 20000 高 180&lt;/td&gt;&lt;td&gt;式&lt;/td&gt;&lt;td&gt;1&lt;/td&gt;&lt;td&gt;&lt;/td&gt;&lt;td&gt;22000&lt;/td&gt;&lt;td&gt;&lt;/td&gt;&lt;/tr&gt;&lt;tr&gt;&lt;td&gt;3&lt;/td&gt;&lt;td&gt;寬 5000 高 3000&lt;/td&gt;&lt;td&gt;式&lt;/td&gt;&lt;td&gt;1&lt;/td&gt;&lt;td&gt;&lt;/td&gt;&lt;td&gt;15000&lt;/td&gt;&lt;td&gt;&lt;/td&gt;&lt;/tr&gt;&lt;tr&gt;&lt;td&gt;4&lt;/td&gt;&lt;td&gt;台度 5000*1&lt;/td&gt;&lt;td&gt;式&lt;/td&gt;&lt;td&gt;1&lt;/td&gt;&lt;td&gt;&lt;/td&gt;&lt;td&gt;3000&lt;/td&gt;&lt;td&gt;&lt;/td&gt;&lt;/tr&gt;&lt;tr&gt;&lt;td&gt;5&lt;/td&gt;&lt;td&gt;轉包角 1800*1&lt;/td&gt;&lt;td&gt;式&lt;/td&gt;&lt;td&gt;1&lt;/td&gt;&lt;td&gt;&lt;/td&gt;&lt;td&gt;1500&lt;/td&gt;&lt;td&gt;&lt;/td&gt;&lt;/tr&gt;&lt;tr&gt;&lt;td&gt;6&lt;/td&gt;&lt;td&gt;&lt;/td&gt;&lt;td&gt;&lt;/td&gt;&lt;td&gt;&lt;/td&gt;&lt;td&gt;&lt;/td&gt;&lt;td&gt;&lt;/td&gt;&lt;td&gt;&lt;/td&gt;&lt;/tr&gt;&lt;tr&gt;&lt;td&gt;7&lt;/td&gt;&lt;td&gt;&lt;/td&gt;&lt;td&gt;&lt;/td&gt;&lt;td&gt;&lt;/td&gt;&lt;td&gt;&lt;/td&gt;&lt;td&gt;&lt;/td&gt;&lt;td&gt;&lt;/td&gt;&lt;/tr&gt;&lt;tr&gt;&lt;td&gt;8&lt;/td&gt;&lt;td&gt;合計$41500 末稅&lt;/td&gt;&lt;td&gt;&lt;/td&gt;&lt;td&gt;&lt;/td&gt;&lt;td&gt;&lt;/td&gt;&lt;td&gt;&lt;/td&gt;&lt;td&gt;&lt;/td&gt;&lt;/tr&gt;&lt;tr&gt;&lt;td&gt;9&lt;/td&gt;&lt;td&gt;議價$35000 末稅&lt;/td&gt;&lt;td&gt;&lt;/td&gt;&lt;td&gt;&lt;/td&gt;&lt;td&gt;&lt;/td&gt;&lt;td&gt;&lt;/td&gt;&lt;td&gt;&lt;/td&gt;&lt;/tr&gt;&lt;tr&gt;&lt;td&gt;10&lt;/td&gt;&lt;td&gt;&lt;/td&gt;&lt;td&gt;&lt;/td&gt;&lt;td&gt;&lt;/td&gt;&lt;td&gt;&lt;/td&gt;&lt;td&gt;&lt;/td&gt;&lt;td&gt;&lt;/td&gt;&lt;/tr&gt;&lt;tr&gt;&lt;td&gt;11&lt;/td&gt;&lt;td&gt;&lt;/td&gt;&lt;td&gt;&lt;/td&gt;&lt;td&gt;&lt;/td&gt;&lt;td&gt;&lt;/td&gt;&lt;td&gt;&lt;/td&gt;&lt;td&gt;&lt;/td&gt;&lt;/tr&gt;&lt;tr&gt;&lt;td&gt;12&lt;/td&gt;&lt;td&gt;&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lt;/td&gt;&lt;td&gt;&lt;/td&gt;&lt;td&gt;&lt;/td&gt;&lt;td&gt;&lt;/td&gt;&lt;td&gt;&lt;/td&gt;&lt;td&gt;&lt;/td&gt;&lt;/tr&gt;&lt;tr&gt;&lt;td&gt;16&lt;/td&gt;&lt;td&gt;&lt;/td&gt;&lt;td&gt;&lt;/td&gt;&lt;td&gt;&lt;/td&gt;&lt;td&gt;&lt;/td&gt;&lt;td&gt;&lt;/td&gt;&lt;td&gt;&lt;/td&gt;&lt;/tr&gt;&lt;tr&gt;&lt;td&gt;17&lt;/td&gt;&lt;td&gt;&lt;/td&gt;&lt;td&gt;&lt;/td&gt;&lt;td&gt;&lt;/td&gt;&lt;td&gt;&lt;/td&gt;&lt;td&gt;&lt;/td&gt;&lt;td&gt;&lt;/td&gt;&lt;/tr&gt;&lt;tr&gt;&lt;td&gt;18&lt;/td&gt;&lt;td&gt;&lt;/td&gt;&lt;td&gt;&lt;/td&gt;&lt;td&gt;&lt;/td&gt;&lt;td&gt;&lt;/td&gt;&lt;td&gt;&lt;/td&gt;&lt;td&gt;&lt;/td&gt;&lt;/tr&gt;&lt;tr&gt;&lt;td&gt;19&lt;/td&gt;&lt;td&gt;&lt;/td&gt;&lt;td&gt;&lt;/td&gt;&lt;td&gt;&lt;/td&gt;&lt;td&gt;&lt;/td&gt;&lt;td&gt;&lt;/td&gt;&lt;td&gt;&lt;/td&gt;&lt;/tr&gt;&lt;tr&gt;&lt;td&gt;20&lt;/td&gt;&lt;td&gt;&lt;/td&gt;&lt;td&gt;&lt;/td&gt;&lt;td&gt;&lt;/td&gt;&lt;td&gt;&lt;/td&gt;&lt;td&gt;&lt;/td&gt;&lt;td&gt;&lt;/td&gt;&lt;/tr&gt;&lt;tr&gt;&lt;td colspan="7"&gt;&lt;/td&gt;&lt;/tr&gt;&lt;tr&gt;&lt;td colspan="5"&gt;總額新台幣 佰 拾 萬 仟 佰 拾 元&lt;/td&gt;&lt;td colspan="2"&gt;35000 末稅&lt;/td&gt;&lt;/tr&gt;&lt;/table&gt;
115年3月11日
有限公司設股份向上建
建豪洪
</x:v>
      </x:c>
    </x:row>
    <x:row r="73">
      <x:c r="A73" s="69" t="str">
        <x:v>SRC069</x:v>
      </x:c>
      <x:c r="B73" s="69" t="str">
        <x:v>20260317 塑豐 瓦斯錶格柵.md#chunk-1</x:v>
      </x:c>
      <x:c r="C73" s="69" t="str">
        <x:v>Markdown</x:v>
      </x:c>
      <x:c r="D73" s="69" t="str">
        <x:v>0–1036</x:v>
      </x:c>
      <x:c r="E73" s="71" t="str">
        <x:v>客戶名稱：35086向上建設股份有限公司
(追加)報價單塑豐實業股份有限公司
&lt;table&gt;&lt;tr&gt;&lt;td rowspan="2"&gt;項次&lt;/td&gt;&lt;td rowspan="2"&gt;位置&lt;/td&gt;&lt;td colspan="3"&gt;規格&lt;/td&gt;&lt;td rowspan="2"&gt;色別&lt;/td&gt;&lt;td rowspan="2"&gt;數量&lt;/td&gt;&lt;td rowspan="2"&gt;單檯小計&lt;/td&gt;&lt;td rowspan="2"&gt;複價&lt;/td&gt;&lt;td rowspan="2"&gt;備註&lt;/td&gt;&lt;/tr&gt;&lt;tr&gt;&lt;td&gt;品名&lt;/td&gt;&lt;td&gt;W(cm)&lt;/td&gt;&lt;td&gt;H(cm)&lt;/td&gt;&lt;/tr&gt;&lt;tr&gt;&lt;td&gt;1&lt;/td&gt;&lt;td&gt;1F瓦斯表&lt;/td&gt;&lt;td&gt;鋁格柵&lt;/td&gt;&lt;td&gt;340&lt;/td&gt;&lt;td&gt;340&lt;/td&gt;&lt;td&gt;粉體塗裝#49316 鐵灰色&lt;/td&gt;&lt;td&gt;1&lt;/td&gt;&lt;td&gt;63,180&lt;/td&gt;&lt;td&gt;63,180&lt;/td&gt;&lt;td&gt;採5*5背擋+3*6立料·間距8cm&lt;/td&gt;&lt;/tr&gt;&lt;tr&gt;&lt;td&gt;&lt;/td&gt;&lt;td&gt;&lt;/td&gt;&lt;td&gt;以下空白&lt;/td&gt;&lt;td&gt;&lt;/td&gt;&lt;td&gt;&lt;/td&gt;&lt;td&gt;&lt;/td&gt;&lt;td&gt;&lt;/td&gt;&lt;td&gt;-&lt;/td&gt;&lt;td&gt;-&lt;/td&gt;&lt;td&gt;&lt;/td&gt;&lt;/tr&gt;&lt;tr&gt;&lt;td colspan="5"&gt;小計&lt;/td&gt;&lt;td&gt;&lt;/td&gt;&lt;td&gt;1&lt;/td&gt;&lt;td&gt;&lt;/td&gt;&lt;td&gt;63,180&lt;/td&gt;&lt;td&gt;&lt;/td&gt;&lt;/tr&gt;&lt;/table&gt;
1.以上表面處理採一般粉體塗裝#49316鐵灰色。
![](images/f789cab0c4d1db44e37a6339b95c7c0854edd2c3c012795fc6c00170a2a8a30a.jpg)
地址：苗栗縣頭份市自強路二段477號 TEL：037-636192(代表) FAX：037-626860
2. 鋁格稱價格含本體、按裝，不含塞水路、嵌補、結構補強、施工架、清潔及吊車。
3. 因國際鋁錠及原物料價格不斷持續上漲影響，報價會隨價格波動異動調整，若有造成不便，敬請多加包涵。
※如確定製作，請蓋章後回傳，謝謝！
聯絡人：顏志豪（工務經理）
![](images/78ef7507838e4d2f797f72aee8888309f6eb6b42e64dc265659ecb15d5cc60db.jpg)
手機：0937-771-332
</x:v>
      </x:c>
    </x:row>
    <x:row r="74">
      <x:c r="A74" s="69" t="str">
        <x:v>SRC070</x:v>
      </x:c>
      <x:c r="B74" s="69" t="str">
        <x:v>20260319 太子種苗 狼尾草.md#chunk-1</x:v>
      </x:c>
      <x:c r="C74" s="69" t="str">
        <x:v>Markdown</x:v>
      </x:c>
      <x:c r="D74" s="69" t="str">
        <x:v>0–1961</x:v>
      </x:c>
      <x:c r="E74" s="71" t="str">
        <x:v>[Unreadable]
地址：苗栗縣竹南鎮博愛街332-1號
報價單
服務電話：0953666508;037476888
日期： 2026年3月18日
&lt;table&gt;&lt;tr&gt;&lt;td colspan="7"&gt;客戶名稱&lt;/td&gt;&lt;/tr&gt;&lt;tr&gt;&lt;td&gt;公司:&lt;/td&gt;&lt;td&gt;向上建設股份有限公司&lt;/td&gt;&lt;td&gt;統編:&lt;/td&gt;&lt;td&gt;90057101&lt;/td&gt;&lt;td&gt;&lt;/td&gt;&lt;td&gt;施工地點&lt;/td&gt;&lt;td&gt;&lt;/td&gt;&lt;/tr&gt;&lt;tr&gt;&lt;td&gt;聯絡人:&lt;/td&gt;&lt;td&gt;蘇特助&lt;/td&gt;&lt;td&gt;&lt;/td&gt;&lt;td&gt;&lt;/td&gt;&lt;td&gt;&lt;/td&gt;&lt;td&gt;苗栗高鐵&lt;/td&gt;&lt;td&gt;&lt;/td&gt;&lt;/tr&gt;&lt;tr&gt;&lt;td&gt;電話:&lt;/td&gt;&lt;td&gt;0975210336&lt;/td&gt;&lt;td&gt;&lt;/td&gt;&lt;td&gt;&lt;/td&gt;&lt;td&gt;&lt;/td&gt;&lt;td&gt;&lt;/td&gt;&lt;td&gt;&lt;/td&gt;&lt;/tr&gt;&lt;tr&gt;&lt;td colspan="7"&gt;敘述&lt;/td&gt;&lt;/tr&gt;&lt;tr&gt;&lt;td&gt;1&lt;/td&gt;&lt;td&gt;改良型花土&lt;/td&gt;&lt;td&gt;&lt;/td&gt;&lt;td&gt;米&lt;/td&gt;&lt;td&gt;5&lt;/td&gt;&lt;td&gt;1600&lt;/td&gt;&lt;td&gt;8000&lt;/td&gt;&lt;/tr&gt;&lt;tr&gt;&lt;td&gt;2&lt;/td&gt;&lt;td&gt;紅狼草&lt;/td&gt;&lt;td&gt;&lt;/td&gt;&lt;td&gt;5寸&lt;/td&gt;&lt;td&gt;30&lt;/td&gt;&lt;td&gt;200&lt;/td&gt;&lt;td&gt;6000&lt;/td&gt;&lt;/tr&gt;&lt;tr&gt;&lt;td&gt;3&lt;/td&gt;&lt;td&gt;工資&lt;/td&gt;&lt;td&gt;&lt;/td&gt;&lt;td&gt;式&lt;/td&gt;&lt;td&gt;1&lt;/td&gt;&lt;td&gt;15000&lt;/td&gt;&lt;td&gt;15000&lt;/td&gt;&lt;/tr&gt;&lt;tr&gt;&lt;td&gt;4&lt;/td&gt;&lt;td&gt;碎石鋪面(樣式1)&lt;/td&gt;&lt;td&gt;&lt;/td&gt;&lt;td&gt;式&lt;/td&gt;&lt;td&gt;1&lt;/td&gt;&lt;td&gt;2000&lt;/td&gt;&lt;td&gt;2000&lt;/td&gt;&lt;/tr&gt;&lt;tr&gt;&lt;td&gt;5&lt;/td&gt;&lt;td&gt;碎石鋪面(樣式2)&lt;/td&gt;&lt;td&gt;&lt;/td&gt;&lt;td&gt;式&lt;/td&gt;&lt;td&gt;0&lt;/td&gt;&lt;td&gt;6000&lt;/td&gt;&lt;td&gt;0&lt;/td&gt;&lt;/tr&gt;&lt;tr&gt;&lt;td&gt;6&lt;/td&gt;&lt;td rowspan="8"&gt;&lt;img src="images/186657aa40afa2689d0c1f077529dc8b378b4549d7c0dd131c42e8f1b18ae321.jpg"/&gt;&lt;/td&gt;&lt;td rowspan="8"&gt;&lt;img src="images/6f5827c2a81ace8320813e2ce411d148b964d3d95438e37bc8ace00d26496be8.jpg"/&gt;&lt;/td&gt;&lt;td&gt;&lt;/td&gt;&lt;td&gt;&lt;/td&gt;&lt;td&gt;&lt;/td&gt;&lt;td&gt;0&lt;/td&gt;&lt;/tr&gt;&lt;tr&gt;&lt;td&gt;7&lt;/td&gt;&lt;td&gt;&lt;/td&gt;&lt;td&gt;&lt;/td&gt;&lt;td&gt;&lt;/td&gt;&lt;td&gt;0&lt;/td&gt;&lt;/tr&gt;&lt;tr&gt;&lt;td&gt;8&lt;/td&gt;&lt;td&gt;&lt;/td&gt;&lt;td&gt;&lt;/td&gt;&lt;td&gt;&lt;/td&gt;&lt;td&gt;0&lt;/td&gt;&lt;/tr&gt;&lt;tr&gt;&lt;td&gt;9&lt;/td&gt;&lt;td&gt;&lt;/td&gt;&lt;td&gt;&lt;/td&gt;&lt;td&gt;&lt;/td&gt;&lt;td&gt;0&lt;/td&gt;&lt;/tr&gt;&lt;tr&gt;&lt;td&gt;10&lt;/td&gt;&lt;td&gt;&lt;/td&gt;&lt;td&gt;&lt;/td&gt;&lt;td&gt;&lt;/td&gt;&lt;td&gt;0&lt;/td&gt;&lt;/tr&gt;&lt;tr&gt;&lt;td&gt;11&lt;/td&gt;&lt;td&gt;&lt;/td&gt;&lt;td&gt;&lt;/td&gt;&lt;td&gt;&lt;/td&gt;&lt;td&gt;0&lt;/td&gt;&lt;/tr&gt;&lt;tr&gt;&lt;td&gt;12&lt;/td&gt;&lt;td&gt;&lt;/td&gt;&lt;td&gt;&lt;/td&gt;&lt;td&gt;&lt;/td&gt;&lt;td&gt;0&lt;/td&gt;&lt;/tr&gt;&lt;tr&gt;&lt;td&gt;13&lt;/td&gt;&lt;td&gt;&lt;/td&gt;&lt;td&gt;&lt;/td&gt;&lt;td&gt;&lt;/td&gt;&lt;td&gt;0&lt;/td&gt;&lt;/tr&gt;&lt;tr&gt;&lt;td colspan="7"&gt;備註&lt;/td&gt;&lt;/tr&gt;&lt;tr&gt;&lt;td rowspan="4" colspan="4"&gt;&lt;/td&gt;&lt;td rowspan="4"&gt;&lt;img src="images/2b0ed148084ee0d64eaf65d874b1936a9fd46ca3360dba150a1d99d21f888b26.jpg"/&gt;&lt;/td&gt;&lt;td&gt;合計&lt;/td&gt;&lt;td&gt;$31000&lt;/td&gt;&lt;/tr&gt;&lt;tr&gt;&lt;td&gt;稅金&lt;/td&gt;&lt;td&gt;$1550&lt;/td&gt;&lt;/tr&gt;&lt;tr&gt;&lt;td&gt;管理費8%&lt;/td&gt;&lt;td&gt;&lt;/td&gt;&lt;/tr&gt;&lt;tr&gt;&lt;td&gt;總計&lt;/td&gt;&lt;td&gt;$32550&lt;/td&gt;&lt;/tr&gt;&lt;/table&gt;
若要接受此報價,請在此簽名後回傳：
![](images/a676977b18194295b2d67e3de821d6601d092269b951450f8e7a5a2b3a926e68.jpg)
建豪洪
</x:v>
      </x:c>
    </x:row>
    <x:row r="75">
      <x:c r="A75" s="69" t="str">
        <x:v>SRC071</x:v>
      </x:c>
      <x:c r="B75" s="69" t="str">
        <x:v>20260401 全鑫 圍籬.md#chunk-1</x:v>
      </x:c>
      <x:c r="C75" s="69" t="str">
        <x:v>Markdown</x:v>
      </x:c>
      <x:c r="D75" s="69" t="str">
        <x:v>0–1825</x:v>
      </x:c>
      <x:c r="E75" s="71" t="str">
        <x:v>## 全鑫企業社
李主任\_後龍 向上建設
→仁普議便18000
&lt;table&gt;&lt;tr&gt;&lt;td&gt;項目&lt;/td&gt;&lt;td&gt;品名&lt;/td&gt;&lt;td&gt;規格&lt;/td&gt;&lt;td&gt;數量&lt;/td&gt;&lt;td&gt;單價&lt;/td&gt;&lt;td&gt;金額&lt;/td&gt;&lt;td&gt;備註&lt;/td&gt;&lt;/tr&gt;&lt;tr&gt;&lt;td&gt;1&lt;/td&gt;&lt;td rowspan="2"&gt;代工安裝格栅鐵網約20米開3個小門(拾壹閥圖籠、水塗圖籠)&lt;/td&gt;&lt;td&gt;式&lt;/td&gt;&lt;td&gt;1&lt;/td&gt;&lt;td&gt;&lt;/td&gt;&lt;td&gt;25000&lt;/td&gt;&lt;td&gt;&lt;/td&gt;&lt;/tr&gt;&lt;tr&gt;&lt;td&gt;2&lt;/td&gt;&lt;td&gt;&lt;/td&gt;&lt;td&gt;&lt;/td&gt;&lt;td&gt;&lt;/td&gt;&lt;td&gt;&lt;/td&gt;&lt;td&gt;&lt;/td&gt;&lt;/tr&gt;&lt;tr&gt;&lt;td&gt;3&lt;/td&gt;&lt;td&gt;鎧3mm花板長1130寬420含下面&lt;/td&gt;&lt;td&gt;&lt;/td&gt;&lt;td&gt;&lt;/td&gt;&lt;td&gt;&lt;/td&gt;&lt;td&gt;&lt;/td&gt;&lt;td&gt;&lt;/td&gt;&lt;/tr&gt;&lt;tr&gt;&lt;td&gt;4&lt;/td&gt;&lt;td&gt;斜擰補強&lt;/td&gt;&lt;td&gt;式&lt;/td&gt;&lt;td&gt;1&lt;/td&gt;&lt;td&gt;&lt;/td&gt;&lt;td&gt;3800&lt;/td&gt;&lt;td&gt;&lt;/td&gt;&lt;/tr&gt;&lt;tr&gt;&lt;td&gt;5&lt;/td&gt;&lt;td&gt;&lt;/td&gt;&lt;td&gt;&lt;/td&gt;&lt;td&gt;&lt;/td&gt;&lt;td&gt;&lt;/td&gt;&lt;td&gt;&lt;/td&gt;&lt;td&gt;&lt;/td&gt;&lt;/tr&gt;&lt;tr&gt;&lt;td&gt;6&lt;/td&gt;&lt;td&gt;長2540 寬445含下面斜擰補強&lt;/td&gt;&lt;td&gt;式&lt;/td&gt;&lt;td&gt;1&lt;/td&gt;&lt;td&gt;&lt;/td&gt;&lt;td&gt;9000&lt;/td&gt;&lt;td&gt;&lt;/td&gt;&lt;/tr&gt;&lt;tr&gt;&lt;td&gt;7&lt;/td&gt;&lt;td&gt;&lt;/td&gt;&lt;td&gt;&lt;/td&gt;&lt;td&gt;&lt;/td&gt;&lt;td&gt;&lt;/td&gt;&lt;td&gt;&lt;/td&gt;&lt;td&gt;&lt;/td&gt;&lt;/tr&gt;&lt;tr&gt;&lt;td&gt;8&lt;/td&gt;&lt;td&gt;總價$37800 未稅&lt;/td&gt;&lt;td&gt;&lt;/td&gt;&lt;td&gt;&lt;/td&gt;&lt;td&gt;&lt;/td&gt;&lt;td&gt;&lt;/td&gt;&lt;td&gt;&lt;/td&gt;&lt;/tr&gt;&lt;tr&gt;&lt;td&gt;9&lt;/td&gt;&lt;td&gt;&lt;/td&gt;&lt;td&gt;&lt;/td&gt;&lt;td&gt;&lt;/td&gt;&lt;td&gt;&lt;/td&gt;&lt;td&gt;&lt;/td&gt;&lt;td&gt;&lt;/td&gt;&lt;/tr&gt;&lt;tr&gt;&lt;td&gt;10&lt;/td&gt;&lt;td&gt;&lt;/td&gt;&lt;td&gt;&lt;/td&gt;&lt;td&gt;&lt;/td&gt;&lt;td&gt;&lt;/td&gt;&lt;td&gt;&lt;/td&gt;&lt;td&gt;&lt;/td&gt;&lt;/tr&gt;&lt;tr&gt;&lt;td&gt;11&lt;/td&gt;&lt;td&gt;&lt;/td&gt;&lt;td&gt;&lt;/td&gt;&lt;td&gt;&lt;/td&gt;&lt;td&gt;&lt;/td&gt;&lt;td&gt;&lt;/td&gt;&lt;td&gt;&lt;/td&gt;&lt;/tr&gt;&lt;tr&gt;&lt;td&gt;12&lt;/td&gt;&lt;td&gt;&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lt;/td&gt;&lt;td&gt;&lt;/td&gt;&lt;td&gt;&lt;/td&gt;&lt;td&gt;&lt;/td&gt;&lt;td&gt;&lt;/td&gt;&lt;td&gt;&lt;/td&gt;&lt;/tr&gt;&lt;tr&gt;&lt;td&gt;16&lt;/td&gt;&lt;td&gt;&lt;/td&gt;&lt;td&gt;&lt;/td&gt;&lt;td&gt;&lt;/td&gt;&lt;td&gt;&lt;/td&gt;&lt;td&gt;&lt;/td&gt;&lt;td&gt;&lt;/td&gt;&lt;/tr&gt;&lt;tr&gt;&lt;td&gt;17&lt;/td&gt;&lt;td&gt;&lt;/td&gt;&lt;td&gt;&lt;/td&gt;&lt;td&gt;&lt;/td&gt;&lt;td&gt;&lt;/td&gt;&lt;td&gt;&lt;/td&gt;&lt;td&gt;&lt;/td&gt;&lt;/tr&gt;&lt;tr&gt;&lt;td&gt;18&lt;/td&gt;&lt;td&gt;&lt;/td&gt;&lt;td&gt;&lt;/td&gt;&lt;td&gt;&lt;/td&gt;&lt;td&gt;&lt;/td&gt;&lt;td&gt;&lt;/td&gt;&lt;td&gt;&lt;/td&gt;&lt;/tr&gt;&lt;tr&gt;&lt;td&gt;19&lt;/td&gt;&lt;td&gt;&lt;/td&gt;&lt;td&gt;&lt;/td&gt;&lt;td&gt;&lt;/td&gt;&lt;td&gt;&lt;/td&gt;&lt;td&gt;&lt;/td&gt;&lt;td&gt;&lt;/td&gt;&lt;/tr&gt;&lt;tr&gt;&lt;td&gt;20&lt;/td&gt;&lt;td&gt;&lt;/td&gt;&lt;td&gt;&lt;/td&gt;&lt;td&gt;&lt;/td&gt;&lt;td&gt;&lt;/td&gt;&lt;td&gt;&lt;/td&gt;&lt;td&gt;&lt;/td&gt;&lt;/tr&gt;&lt;tr&gt;&lt;td colspan="7"&gt;&lt;/td&gt;&lt;/tr&gt;&lt;tr&gt;&lt;td colspan="5"&gt;總額新台幣 佰 拾 萬 仟 佰 拾 元&lt;/td&gt;&lt;td colspan="2"&gt;&lt;/td&gt;&lt;/tr&gt;&lt;/table&gt;
115年3月26日
张华
</x:v>
      </x:c>
    </x:row>
    <x:row r="76">
      <x:c r="A76" s="69" t="str">
        <x:v>SRC072</x:v>
      </x:c>
      <x:c r="B76" s="69" t="str">
        <x:v>20260402花台磚.md#chunk-1</x:v>
      </x:c>
      <x:c r="C76" s="69" t="str">
        <x:v>Markdown</x:v>
      </x:c>
      <x:c r="D76" s="69" t="str">
        <x:v>0–1581</x:v>
      </x:c>
      <x:c r="E76" s="71" t="str">
        <x:v>## 智慧城企業有限公司
圍牆 - 報價單
連絡電話:阿普主任0921-081438
115.3.26
&lt;table&gt;&lt;tr&gt;&lt;td&gt;客戶廠商:向上建設股份有限公司&lt;/td&gt;&lt;td colspan="3"&gt;施工地點:高鐵附近(新東路116號旁)&lt;/td&gt;&lt;/tr&gt;&lt;tr&gt;&lt;td rowspan="2"&gt;工程名稱:圍牆施工&lt;/td&gt;&lt;td rowspan="2"&gt;使用材料:&lt;/td&gt;&lt;td&gt;V&lt;/td&gt;&lt;td&gt;百歲磚(1式21000元未稅)&lt;/td&gt;&lt;/tr&gt;&lt;tr&gt;&lt;td&gt;V&lt;/td&gt;&lt;td&gt;切面磚(1式22000元未稅)&lt;/td&gt;&lt;/tr&gt;&lt;tr&gt;&lt;td colspan="4"&gt;一、施工範圍:基礎與施工前之任何障礙物清理,由工地負責。進料之運輸,以板車能到,堆高機在50公尺內為原則(二次搬運不在估價內);如有推磚太遠或施工難度較高,酌情貼補工資。施工高度由業主自訂,如需搭架由工地提供,高度超過2M或施工難度高者,酌增收工資補貼費用。初估丈量尺寸:長15.6m、高50cm(含帽沿)計價。水泥砂及由業主現場無價供應。水電由業主提供(需就近提供)無價供應。此報價依現場初估範圍內計價.如有增加數量工資及材料價格亦會增加。如因現場變更施做造成工時延誤時.需另貼補工資。&lt;/td&gt;&lt;/tr&gt;&lt;tr&gt;&lt;td colspan="4"&gt;二、施工方式:&lt;/td&gt;&lt;/tr&gt;&lt;tr&gt;&lt;td colspan="4"&gt;1. V 圍牆/花台施工,百歲磚本色1式/21000元,切面磚本色1式/22000元,★不含水泥砂、不含鐵、不含植筋膠(不含稅金),兩種磚二擇一。圖牆施工,牆與柱分開計數,40*40柱仔量四面即1.6*高度,每層帽磚加10cm(40*20柱仔量四面即1.2*高度,帽磚不加10cm);墙面長*高,帽磚加10cm計數。施工如需灌漿,灌柱另計★不含水泥砂★不含植筋膠鋼筋由基礎施工時植入,如加植鋼筋,酌情增加費用(高度以1.5M為標準)。工程進行中如有發現不合施工要求,請即刻指正改進,以免完成後修改之困擾(如有上述情形,一切費用由業主負責)。圖牆施工以本色為主,黑色、紅色及其他顏色M2/加20元。加特製窗框M2/加20元。&lt;/td&gt;&lt;/tr&gt;&lt;tr&gt;&lt;td colspan="4"&gt;PS: 圍牆一律實做實算實量。&lt;/td&gt;&lt;/tr&gt;&lt;tr&gt;&lt;td colspan="4"&gt;注意:圍牆磚本色皆為水泥砂顏色,因不同批水泥砂製做.磚本就會有些許色差皆屬正常範圍內請勿見怪,謝謝。&lt;/td&gt;&lt;/tr&gt;&lt;tr&gt;&lt;td colspan="4"&gt;※此報價單以10日期限內有效.如超過期限請重新報價.造成不便敬請見諒.謝謝。&lt;/td&gt;&lt;/tr&gt;&lt;tr&gt;&lt;td colspan="4"&gt;三、付款方式:施工完成後.配合當月請款.可現金可匯款.若開立支票(票日請開請款當月算起20日內).敬請配合.謝謝。(現金不折扣)請全額支付,零保留。&lt;/td&gt;&lt;/tr&gt;&lt;tr&gt;&lt;td colspan="4"&gt;*施工數量以施工完畢數量為準。以上報價皆不含稅金。*此報價單為初估參考數量.不可當作施工完成數量.需以施工完畢後實際數量為準。備註:請確認無誤後簽章回傳.方可盡快為貴公司安排施工事宜.謝謝。&lt;/td&gt;&lt;/tr&gt;&lt;tr&gt;&lt;td&gt;甲方&lt;/td&gt;&lt;td colspan="3"&gt;乙方&lt;/td&gt;&lt;/tr&gt;&lt;tr&gt;&lt;td&gt;公司名稱:智慧城企業有限公司負責人:陳明駿&lt;/td&gt;&lt;td colspan="3"&gt;公司名稱:負責人:&lt;/td&gt;&lt;/tr&gt;&lt;/table&gt;
公司地址：苗栗縣後龍鎮校椅里造豐路345號(苗栗往造橋新蓮寺前)  
電話：037-727182；037-722837 行動電話：0919-279180
傳真：037-730471
統一編號：86781412
</x:v>
      </x:c>
    </x:row>
    <x:row r="77">
      <x:c r="A77" s="69" t="str">
        <x:v>SRC073</x:v>
      </x:c>
      <x:c r="B77" s="69" t="str">
        <x:v>20260408 智慧城 花台磚.md#chunk-1</x:v>
      </x:c>
      <x:c r="C77" s="69" t="str">
        <x:v>Markdown</x:v>
      </x:c>
      <x:c r="D77" s="69" t="str">
        <x:v>0–1530</x:v>
      </x:c>
      <x:c r="E77" s="71" t="str">
        <x:v>電話：037-727182 : 037-722837
智慧城企業有限公司
圖將 - 報價單
連絡電話：阿普主 0921 081438
&lt;table&gt;&lt;tr&gt;&lt;td&gt;客戶廠商:向上建設股份有限公司&lt;/td&gt;&lt;td colspan="3"&gt;施工地點:高鐵附近(新東路116號旁)&lt;/td&gt;&lt;/tr&gt;&lt;tr&gt;&lt;td rowspan="2"&gt;工程名稱:圍牆施工&lt;/td&gt;&lt;td rowspan="2"&gt;使用材料:&lt;/td&gt;&lt;td&gt;V&lt;/td&gt;&lt;td&gt;百歲磚(1式21000元未稅)&lt;/td&gt;&lt;/tr&gt;&lt;tr&gt;&lt;td&gt;V&lt;/td&gt;&lt;td&gt;切面磚(1式22000元未稅)&lt;/td&gt;&lt;/tr&gt;&lt;tr&gt;&lt;td colspan="4"&gt;一.施工範圍:1.V基礎與施工前之任何障礙物清理、由工地負責。2.V進料之運輸、以板車能到,堆高機在50公尺內為原則(二次搬運不在估價內):如有推磚大道或施工难度較高,酌情貼補工資。請加工或施工需要作業,如推磚有中土地提用,高度超過圖,施工和工事。&lt;/td&gt;&lt;/tr&gt;&lt;tr&gt;&lt;td colspan="4"&gt;&lt;/td&gt;&lt;/tr&gt;&lt;tr&gt;&lt;td colspan="4"&gt;1.V圍牆/花台施工,百歲磚本色1式/21000元,切面磚本色1式/22000元,★不含水泥砂,不含鐵、不含植筋鋼(不含鉛合金)兩種磚二擇一2.V圍牆施工,地與柱分開計數,40×40柱仔童四面即1.6*高度,每個幅磚加10cm(40×20柱仔童四面即1.2*高度,帽磚不加10cm);膝面長*高,帽磚加10cm計數3.V施工如意層服,灌柱另計★不含水泥砂★不含銅製膠4.W鋼筋由基礎施工時植入,如加植鋼筋,酌情增加費用(高度以1.5M為標準),工程進行手如有存疑不含施工要求,請節刻拋正改進,以更完成後修改之固擾(如有上述情形,一切費用由業主負責)5.V圍牆施工以木色為主,黑色、紅色及其他顏色M2,加20元6.V加特製窗框M2,加20元&lt;/td&gt;&lt;/tr&gt;&lt;tr&gt;&lt;td colspan="4"&gt;PS:圍牆一律實做實算實量。&lt;/td&gt;&lt;/tr&gt;&lt;tr&gt;&lt;td colspan="4"&gt;注意:圍牆磚本色皆為水泥砂顏色,因不同批水泥砂製做,磚本就會有些許色差皆屬正常範圍內請勿見怪,謝謝。&lt;/td&gt;&lt;/tr&gt;&lt;tr&gt;&lt;td colspan="4"&gt;※此報價單以10日期限內有效.如超過期限請重新報價.造成不便敬請見諒.謝謝。&lt;/td&gt;&lt;/tr&gt;&lt;tr&gt;&lt;td colspan="4"&gt;二.付款方式:施工完成後.配合當月請款.可現金可匯款.若開立支票(票日請開請款當月算起20日內).敬請配合.謝謝。(現金不折扣)請全額支付,零保留。*施工數量以施工完畢數量為準。以上報價皆不含稅金。此報價單為初估參考數量,不可當作施工完成數量,需以施工完畢後實際數量為準備註:請確認無誤後簽章回傳,方可盡快為貴公司安排施工事宜.謝謝。&lt;/td&gt;&lt;/tr&gt;&lt;tr&gt;&lt;td colspan="2"&gt;甲方&lt;/td&gt;&lt;td colspan="2"&gt;乙方&lt;/td&gt;&lt;/tr&gt;&lt;tr&gt;&lt;td&gt;公司名稱:智慧城企業有限公司负责人:陳明駿&lt;/td&gt;&lt;td colspan="2"&gt;公司名稱&lt;img src="images/50da48a47ba622e838d0906f493718b71e936386de1dcbc2e4da55e80a548a4e.jpg"/&gt;負責人:&lt;/td&gt;&lt;td&gt;建洪豪洪&lt;/td&gt;&lt;/tr&gt;&lt;/table&gt;
公司地址：苗栗縣後龍鎮校椅里造豐路345號(苗栗往造橋新蓮寺前)
行動電話：0919-279180
傳真：037-730471
统一编號：86781412
</x:v>
      </x:c>
    </x:row>
    <x:row r="78">
      <x:c r="A78" s="69" t="str">
        <x:v>SRC074</x:v>
      </x:c>
      <x:c r="B78" s="69" t="str">
        <x:v>20260422 工務所裝潢合約.報價.md#chunk-1</x:v>
      </x:c>
      <x:c r="C78" s="69" t="str">
        <x:v>Markdown</x:v>
      </x:c>
      <x:c r="D78" s="69" t="str">
        <x:v>0–10000</x:v>
      </x:c>
      <x:c r="E78" s="71" t="str">
        <x:v>立契約書人 委託人： 向上建設股份有限（以下簡稱甲方）
設計師：林竹芊（以下簡稱乙方）
茲因甲方委任乙方辦理室內裝修設計及工程承攬，經雙方同意訂立本契約，約定條款如下：
第一條 施工建案名稱：拾壹間 7F 工務所
第二條 施工地點：苗栗縣後龍鎮東新路120號
## 第三條 設計面積及工程範圍
設計面積：約\_\_\_\_坪。（以實際設計面積為準）
□預售屋：依甲方提供之建築物平面圖（自牆內緣量測）。
□成屋：依實測面積（自牆內緣量測）。
工程範圍：依乙方提出設計圖說，經甲方認可之設計施工圖說文件（含施工圖、估價單及施工範圍說明書等）施工。
## 第四條 雙方協力事項
本室內裝修如應向政府機關申請室內裝修許可，甲方應提供申請所需證件及用印，乙方應配合所需一切手續，相關費用由甲方支付。
## 第五條 設計服務費用及初估工程費用之估價
本室內裝修之設計服務範圍及費用估價如附件報價單。
## 第六條 工程總價費用及其他
一、本工程費用：計新臺幣\_\_\_\_（請填大寫）元整。（含稅）
（一）本估價單具上所列項目為實際施作項目，如未標示，則無施作。
（二）本估價依圖面及相關建材經由甲方確認後，往後工程之增減項目，需依合約書之估價單實做數量調整。
## 第七條 付款辦法
甲方付款方式應依下列規定辦理：
於簽約時支付訂金 69000 元。
一、第一期款項於舊屋翻新拆除進場或保護工程前支付簽約金計 210000 元。
二、第二期款項 於木工封板前支付簽約金計 ≥10000 元。
三、第三期款項 於油漆進場前支付簽約金計 180,000 元。
四、第四期款項於全部工程驗收完畢，支付簽約金計21000元。
## 第八條 施工期間
自中華民國（以下同）\_\_\_\_年\_\_\_\_月\_\_\_\_日起至\_\_\_\_年\_\_\_\_月\_\_\_\_日止。
設計變更、工程變更致使局部或全部停工，其合理延展工程期限，由雙方協議之。
## 第九條 工程變更
工程變更應依下列規定辦理：
一、本工程範圍及內容得經雙方同意後增減之，其增減部分如與本工程契約附件內所訂項目相同時，即比照該單價計算增減金額；其增減項目與本契約附件有所不同時，應由雙方議定其金額。由甲方簽認後施工，並用書面作為本契約之附件。
二、增減工程價款之支付或扣減，雙方另行協議付款期程。
三、因甲方指示廢棄部分工程，其已訂購之成品、半成品之費用，由甲乙雙方協議處理。
## 第十條 權利讓與及義務
甲乙雙方未經他方書面同意，不得將本契約之權利義務移轉第三人。
## 第十一條 工程驗收
工程驗收應依下列規定辦理：
一、本工程全部完工時，乙方應以書面或口頭通知甲方驗收，甲方應於書面通知送達之翌日起10日內會同乙方進行驗收。如甲方無正當理由未於期間內會同驗收，經乙方先後再定相當期限之書面催告二次仍未會同驗收者，推定完成驗收程序。
二、經驗收發現瑕疵部分，乙方應於甲方書面通知或驗收紀錄所協商約定之期限內修繕，並依前款方式通知甲方再行驗收。
三、前二款規定，不妨礙甲方就工作物之瑕疵，依民法向乙方主張承攬瑕疵擔保、不完全給付或其他責任。
## 第十二條 違約之處理
甲乙雙方違約之處理應依下列規定辦理：
一、乙方違約之處理：乙方如未依本契約所定之期限內完成本案之規劃設計或施工，乙方應個別按日以設計服務費用或實際工程費用，每逾期1日，課以設計服務費用或實際工程費用之千分之一之遲延違約金予甲方，違約金總額以本契約總價百分之十為限。上述違約金得由甲方應付乙方之款項中扣除。但因甲方之因素或不可歸責於乙方之事由而遲延者，不在此限。
二、甲方違約之處理：甲方未依約定付款時，經乙方書面定相當期間催告履行，仍不履行付款者，甲方應個別按日以設計服務費用或實際工程費用，每逾期1日，課工程費用之千分之一之遲延違約金予乙方，違約金總額以本契約總價百分之五為限。
## 第十三條 契約解除
甲乙雙方於一方有下列情形之一者，他方得解除本契約：
一、乙方無正當理由遲未依第八條契約期間進場施工，超過約定期限\_\_\_\_日（不得逾30日，但契約期間在30日以下者，不得逾契約期間之半；未填寫者亦同）以上者。
二、甲方無正當理由遲未交付場地，經乙方書面催告逾30日，乙方仍無法進場施工。
三、未經他方書面同意將本契約之權利義務移轉第三人。
![](images/6ab38ad41264ea945b6305793bb16f5c6f197a6b76d88e1fefc186ff0efa180e.jpg)
## 第十四條 契約終止之事由
甲乙雙方契約終止應依下列規定辦理：
一、甲方之終止權：
(一)本契約工程未完成前，甲方得以書面終止契約，但應賠償乙方因契約終止而產生之損害。
(二) 乙方有下列情形之一者，甲方得以書面終止本契約：
1. 因可歸責於乙方之事由致未能依第八條規定契約各階段期間完成工作，經甲方書面催告逾 15 日仍無法完成者。
2. 乙方將本契約工程轉包或全部分包給第三人承作者。
二、乙方之終止權：
(一)甲方違反第七條規定，未依約定付款時，經乙方書面催告逾15日，仍未給付者，乙方得以書面終止本契約。
(二)終止契約時，乙方得自己收之價款抵償已完成工作之報酬，差額得向甲方追償。
## 第十五條 保固期限及範圍
乙方對於施作之工程，應自驗收完成之日起負保固如下：木工一年，系統櫃、五金五年。在保固期間內非可歸責於甲方之損壞者，乙方應無條件照圖說文件負修復之責。但因不可抗力及材料自然之因素，或甲方使用不當、未善盡保管之責所造成之損害及消耗性物品（如燈泡等耗材），不在此限。
第十六條 通知送達
本契約雙方所為之通知辦理事項，以書面通知時，均依本契約所載之地址為準，如任何一方遇有地址變更時，應即以書面通知他方，其因拒收或無法送達而遭退回二次者，以最後退件日推定已依本契約受通知，雙方仍宜以簡訊（電子郵件或其他約定方式）告知他方此通知之事由。
第十七條 爭議處理
因本契約發生之爭議，雙方得於直轄市、縣（市）政府消費爭議調解委員會、鄉（鎮、市、區）公所調解委員會或法院調解。
第十八條 著作權之歸屬
除另有約定外，依本契約所完成之設計圖說，其著作財產權屬於乙方。
甲方欲使用前項設計圖說於本契約以外之工程地點或其他用途時，須經乙方書面同意。但有前項另有約定或甲方合理使用之情形者，不在此限。
## 第十九條 附件效力及契約分存
契約附件及雙方補充之書面協議均為本契約之一部分。本契約正本貳份，由雙方各執一份為憑，並自簽約日起生效。
## 第二十條 未盡事宜之處置
本契約有未盡事宜者，依相關法令及平等互惠與誠實信用原則協議之。
附件 1:本次合約設計圖面
附件 2:本次設計報價單
附件 3:匯款帳號
立委任契約書人
甲方
委託人：
![](images/a2527607c5650a6e1aea16b483a2822704c52208d039f3a2aa3031ed82e83234.jpg)
身分證/統一編號：90059101
地址：苗栗縣竹南鎮桑德街71號
電話：037-975355
電子信箱：hadia@uphouse+w.com
乙方
設計師：林习萍
統一編號：55902067
地址：新竹縣竹北市文興路二段138號1樓
電話：FAX:03-6572133
電子信箱：mj036572323@gmail.com
中華民國 115 年 4 月 15 日
NJ
## 茗匠空間設計
裝修工程估價單
業主：向上建設
案名：拾壹間辦公室7F
報價日期：2026-0415
&lt;table&gt;&lt;tr&gt;&lt;td&gt;項次&lt;/td&gt;&lt;td&gt;工程項目&lt;/td&gt;&lt;td&gt;數量&lt;/td&gt;&lt;td&gt;單位&lt;/td&gt;&lt;td&gt;單價&lt;/td&gt;&lt;td&gt;小計&lt;/td&gt;&lt;td&gt;總價&lt;/td&gt;&lt;td&gt;備註&lt;/td&gt;&lt;/tr&gt;&lt;tr&gt;&lt;td&gt;1&lt;/td&gt;&lt;td&gt;水電工程&lt;/td&gt;&lt;td&gt;&lt;/td&gt;&lt;td&gt;&lt;/td&gt;&lt;td&gt;&lt;/td&gt;&lt;td&gt;&lt;/td&gt;&lt;td&gt;&lt;/td&gt;&lt;td&gt;&lt;/td&gt;&lt;/tr&gt;&lt;tr&gt;&lt;td&gt;2&lt;/td&gt;&lt;td&gt;電話換新延長&lt;/td&gt;&lt;td&gt;1&lt;/td&gt;&lt;td&gt;式&lt;/td&gt;&lt;td&gt;2,800&lt;/td&gt;&lt;td&gt;2,800&lt;/td&gt;&lt;td&gt;&lt;/td&gt;&lt;td&gt;Panasonic 星光系列&lt;/td&gt;&lt;/tr&gt;&lt;tr&gt;&lt;td&gt;3&lt;/td&gt;&lt;td&gt;網路線CAT.6換新延長&lt;/td&gt;&lt;td&gt;1&lt;/td&gt;&lt;td&gt;式&lt;/td&gt;&lt;td&gt;2,800&lt;/td&gt;&lt;td&gt;2,800&lt;/td&gt;&lt;td&gt;&lt;/td&gt;&lt;td&gt;Panasonic 星光系列&lt;/td&gt;&lt;/tr&gt;&lt;tr&gt;&lt;td&gt;4&lt;/td&gt;&lt;td&gt;一般插座延長&lt;/td&gt;&lt;td&gt;20&lt;/td&gt;&lt;td&gt;只&lt;/td&gt;&lt;td&gt;950&lt;/td&gt;&lt;td&gt;19,000&lt;/td&gt;&lt;td&gt;&lt;/td&gt;&lt;td&gt;Panasonic 星光系列&lt;/td&gt;&lt;/tr&gt;&lt;tr&gt;&lt;td&gt;5&lt;/td&gt;&lt;td&gt;增加單切開關&lt;/td&gt;&lt;td&gt;3&lt;/td&gt;&lt;td&gt;只&lt;/td&gt;&lt;td&gt;2,300&lt;/td&gt;&lt;td&gt;6,900&lt;/td&gt;&lt;td&gt;&lt;/td&gt;&lt;td&gt;含迴路&lt;/td&gt;&lt;/tr&gt;&lt;tr&gt;&lt;td&gt;6&lt;/td&gt;&lt;td&gt;打牆&lt;/td&gt;&lt;td&gt;1&lt;/td&gt;&lt;td&gt;處&lt;/td&gt;&lt;td&gt;2,600&lt;/td&gt;&lt;td&gt;2,600&lt;/td&gt;&lt;td&gt;&lt;/td&gt;&lt;td&gt;&lt;/td&gt;&lt;/tr&gt;&lt;tr&gt;&lt;td&gt;7&lt;/td&gt;&lt;td&gt;舞光 9CM LED 玖燈&lt;/td&gt;&lt;td&gt;1&lt;/td&gt;&lt;td&gt;式&lt;/td&gt;&lt;td&gt;1,200&lt;/td&gt;&lt;td&gt;1,200&lt;/td&gt;&lt;td&gt;&lt;/td&gt;&lt;td&gt;安裝挖孔佈線&lt;/td&gt;&lt;/tr&gt;&lt;tr&gt;&lt;td&gt;8&lt;/td&gt;&lt;td&gt;軌道燈&lt;/td&gt;&lt;td&gt;25&lt;/td&gt;&lt;td&gt;式&lt;/td&gt;&lt;td&gt;1,000&lt;/td&gt;&lt;td&gt;25,000&lt;/td&gt;&lt;td&gt;&lt;/td&gt;&lt;td&gt;&lt;/td&gt;&lt;/tr&gt;&lt;tr&gt;&lt;td&gt;9&lt;/td&gt;&lt;td&gt;軌道燈-軌道&lt;/td&gt;&lt;td&gt;21&lt;/td&gt;&lt;td&gt;米&lt;/td&gt;&lt;td&gt;800&lt;/td&gt;&lt;td&gt;16,800&lt;/td&gt;&lt;td&gt;&lt;/td&gt;&lt;td&gt;&lt;/td&gt;&lt;/tr&gt;&lt;tr&gt;&lt;td&gt;10&lt;/td&gt;&lt;td&gt;軌道燈-轉接頭(銜接頭)&lt;/td&gt;&lt;td&gt;2&lt;/td&gt;&lt;td&gt;式&lt;/td&gt;&lt;td&gt;300&lt;/td&gt;&lt;td&gt;600&lt;/td&gt;&lt;td&gt;&lt;/td&gt;&lt;td&gt;&lt;/td&gt;&lt;/tr&gt;&lt;tr&gt;&lt;td&gt;11&lt;/td&gt;&lt;td&gt;LED鋁燈條&lt;/td&gt;&lt;td&gt;3&lt;/td&gt;&lt;td&gt;米&lt;/td&gt;&lt;td&gt;1,300&lt;/td&gt;&lt;td&gt;3,900&lt;/td&gt;&lt;td&gt;&lt;/td&gt;&lt;td&gt;&lt;/td&gt;&lt;/tr&gt;&lt;tr&gt;&lt;td&gt;12&lt;/td&gt;&lt;td&gt;鋁燈條變壓器&lt;/td&gt;&lt;td&gt;1&lt;/td&gt;&lt;td&gt;個&lt;/td&gt;&lt;td&gt;1,500&lt;/td&gt;&lt;td&gt;1,500&lt;/td&gt;&lt;td&gt;&lt;/td&gt;&lt;td&gt;&lt;/td&gt;&lt;/tr&gt;&lt;tr&gt;&lt;td&gt;13&lt;/td&gt;&lt;td&gt;燈具跳IC&lt;/td&gt;&lt;td&gt;2&lt;/td&gt;&lt;td&gt;處&lt;/td&gt;&lt;td&gt;800&lt;/td&gt;&lt;td&gt;1,600&lt;/td&gt;&lt;td&gt;&lt;/td&gt;&lt;td&gt;&lt;/td&gt;&lt;/tr&gt;&lt;tr&gt;&lt;td&gt;14&lt;/td&gt;&lt;td&gt;代安裝吊燈&lt;/td&gt;&lt;td&gt;1&lt;/td&gt;&lt;td&gt;只&lt;/td&gt;&lt;td&gt;1,500&lt;/td&gt;&lt;td&gt;-&lt;/td&gt;&lt;td&gt;&lt;/td&gt;&lt;td&gt;&lt;/td&gt;&lt;/tr&gt;&lt;tr&gt;&lt;td&gt;15&lt;/td&gt;&lt;td&gt;其他&lt;/td&gt;&lt;td&gt;1&lt;/td&gt;&lt;td&gt;式&lt;/td&gt;&lt;td&gt;25,000&lt;/td&gt;&lt;td&gt;25,000&lt;/td&gt;&lt;td&gt;&lt;/td&gt;&lt;td&gt;偵測器延長,壓條,配管配線耗材等&lt;/td&gt;&lt;/tr&gt;&lt;tr&gt;&lt;td&gt;16&lt;/td&gt;&lt;td&gt;&lt;/td&gt;&lt;td&gt;&lt;/td&gt;&lt;td&gt;&lt;/td&gt;&lt;td&gt;&lt;/td&gt;&lt;td&gt;-&lt;/td&gt;&lt;td&gt;&lt;/td&gt;&lt;td&gt;&lt;/td&gt;&lt;/tr&gt;&lt;tr&gt;&lt;td&gt;17&lt;/td&gt;&lt;td&gt;&lt;/td&gt;&lt;td&gt;&lt;/td&gt;&lt;td&gt;&lt;/td&gt;&lt;td&gt;&lt;/td&gt;&lt;td&gt;-&lt;/td&gt;&lt;td&gt;&lt;/td&gt;&lt;td&gt;&lt;/td&gt;&lt;/tr&gt;&lt;tr&gt;&lt;td&gt;18&lt;/td&gt;&lt;td colspan="4"&gt;合計&lt;/td&gt;&lt;td&gt;&lt;/td&gt;&lt;td&gt;109,700&lt;/td&gt;&lt;td&gt;&lt;/td&gt;&lt;/tr&gt;&lt;tr&gt;&lt;td&gt;19&lt;/td&gt;&lt;td&gt;木作工程&lt;/td&gt;&lt;td&gt;&lt;/td&gt;&lt;td&gt;&lt;/td&gt;&lt;td&gt;&lt;/td&gt;&lt;td colspan="3"&gt;天花板日本麗仕矽酸鈣板.永新集成角材OR同等級材料&lt;/td&gt;&lt;/tr&gt;&lt;tr&gt;&lt;td&gt;20&lt;/td&gt;&lt;td&gt;平釘天花板&lt;/td&gt;&lt;td&gt;1&lt;/td&gt;&lt;td&gt;坪&lt;/td&gt;&lt;td&gt;4,800&lt;/td&gt;&lt;td&gt;4,800&lt;/td&gt;&lt;td&gt;&lt;/td&gt;&lt;td&gt;&lt;/td&gt;&lt;/tr&gt;&lt;tr&gt;&lt;td&gt;21&lt;/td&gt;&lt;td&gt;窗簾盒&lt;/td&gt;&lt;td&gt;36&lt;/td&gt;&lt;td&gt;尺&lt;/td&gt;&lt;td&gt;1,000&lt;/td&gt;&lt;td&gt;36,000&lt;/td&gt;&lt;td&gt;&lt;/td&gt;&lt;td&gt;&lt;/td&gt;&lt;/tr&gt;&lt;tr&gt;&lt;td&gt;22&lt;/td&gt;&lt;td&gt;冷氣座開孔&lt;/td&gt;&lt;td&gt;3&lt;/td&gt;&lt;td&gt;式&lt;/td&gt;&lt;td&gt;200&lt;/td&gt;&lt;td&gt;600&lt;/td&gt;&lt;td&gt;&lt;/td&gt;&lt;td&gt;&lt;/td&gt;&lt;/tr&gt;&lt;tr&gt;&lt;td&gt;23&lt;/td&gt;&lt;td&gt;頂天隔間牆(雙面封板)&lt;/td&gt;&lt;td&gt;13&lt;/td&gt;&lt;td&gt;尺&lt;/td&gt;&lt;td&gt;3,500&lt;/td&gt;&lt;td&gt;45,500&lt;/td&gt;&lt;td&gt;&lt;/td&gt;&lt;td&gt;&lt;/td&gt;&lt;/tr&gt;&lt;tr&gt;&lt;td&gt;24&lt;/td&gt;&lt;td&gt;↑開孔+打板(配合玻璃)&lt;/td&gt;&lt;td&gt;1&lt;/td&gt;&lt;td&gt;式&lt;/td&gt;&lt;td&gt;16,000&lt;/td&gt;&lt;td&gt;16,000&lt;/td&gt;&lt;td&gt;&lt;/td&gt;&lt;td&gt;內貼皮&lt;/td&gt;&lt;/tr&gt;&lt;tr&gt;&lt;td&gt;25&lt;/td&gt;&lt;td&gt;↑內R&lt;/td&gt;&lt;td&gt;1&lt;/td&gt;&lt;td&gt;式&lt;/td&gt;&lt;td&gt;12,000&lt;/td&gt;&lt;td&gt;12,000&lt;/td&gt;&lt;td&gt;&lt;/td&gt;&lt;td&gt;&lt;/td&gt;&lt;/tr&gt;&lt;tr&gt;&lt;td&gt;26&lt;/td&gt;&lt;td&gt;半高隔間牆(雙面封板)&lt;/td&gt;&lt;td&gt;4&lt;/td&gt;&lt;td&gt;尺&lt;/td&gt;&lt;td&gt;2,500&lt;/td&gt;&lt;td&gt;10,000&lt;/td&gt;&lt;td&gt;&lt;/td&gt;&lt;td&gt;&lt;/td&gt;&lt;/tr&gt;&lt;tr&gt;&lt;td&gt;27&lt;/td&gt;&lt;td&gt;↑外R+內R&lt;/td&gt;&lt;td&gt;1&lt;/td&gt;&lt;td&gt;式&lt;/td&gt;&lt;td&gt;8,000&lt;/td&gt;&lt;td&gt;8,000&lt;/td&gt;&lt;td&gt;&lt;/td&gt;&lt;td&gt;&lt;/td&gt;&lt;/tr&gt;&lt;tr&gt;&lt;td&gt;28&lt;/td&gt;&lt;td&gt;&lt;/td&gt;&lt;td&gt;&lt;/td&gt;&lt;td&gt;&lt;/td&gt;&lt;td&gt;&lt;/td&gt;&lt;td&gt;-&lt;/td&gt;&lt;td&gt;&lt;/td&gt;&lt;td&gt;&lt;/td&gt;&lt;/tr&gt;&lt;tr&gt;&lt;td&gt;29&lt;/td&gt;&lt;td&gt;&lt;/td&gt;&lt;td&gt;&lt;/td&gt;&lt;td&gt;&lt;/td&gt;&lt;td&gt;&lt;/td&gt;&lt;td&gt;-&lt;/td&gt;&lt;td&gt;&lt;/td&gt;&lt;td&gt;&lt;/td&gt;&lt;/tr&gt;&lt;tr&gt;&lt;td&gt;30&lt;/td&gt;&lt;td colspan="4"&gt;合計&lt;/td&gt;&lt;td&gt;&lt;/td&gt;&lt;td&gt;132,900&lt;/td&gt;&lt;td&gt;&lt;/td&gt;&lt;/tr&gt;&lt;tr&gt;&lt;td&gt;31&lt;/td&gt;&lt;td&gt;油漆工程&lt;/td&gt;&lt;td&gt;&lt;/td&gt;&lt;td&gt;&lt;/td&gt;&lt;td&gt;&lt;/td&gt;&lt;td&gt;&lt;/td&gt;&lt;td&gt;&lt;/td&gt;&lt;td&gt;同建商油漆色號.水泥漆&lt;/td&gt;&lt;/tr&gt;&lt;tr&gt;&lt;td&gt;32&lt;/td&gt;&lt;td&gt;平釘天花板&lt;/td&gt;&lt;td&gt;1&lt;/td&gt;&lt;td&gt;坪&lt;/td&gt;&lt;td&gt;2,100&lt;/td&gt;&lt;td&gt;2,100&lt;/td&gt;&lt;td&gt;&lt;/td&gt;&lt;td&gt;&lt;/td&gt;&lt;/tr&gt;&lt;tr&gt;&lt;td&gt;33&lt;/td&gt;&lt;td&gt;窗簾盒/冷氣座/包樑/包管&lt;/td&gt;&lt;td&gt;36&lt;/td&gt;&lt;td&gt;尺&lt;/td&gt;&lt;td&gt;700&lt;/td&gt;&lt;td&gt;25,200&lt;/td&gt;&lt;td&gt;&lt;/td&gt;&lt;td&gt;&lt;/td&gt;&lt;/tr&gt;&lt;tr&gt;&lt;td&gt;34&lt;/td&gt;&lt;td&gt;弧形包管&lt;/td&gt;&lt;td&gt;17&lt;/td&gt;&lt;td&gt;尺&lt;/td&gt;&lt;td&gt;1,000&lt;/td&gt;&lt;td&gt;17,000&lt;/td&gt;&lt;td&gt;&lt;/td&gt;&lt;td&gt;&lt;/td&gt;&lt;/tr&gt;&lt;tr&gt;&lt;td&gt;35&lt;/td&gt;&lt;td&gt;頂天隔間牆.雙面&lt;/td&gt;&lt;td&gt;7&lt;/td&gt;&lt;td&gt;坪&lt;/td&gt;&lt;td&gt;2,400&lt;/td&gt;&lt;td&gt;16,800&lt;/td&gt;&lt;td&gt;&lt;/td&gt;&lt;td&gt;乳膠漆.含批土.打磨&lt;/td&gt;&lt;/tr&gt;&lt;tr&gt;&lt;td&gt;36&lt;/td&gt;&lt;td&gt;半高隔間牆.雙面&lt;/td&gt;&lt;td&gt;9&lt;/td&gt;&lt;td&gt;尺&lt;/td&gt;&lt;td&gt;1,000&lt;/td&gt;&lt;td&gt;9,000&lt;/td&gt;&lt;td&gt;&lt;/td&gt;&lt;td&gt;乳膠漆.含批土.打磨&lt;/td&gt;&lt;/tr&gt;&lt;tr&gt;&lt;td&gt;37&lt;/td&gt;&lt;td&gt;油漆修補&lt;/td&gt;&lt;td&gt;1&lt;/td&gt;&lt;td&gt;式&lt;/td&gt;&lt;td&gt;25,000&lt;/td&gt;&lt;td&gt;25,000&lt;/td&gt;&lt;td&gt;&lt;/td&gt;&lt;td&gt;牆面膚污/打牆修補.&lt;/td&gt;&lt;/tr&gt;&lt;tr&gt;&lt;td&gt;38&lt;/td&gt;&lt;td&gt;&lt;/td&gt;&lt;td&gt;&lt;/td&gt;&lt;td&gt;&lt;/td&gt;&lt;td&gt;&lt;/td&gt;&lt;td&gt;-&lt;/td&gt;&lt;td&gt;&lt;/td&gt;&lt;td&gt;不備扣款/跳槽&lt;/td&gt;&lt;/tr&gt;&lt;tr&gt;&lt;td&gt;39&lt;/td&gt;&lt;td&gt;&lt;/td&gt;&lt;td&gt;&lt;/td&gt;&lt;td&gt;&lt;/td&gt;&lt;td&gt;&lt;/td&gt;&lt;td&gt;-&lt;/td&gt;&lt;td&gt;&lt;/td&gt;&lt;td&gt;限股上建進&lt;/td&gt;&lt;/tr&gt;&lt;tr&gt;&lt;td&gt;40&lt;/td&gt;&lt;td colspan="4"&gt;合計&lt;/td&gt;&lt;td&gt;&lt;/td&gt;&lt;td&gt;95,100&lt;/td&gt;&lt;td&gt;合公建&lt;/td&gt;&lt;/tr&gt;&lt;tr&gt;&lt;td&gt;41&lt;/td&gt;&lt;td&gt;系統工程&lt;/td&gt;&lt;td&gt;&lt;/td&gt;&lt;td&gt;&lt;/td&gt;&lt;td&gt;&lt;/td&gt;&lt;td colspan="3"&gt;五金鉸鍊為奧地利Blüm,滑軌為Kingslide.合金一般把手&lt;/td&gt;&lt;/tr&gt;&lt;tr&gt;&lt;td&gt;42&lt;/td&gt;&lt;td&gt;開放辦公區上下收納櫃+高櫃&lt;/td&gt;&lt;td&gt;1&lt;/td&gt;&lt;td&gt;式&lt;/td&gt;&lt;td&gt;108,000&lt;/td&gt;&lt;td&gt;108,000&lt;/td&gt;&lt;td&gt;&lt;/td&gt;&lt;td&gt;中間美背+上櫃LED洗溝&lt;/td&gt;&lt;/tr&gt;&lt;tr&gt;&lt;td&gt;43&lt;/td&gt;&lt;td&gt;開放辦公區展示櫃+25層板&lt;/td&gt;&lt;td&gt;1&lt;/td&gt;&lt;td&gt;式&lt;/td&gt;&lt;td&gt;21,600&lt;/td&gt;&lt;td&gt;21,600&lt;/td&gt;&lt;td&gt;&lt;/td&gt;&lt;td&gt;&lt;/td&gt;&lt;/tr&gt;&lt;tr&gt;&lt;td&gt;44&lt;/td&gt;&lt;td&gt;印表機旁收納半腰櫃&lt;/td&gt;&lt;td&gt;1&lt;/td&gt;&lt;td&gt;式&lt;/td&gt;&lt;td&gt;16,500&lt;/td&gt;&lt;td&gt;16,500&lt;/td&gt;&lt;td&gt;&lt;/td&gt;&lt;td&gt;&lt;/td&gt;&lt;/tr&gt;&lt;tr&gt;&lt;td&gt;45&lt;/td&gt;&lt;td&gt;廚房吧檯旁收納櫃&lt;/td&gt;&lt;td&gt;1&lt;/td&gt;&lt;td&gt;式&lt;/td&gt;&lt;td&gt;38,000&lt;/td&gt;&lt;td&gt;38,000&lt;/td&gt;&lt;td&gt;&lt;/td&gt;&lt;td&gt;&lt;/td&gt;&lt;/tr&gt;&lt;/table&gt;
N
## 茗匠空間設計
裝修工程估價單
業主：向上建設
案名：拾壹間辦公室7F
報價日期：2026-0415
&lt;table&gt;&lt;tr&gt;&lt;td&gt;項次&lt;/td&gt;&lt;td&gt;工程項目&lt;/td&gt;&lt;td&gt;數量&lt;/td&gt;&lt;td&gt;單位&lt;/td&gt;&lt;td&gt;單價&lt;/td&gt;&lt;td&gt;小計&lt;/td&gt;&lt;td&gt;總價&lt;/td&gt;&lt;td&gt;備註&lt;/td&gt;&lt;/tr&gt;&lt;tr&gt;&lt;td&gt;46&lt;/td&gt;&lt;td&gt;老闆辦公室收納櫃&lt;/td&gt;&lt;td&gt;1&lt;/td&gt;&lt;td&gt;式&lt;/td&gt;&lt;td&gt;70,500&lt;/td&gt;&lt;td&gt;70,500&lt;/td&gt;&lt;td&gt;&lt;/td&gt;&lt;td&gt;&lt;/td&gt;&lt;/tr&gt;&lt;tr&gt;&lt;td&gt;47&lt;/td&gt;&lt;td&gt;會議室收納櫃&lt;/td&gt;&lt;td&gt;1&lt;/td&gt;&lt;td&gt;式&lt;/td&gt;&lt;td&gt;32,400&lt;/td&gt;&lt;td&gt;32,400&lt;/td&gt;&lt;td&gt;&lt;/td&gt;&lt;td&gt;&lt;/td&gt;&lt;/tr&gt;&lt;tr&gt;&lt;td&gt;48&lt;/td&gt;&lt;td&gt;&lt;/td&gt;&lt;td&gt;&lt;/td&gt;&lt;td&gt;&lt;/td&gt;&lt;td&gt;&lt;/td&gt;&lt;td&gt;-&lt;/td&gt;&lt;td&gt;&lt;/td&gt;&lt;td&gt;&lt;/td&gt;&lt;/tr&gt;&lt;tr&gt;&lt;td&gt;49&lt;/td&gt;&lt;td&gt;&lt;/td&gt;&lt;td&gt;&lt;/td&gt;&lt;td&gt;&lt;/td&gt;&lt;td&gt;&lt;/td&gt;&lt;td&gt;-&lt;/td&gt;&lt;td&gt;&lt;/td&gt;&lt;td&gt;&lt;/td&gt;&lt;/tr&gt;&lt;tr&gt;&lt;td&gt;50&lt;/td&gt;&lt;td colspan="4"&gt;合計&lt;/td&gt;&lt;td&gt;&lt;/td&gt;&lt;td&gt;287,000&lt;/td&gt;&lt;td&gt;&lt;/td&gt;&lt;/tr&gt;&lt;tr&gt;&lt;td&gt;51&lt;/td&gt;&lt;td&gt;保護/清潔工程&lt;/td&gt;&lt;td&gt;&lt;/td&gt;&lt;td&gt;&lt;/td&gt;&lt;td&gt;&lt;/td&gt;&lt;td&gt;&lt;/td&gt;&lt;td&gt;&lt;/td&gt;&lt;td&gt;&lt;/td&gt;&lt;/tr&gt;&lt;tr&gt;&lt;td&gt;52&lt;/td&gt;&lt;td&gt;全室地板雙層保護&lt;/td&gt;&lt;td&gt;&lt;/td&gt;&lt;td&gt;坪&lt;/td&gt;&lt;td&gt;&lt;/td&gt;&lt;td&gt;-&lt;/td&gt;&lt;td&gt;&lt;/td&gt;&lt;td&gt;&lt;/td&gt;&lt;/tr&gt;&lt;tr&gt;&lt;td&gt;53&lt;/td&gt;&lt;td&gt;大門保護&lt;/td&gt;&lt;td&gt;&lt;/td&gt;&lt;td&gt;樘&lt;/td&gt;&lt;td&gt;&lt;/td&gt;&lt;td&gt;-&lt;/td&gt;&lt;td&gt;&lt;/td&gt;&lt;td&gt;&lt;/td&gt;&lt;/tr&gt;&lt;tr&gt;&lt;td&gt;54&lt;/td&gt;&lt;td&gt;門+門框框保護&lt;/td&gt;&lt;td&gt;&lt;/td&gt;&lt;td&gt;樘&lt;/td&gt;&lt;td&gt;&lt;/td&gt;&lt;td&gt;-&lt;/td&gt;&lt;td&gt;&lt;/td&gt;&lt;td&gt;&lt;/td&gt;&lt;/tr&gt;&lt;tr&gt;&lt;td&gt;55&lt;/td&gt;&lt;td&gt;廚櫃防護&lt;/td&gt;&lt;td&gt;&lt;/td&gt;&lt;td&gt;式&lt;/td&gt;&lt;td&gt;&lt;/td&gt;&lt;td&gt;-&lt;/td&gt;&lt;td&gt;&lt;/td&gt;&lt;td&gt;&lt;/td&gt;&lt;/tr&gt;&lt;tr&gt;&lt;td&gt;56&lt;/td&gt;&lt;td&gt;公設保護工程.雙層&lt;/td&gt;&lt;td&gt;&lt;/td&gt;&lt;td&gt;坪&lt;/td&gt;&lt;td&gt;&lt;/td&gt;&lt;td&gt;-&lt;/td&gt;&lt;td&gt;&lt;/td&gt;&lt;td&gt;依社區規定材質報價調整&lt;/td&gt;&lt;/tr&gt;&lt;tr&gt;&lt;td&gt;57&lt;/td&gt;&lt;td&gt;垃圾清運&lt;/td&gt;&lt;td&gt;&lt;/td&gt;&lt;td&gt;式&lt;/td&gt;&lt;td&gt;&lt;/td&gt;&lt;td&gt;-&lt;/td&gt;&lt;td&gt;&lt;/td&gt;&lt;td&gt;裝潢廢料拆除.清運&lt;/td&gt;&lt;/tr&gt;&lt;tr&gt;&lt;td&gt;58&lt;/td&gt;&lt;td&gt;細部清潔&lt;/td&gt;&lt;td&gt;1&lt;/td&gt;&lt;td&gt;式&lt;/td&gt;&lt;td&gt;25,000&lt;/td&gt;&lt;td&gt;25,000&lt;/td&gt;&lt;td&gt;&lt;/td&gt;&lt;td&gt;&lt;/td&gt;&lt;/tr&gt;&lt;tr&gt;&lt;td&gt;59&lt;/td&gt;&lt;td&gt;公設殘膠清潔&lt;/td&gt;&lt;td&gt;&lt;/td&gt;&lt;td&gt;式&lt;/td&gt;&lt;td&gt;&lt;/td&gt;&lt;td&gt;-&lt;/td&gt;&lt;td&gt;&lt;/td&gt;&lt;td&gt;電梯.梯廳.車位等&lt;/td&gt;&lt;/tr&gt;&lt;tr&gt;&lt;td&gt;60&lt;/td&gt;&lt;td&gt;&lt;/td&gt;&lt;td&gt;&lt;/td&gt;&lt;td&gt;&lt;/td&gt;&lt;td&gt;&lt;/td&gt;&lt;td&gt;-&lt;/td&gt;&lt;td&gt;&lt;/td&gt;&lt;td&gt;&lt;/td&gt;&lt;/tr&gt;&lt;tr&gt;&lt;td&gt;61&lt;/td&gt;&lt;td&gt;&lt;/td&gt;&lt;td&gt;&lt;/td&gt;&lt;td&gt;&lt;/td&gt;&lt;td&gt;&lt;/td&gt;&lt;td&gt;-&lt;/td&gt;&lt;td&gt;&lt;/td&gt;&lt;td&gt;&lt;/td&gt;&lt;/tr&gt;&lt;tr&gt;&lt;td&gt;62&lt;/td&gt;&lt;td colspan="4"&gt;合計&lt;/td&gt;&lt;td&gt;&lt;/td&gt;&lt;td&gt;25,000&lt;/td&gt;&lt;td&gt;&lt;/td&gt;&lt;/tr&gt;&lt;tr&gt;&lt;td&gt;63&lt;/td&gt;&lt;td&gt;其他工程&lt;/td&gt;&lt;td&gt;&lt;/td&gt;&lt;td&gt;&lt;/td&gt;&lt;td&gt;&lt;/td&gt;&lt;td&gt;&lt;/td&gt;&lt;td&gt;&lt;/td&gt;&lt;td&gt;&lt;/td&gt;&lt;/tr&gt;&lt;tr&gt;&lt;td&gt;64&lt;/td&gt;&lt;td&gt;長虹玻璃&lt;/td&gt;&lt;td&gt;25&lt;/td&gt;&lt;td&gt;才&lt;/td&gt;&lt;td&gt;750&lt;/td&gt;&lt;td&gt;18,750&lt;/td&gt;&lt;td&gt;&lt;/td&gt;&lt;td&gt;&lt;/td&gt;&lt;/tr&gt;&lt;tr&gt;&lt;td&gt;65&lt;/td&gt;&lt;td&gt;設計費&lt;/td&gt;&lt;td&gt;-10&lt;/td&gt;&lt;td&gt;坪&lt;/td&gt;&lt;td&gt;1,000&lt;/td&gt;&lt;td&gt;- 10,000&lt;/td&gt;&lt;td&gt;&lt;/td&gt;&lt;td&gt;&lt;/td&gt;&lt;/tr&gt;&lt;tr&gt;&lt;td&gt;66&lt;/td&gt;&lt;td&gt;&lt;/td&gt;&lt;td&gt;&lt;/td&gt;&lt;td&gt;&lt;/td&gt;&lt;td&gt;&lt;/td&gt;&lt;td&gt;-&lt;/td&gt;&lt;td&gt;&lt;/td&gt;&lt;td&gt;&lt;/td&gt;&lt;/tr&gt;&lt;tr&gt;&lt;td&gt;67&lt;/td&gt;&lt;td colspan=</x:v>
      </x:c>
    </x:row>
    <x:row r="79">
      <x:c r="A79" s="69" t="str">
        <x:v>SRC074</x:v>
      </x:c>
      <x:c r="B79" s="69" t="str">
        <x:v>20260422 工務所裝潢合約.報價.md#chunk-2</x:v>
      </x:c>
      <x:c r="C79" s="69" t="str">
        <x:v>Markdown</x:v>
      </x:c>
      <x:c r="D79" s="69" t="str">
        <x:v>10000–11461</x:v>
      </x:c>
      <x:c r="E79" s="71" t="str">
        <x:v>"4"&gt;合計&lt;/td&gt;&lt;td&gt;&lt;/td&gt;&lt;td&gt;8,750&lt;/td&gt;&lt;td&gt;&lt;/td&gt;&lt;/tr&gt;&lt;tr&gt;&lt;td colspan="5"&gt;小計&lt;/td&gt;&lt;td&gt;$ 658,450&lt;/td&gt;&lt;td&gt;&lt;/td&gt;&lt;td&gt;&lt;/td&gt;&lt;/tr&gt;&lt;tr&gt;&lt;td colspan="5"&gt;5%稅金&lt;/td&gt;&lt;td&gt;$ 32,923&lt;/td&gt;&lt;td&gt;&lt;/td&gt;&lt;td&gt;&lt;/td&gt;&lt;/tr&gt;&lt;tr&gt;&lt;td colspan="5"&gt;含稅總價&lt;/td&gt;&lt;td&gt;$——691,373&lt;/td&gt;&lt;td&gt;&lt;/td&gt;&lt;td&gt;$ 690,000&lt;/td&gt;&lt;/tr&gt;&lt;tr&gt;&lt;td colspan="8"&gt;陸拾玖萬元整&lt;/td&gt;&lt;/tr&gt;&lt;/table&gt;
&lt;table&gt;&lt;tr&gt;&lt;td colspan="3"&gt;備註&lt;/td&gt;&lt;td&gt;業主簽名&lt;/td&gt;&lt;td&gt;備註&lt;/td&gt;&lt;/tr&gt;&lt;tr&gt;&lt;td&gt;一.&lt;/td&gt;&lt;td colspan="2"&gt;工程之型式顏色數量以估價單註明為準,若有更動須在該項目施作前或傢俱出貨前與設計師討論更改估價單內容,如未事先告知業主須負擔追加之工程費用,傢俱則須負擔貨運車資&lt;/td&gt;&lt;td rowspan="6"&gt;&lt;img src="images/16ba18a7984a9e5ad37f2bc26e5d31423dba49bc0a2b6a5f9b8e912af326870d.jpg"/&gt;&lt;/td&gt;&lt;td rowspan="13"&gt;[IMAGE]&lt;/td&gt;&lt;/tr&gt;&lt;tr&gt;&lt;td&gt;二.&lt;/td&gt;&lt;td colspan="2"&gt;若減少工程施作項目或減少傢俱數量,須填寫追減單&lt;/td&gt;&lt;/tr&gt;&lt;tr&gt;&lt;td&gt;三.&lt;/td&gt;&lt;td colspan="2"&gt;估價單上無記載或未估價者,即為不施作之項目&lt;/td&gt;&lt;/tr&gt;&lt;tr&gt;&lt;td&gt;四.&lt;/td&gt;&lt;td colspan="2"&gt;實際數量與估價數量不符,以實際數量為準&lt;/td&gt;&lt;/tr&gt;&lt;tr&gt;&lt;td&gt;五.&lt;/td&gt;&lt;td colspan="2"&gt;裝潢保證金及清潔管理費由屋主繳交&lt;/td&gt;&lt;/tr&gt;&lt;tr&gt;&lt;td&gt;六.&lt;/td&gt;&lt;td colspan="2"&gt;本估價單不包含室內裝修工程許可證之申請&lt;/td&gt;&lt;/tr&gt;&lt;tr&gt;&lt;td&gt;七.&lt;/td&gt;&lt;td colspan="2"&gt;工程報價單簽約後二個月內有效,若二個月內未施工則重新估價&lt;/td&gt;&lt;td rowspan="2"&gt;設計師&lt;/td&gt;&lt;/tr&gt;&lt;tr&gt;&lt;td&gt;八.&lt;/td&gt;&lt;td colspan="2"&gt;匯款資訊&lt;/td&gt;&lt;/tr&gt;&lt;tr&gt;&lt;td&gt;&lt;/td&gt;&lt;td&gt;銀行:台北富邦銀行 竹北分行&lt;/td&gt;&lt;td&gt;訂金 10% : $69,000&lt;/td&gt;&lt;td&gt;&lt;/td&gt;&lt;/tr&gt;&lt;tr&gt;&lt;td&gt;&lt;/td&gt;&lt;td rowspan="2"&gt;戶名:茗匠有限公司&lt;/td&gt;&lt;td&gt;開工前 30% : $210,000&lt;/td&gt;&lt;td&gt;&lt;/td&gt;&lt;/tr&gt;&lt;tr&gt;&lt;td&gt;&lt;/td&gt;&lt;td&gt;木工完工 30% : $210,000&lt;/td&gt;&lt;td&gt;&lt;/td&gt;&lt;/tr&gt;&lt;tr&gt;&lt;td&gt;&lt;/td&gt;&lt;td&gt;銀行代號:012&lt;/td&gt;&lt;td&gt;系統下單 25% : $180,000&lt;/td&gt;&lt;td&gt;&lt;/td&gt;&lt;/tr&gt;&lt;tr&gt;&lt;td&gt;&lt;/td&gt;&lt;td&gt;帳號:00746-10200-3391&lt;/td&gt;&lt;td&gt;清潔驗收 5% : $21,000&lt;/td&gt;&lt;td&gt;&lt;/td&gt;&lt;/tr&gt;&lt;/table&gt;
中華民國 年 月 日
</x:v>
      </x:c>
    </x:row>
    <x:row r="80">
      <x:c r="A80" s="69" t="str">
        <x:v>SRC075</x:v>
      </x:c>
      <x:c r="B80" s="69" t="str">
        <x:v>20260424 全鑫追加工程_人孔蓋、後側採光罩延伸_.md#chunk-1</x:v>
      </x:c>
      <x:c r="C80" s="69" t="str">
        <x:v>Markdown</x:v>
      </x:c>
      <x:c r="D80" s="69" t="str">
        <x:v>0–1850</x:v>
      </x:c>
      <x:c r="E80" s="71" t="str">
        <x:v>## 全鑫企業社
向上建設 後龍場
&lt;table&gt;&lt;tr&gt;&lt;td&gt;項目&lt;/td&gt;&lt;td&gt;品名&lt;/td&gt;&lt;td&gt;規格&lt;/td&gt;&lt;td&gt;數量&lt;/td&gt;&lt;td&gt;單價&lt;/td&gt;&lt;td&gt;金額&lt;/td&gt;&lt;td&gt;備註&lt;/td&gt;&lt;/tr&gt;&lt;tr&gt;&lt;td&gt;1&lt;/td&gt;&lt;td&gt;開籬下方 補打砂利康 26 米追加&lt;/td&gt;&lt;td&gt;式&lt;/td&gt;&lt;td&gt;1&lt;/td&gt;&lt;td&gt;&lt;/td&gt;&lt;td&gt;3500&lt;/td&gt;&lt;td&gt;&lt;/td&gt;&lt;/tr&gt;&lt;tr&gt;&lt;td&gt;2&lt;/td&gt;&lt;td&gt;3mm 錢花板 590*580*35 隱藏式把手&lt;/td&gt;&lt;td&gt;&lt;/td&gt;&lt;td&gt;&lt;/td&gt;&lt;td&gt;&lt;/td&gt;&lt;td&gt;&lt;/td&gt;&lt;td&gt;&lt;/td&gt;&lt;/tr&gt;&lt;tr&gt;&lt;td&gt;3&lt;/td&gt;&lt;td&gt;內面補骨架強化&lt;/td&gt;&lt;td&gt;式&lt;/td&gt;&lt;td&gt;1&lt;/td&gt;&lt;td&gt;&lt;/td&gt;&lt;td&gt;4000&lt;/td&gt;&lt;td&gt;&lt;/td&gt;&lt;/tr&gt;&lt;tr&gt;&lt;td&gt;4&lt;/td&gt;&lt;td&gt;不鏽鋼 50/100 烤漆 A24 5+5 強膠和白膜&lt;/td&gt;&lt;td&gt;&lt;/td&gt;&lt;td&gt;&lt;/td&gt;&lt;td&gt;&lt;/td&gt;&lt;td&gt;&lt;/td&gt;&lt;td&gt;&lt;/td&gt;&lt;/tr&gt;&lt;tr&gt;&lt;td&gt;5&lt;/td&gt;&lt;td&gt;玻璃 寬 990 長 843 現場煉焊斜撑&lt;/td&gt;&lt;td&gt;式&lt;/td&gt;&lt;td&gt;1&lt;/td&gt;&lt;td&gt;&lt;/td&gt;&lt;td&gt;7000&lt;/td&gt;&lt;td&gt;&lt;/td&gt;&lt;/tr&gt;&lt;tr&gt;&lt;td&gt;6&lt;/td&gt;&lt;td&gt;&lt;/td&gt;&lt;td&gt;&lt;/td&gt;&lt;td&gt;&lt;/td&gt;&lt;td&gt;&lt;/td&gt;&lt;td&gt;&lt;/td&gt;&lt;td&gt;&lt;/td&gt;&lt;/tr&gt;&lt;tr&gt;&lt;td&gt;7&lt;/td&gt;&lt;td&gt;&lt;/td&gt;&lt;td&gt;&lt;/td&gt;&lt;td&gt;&lt;/td&gt;&lt;td&gt;&lt;/td&gt;&lt;td&gt;&lt;/td&gt;&lt;td&gt;&lt;/td&gt;&lt;/tr&gt;&lt;tr&gt;&lt;td&gt;8&lt;/td&gt;&lt;td&gt;&lt;/td&gt;&lt;td&gt;&lt;/td&gt;&lt;td&gt;&lt;/td&gt;&lt;td&gt;&lt;/td&gt;&lt;td&gt;&lt;/td&gt;&lt;td&gt;&lt;/td&gt;&lt;/tr&gt;&lt;tr&gt;&lt;td&gt;9&lt;/td&gt;&lt;td&gt;合計$14500 未稅&lt;/td&gt;&lt;td&gt;&lt;/td&gt;&lt;td&gt;&lt;/td&gt;&lt;td&gt;&lt;/td&gt;&lt;td&gt;&lt;/td&gt;&lt;td&gt;&lt;/td&gt;&lt;/tr&gt;&lt;tr&gt;&lt;td&gt;10&lt;/td&gt;&lt;td&gt;&lt;/td&gt;&lt;td&gt;&lt;/td&gt;&lt;td&gt;&lt;/td&gt;&lt;td&gt;&lt;/td&gt;&lt;td&gt;&lt;/td&gt;&lt;td&gt;&lt;/td&gt;&lt;/tr&gt;&lt;tr&gt;&lt;td&gt;11&lt;/td&gt;&lt;td&gt;&lt;/td&gt;&lt;td&gt;&lt;/td&gt;&lt;td&gt;&lt;/td&gt;&lt;td&gt;&lt;/td&gt;&lt;td&gt;&lt;/td&gt;&lt;td&gt;&lt;/td&gt;&lt;/tr&gt;&lt;tr&gt;&lt;td&gt;12&lt;/td&gt;&lt;td&gt;&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lt;/td&gt;&lt;td&gt;&lt;/td&gt;&lt;td&gt;&lt;/td&gt;&lt;td&gt;&lt;/td&gt;&lt;td&gt;&lt;/td&gt;&lt;td&gt;&lt;/td&gt;&lt;/tr&gt;&lt;tr&gt;&lt;td&gt;16&lt;/td&gt;&lt;td&gt;&lt;/td&gt;&lt;td&gt;&lt;/td&gt;&lt;td&gt;&lt;/td&gt;&lt;td&gt;&lt;/td&gt;&lt;td&gt;&lt;/td&gt;&lt;td&gt;&lt;/td&gt;&lt;/tr&gt;&lt;tr&gt;&lt;td&gt;17&lt;/td&gt;&lt;td&gt;&lt;/td&gt;&lt;td&gt;&lt;/td&gt;&lt;td&gt;&lt;/td&gt;&lt;td&gt;&lt;/td&gt;&lt;td&gt;&lt;/td&gt;&lt;td&gt;&lt;/td&gt;&lt;/tr&gt;&lt;tr&gt;&lt;td&gt;18&lt;/td&gt;&lt;td&gt;&lt;/td&gt;&lt;td&gt;&lt;/td&gt;&lt;td&gt;&lt;/td&gt;&lt;td&gt;&lt;/td&gt;&lt;td&gt;&lt;/td&gt;&lt;td&gt;&lt;/td&gt;&lt;/tr&gt;&lt;tr&gt;&lt;td&gt;19&lt;/td&gt;&lt;td&gt;&lt;/td&gt;&lt;td&gt;&lt;/td&gt;&lt;td&gt;&lt;/td&gt;&lt;td&gt;&lt;/td&gt;&lt;td&gt;&lt;/td&gt;&lt;td&gt;&lt;/td&gt;&lt;/tr&gt;&lt;tr&gt;&lt;td&gt;20&lt;/td&gt;&lt;td&gt;&lt;/td&gt;&lt;td&gt;&lt;/td&gt;&lt;td&gt;&lt;/td&gt;&lt;td&gt;&lt;/td&gt;&lt;td&gt;&lt;/td&gt;&lt;td&gt;&lt;/td&gt;&lt;/tr&gt;&lt;tr&gt;&lt;td colspan="7"&gt;&lt;/td&gt;&lt;/tr&gt;&lt;tr&gt;&lt;td colspan="5"&gt;總額新台幣 佰 拾 萬 仟 佰 拾 元&lt;/td&gt;&lt;td colspan="2"&gt;14500&lt;/td&gt;&lt;/tr&gt;&lt;/table&gt;
125年4月14日
設股份有限公司向上建
建豪洪
</x:v>
      </x:c>
    </x:row>
    <x:row r="81">
      <x:c r="A81" s="69" t="str">
        <x:v>SRC076</x:v>
      </x:c>
      <x:c r="B81" s="69" t="str">
        <x:v>20260430 塑豐 門扇改高度.md#chunk-1</x:v>
      </x:c>
      <x:c r="C81" s="69" t="str">
        <x:v>Markdown</x:v>
      </x:c>
      <x:c r="D81" s="69" t="str">
        <x:v>0–765</x:v>
      </x:c>
      <x:c r="E81" s="71" t="str">
        <x:v>![](images/1311a2ba6f1b88b2dfc81db9032611862a5fca486decb6fd7fee04fea2574ce1.jpg)
手機：0937-771332
聯絡人：顏志豪（工務經理）
地址：苗栗縣頭份市自強路二段477號 TEL：037-636192(代表) FAX：037-626860
![](images/587abd2ddae73bbbe443074562cd270fee8c9bcf824116f79ac1209853d43769.jpg)
&lt;table&gt;&lt;tr&gt;&lt;td&gt;項次&lt;/td&gt;&lt;td&gt;規格&lt;/td&gt;&lt;td&gt;數量&lt;/td&gt;&lt;td&gt;單位&lt;/td&gt;&lt;td&gt;單樘小計&lt;/td&gt;&lt;td&gt;複價&lt;/td&gt;&lt;td&gt;備註&lt;/td&gt;&lt;/tr&gt;&lt;tr&gt;&lt;td&gt;1&lt;/td&gt;&lt;td&gt;SMC門扇高度修改&lt;/td&gt;&lt;td&gt;12&lt;/td&gt;&lt;td&gt;片&lt;/td&gt;&lt;td&gt;1,000&lt;/td&gt;&lt;td&gt;12,000&lt;/td&gt;&lt;td&gt;&lt;/td&gt;&lt;/tr&gt;&lt;tr&gt;&lt;td&gt;&lt;/td&gt;&lt;td&gt;以下空白&lt;/td&gt;&lt;td&gt;&lt;/td&gt;&lt;td&gt;&lt;/td&gt;&lt;td&gt;500&lt;/td&gt;&lt;td&gt;6000&lt;/td&gt;&lt;td&gt;含税&lt;/td&gt;&lt;/tr&gt;&lt;tr&gt;&lt;td colspan="2"&gt;小計&lt;/td&gt;&lt;td&gt;12&lt;/td&gt;&lt;td&gt;&lt;/td&gt;&lt;td&gt;&lt;/td&gt;&lt;td&gt;12,000&lt;/td&gt;&lt;td&gt;469 議價&lt;/td&gt;&lt;/tr&gt;&lt;/table&gt;
電話：037-775355#366 傳真：
日期：115.04.29
(追加)報價單
※ 如確定製作，請蓋章後回傳，謝謝！
塑豐實業股份有限公司二.本報價單有效期限為15天。
一.以上報價價格為實價，但不含清潔及吊車費。
報價說明
客戶名稱：向上建設股份有限公司
</x:v>
      </x:c>
    </x:row>
    <x:row r="82">
      <x:c r="A82" s="69" t="str">
        <x:v>SRC077</x:v>
      </x:c>
      <x:c r="B82" s="69" t="str">
        <x:v>20260517 三發圍籬網.md#chunk-1</x:v>
      </x:c>
      <x:c r="C82" s="69" t="str">
        <x:v>Markdown</x:v>
      </x:c>
      <x:c r="D82" s="69" t="str">
        <x:v>0–2308</x:v>
      </x:c>
      <x:c r="E82" s="71" t="str">
        <x:v>![](images/bfda66130f352821254e2579db0efc2cefb18d30a4f36a6e645595f0eefe96e0.jpg)
## 三發製網股份有限公司
專製：點焊鋼絲網、不銹鋼網、鍍鋅鋼網、景觀圍籬網
地址：台中市大雅區民生路一段264號
一廠電話 04-25663376(圍籬網分機 432) 傳真 04-25672576
Email:sanfafan@ms18.hinet.net
業務連絡人：施讚和先生0912-938193 江尚駿先生0928-186715
http:www.eucore.com.tw
客戶名稱：向上建設
聯絡人：李仁普先生(工務主任)0921-081438
工程名稱：後龍工地
報價項目：購景觀圍籬網 材料
日期：115年05月07日
L=
電話：03-7775355#519
傳真：LINE
NianPu@uphousetw.com
&lt;table&gt;&lt;tr&gt;&lt;td colspan="2"&gt;規格&lt;/td&gt;&lt;td&gt;尺寸&lt;/td&gt;&lt;td&gt;單位&lt;/td&gt;&lt;td&gt;數量&lt;/td&gt;&lt;td&gt;單價&lt;/td&gt;&lt;td&gt;總價&lt;/td&gt;&lt;td&gt;備註&lt;/td&gt;&lt;/tr&gt;&lt;tr&gt;&lt;td colspan="2"&gt;5mm*50*150mm鍍鋅鋼網&lt;/td&gt;&lt;td&gt;H=1550*W1900mm&lt;/td&gt;&lt;td&gt;片&lt;/td&gt;&lt;td&gt;7.0&lt;/td&gt;&lt;td&gt;2,950&lt;/td&gt;&lt;td&gt;20,650&lt;/td&gt;&lt;td&gt;←上下卷圓&lt;/td&gt;&lt;/tr&gt;&lt;tr&gt;&lt;td colspan="2"&gt;2&amp;quot;(60mm)*2.0mm鍍鋅鋼管&lt;/td&gt;&lt;td&gt;L=1650mm-圓底板&lt;/td&gt;&lt;td&gt;支&lt;/td&gt;&lt;td&gt;9.0&lt;/td&gt;&lt;td&gt;1,100&lt;/td&gt;&lt;td&gt;9,900&lt;/td&gt;&lt;td rowspan="5"&gt;←含沖孔焊上蓋 含粉體烤漆 材料價&lt;/td&gt;&lt;/tr&gt;&lt;tr&gt;&lt;td colspan="2"&gt;配件A(4PCS/組)&lt;/td&gt;&lt;td rowspan="4"&gt;60mm管用(含不銹鋼螺絲組)&lt;/td&gt;&lt;td&gt;組&lt;/td&gt;&lt;td&gt;7.0&lt;/td&gt;&lt;td&gt;240&lt;/td&gt;&lt;td&gt;1,680&lt;/td&gt;&lt;/tr&gt;&lt;tr&gt;&lt;td colspan="2"&gt;配件B(2PCS/組)&lt;/td&gt;&lt;td&gt;組&lt;/td&gt;&lt;td&gt;4.0&lt;/td&gt;&lt;td&gt;150&lt;/td&gt;&lt;td&gt;600&lt;/td&gt;&lt;/tr&gt;&lt;tr&gt;&lt;td colspan="2"&gt;配件C(8PCS/組)&lt;/td&gt;&lt;td&gt;組&lt;/td&gt;&lt;td&gt;7.0&lt;/td&gt;&lt;td&gt;400&lt;/td&gt;&lt;td&gt;2,800&lt;/td&gt;&lt;/tr&gt;&lt;tr&gt;&lt;td colspan="2"&gt;收邊管束A(1PCS/組)&lt;/td&gt;&lt;td&gt;組&lt;/td&gt;&lt;td&gt;6.0&lt;/td&gt;&lt;td&gt;120&lt;/td&gt;&lt;td&gt;720&lt;/td&gt;&lt;/tr&gt;&lt;tr&gt;&lt;td colspan="2"&gt;不銹鋼下蓋&lt;/td&gt;&lt;td&gt;&lt;/td&gt;&lt;td&gt;個&lt;/td&gt;&lt;td&gt;9.0&lt;/td&gt;&lt;td&gt;200&lt;/td&gt;&lt;td&gt;1,800&lt;/td&gt;&lt;td&gt;&lt;/td&gt;&lt;/tr&gt;&lt;tr&gt;&lt;td colspan="4"&gt;PS: 1.材料部份:此報價為自取廠交價;不含運費。&lt;/td&gt;&lt;td&gt;&lt;/td&gt;&lt;td&gt;&lt;/td&gt;&lt;td&gt;&lt;/td&gt;&lt;td&gt;&lt;/td&gt;&lt;/tr&gt;&lt;tr&gt;&lt;td colspan="3"&gt;2.收邊網片請依現況尺寸自行裁切。&lt;/td&gt;&lt;td&gt;&lt;/td&gt;&lt;td&gt;&lt;/td&gt;&lt;td&gt;&lt;/td&gt;&lt;td&gt;&lt;/td&gt;&lt;td&gt;&lt;/td&gt;&lt;/tr&gt;&lt;tr&gt;&lt;td colspan="2"&gt;小計(未稅)&lt;/td&gt;&lt;td&gt;&lt;/td&gt;&lt;td&gt;&lt;/td&gt;&lt;td&gt;&lt;/td&gt;&lt;td&gt;&lt;/td&gt;&lt;td&gt;38,150&lt;/td&gt;&lt;td&gt;&lt;/td&gt;&lt;/tr&gt;&lt;tr&gt;&lt;td colspan="2"&gt;小計(含稅)&lt;/td&gt;&lt;td&gt;&lt;/td&gt;&lt;td&gt;&lt;/td&gt;&lt;td&gt;&lt;/td&gt;&lt;td&gt;&lt;/td&gt;&lt;td&gt;40,058&lt;/td&gt;&lt;td&gt;&lt;/td&gt;&lt;/tr&gt;&lt;tr&gt;&lt;td rowspan="7"&gt;備註&lt;/td&gt;&lt;td colspan="7"&gt;1 本報價依實送實算計價。&lt;/td&gt;&lt;/tr&gt;&lt;tr&gt;&lt;td colspan="7"&gt;2 付款方式:30%訂金電匯;取貨前70%電匯結清。&lt;/td&gt;&lt;/tr&gt;&lt;tr&gt;&lt;td colspan="7"&gt;發票開立□二聯式□三聯式(抬頭、統一編號)&lt;/td&gt;&lt;/tr&gt;&lt;tr&gt;&lt;td colspan="7"&gt;3 交貨日期:一個月左右。&lt;/td&gt;&lt;/tr&gt;&lt;tr&gt;&lt;td colspan="7"&gt;4 交貨地點: 收貨人:&lt;/td&gt;&lt;/tr&gt;&lt;tr&gt;&lt;td colspan="7"&gt;5 單價自報價日起7天有效&lt;/td&gt;&lt;/tr&gt;&lt;tr&gt;&lt;td colspan="7"&gt;6 請確認簽章後回傳。&lt;/td&gt;&lt;/tr&gt;&lt;tr&gt;&lt;td colspan="8"&gt;&amp;lt;匯款帳號&amp;gt;戶名:三發製網股份有限公司 銀行:合作金庫銀行大雅分行 帳號:34 &lt;img src="images/9a22e69031af48d6f1a424c27adc1297cda64a7189e9f2095398c708eb1f817c.jpg"/&gt; &lt;img src="images/363e1f45253ec767a397a5d315e7086179417312386806a9fe454c328dc6b86c.jpg"/&gt; 費方確認&lt;/td&gt;&lt;/tr&gt;&lt;/table&gt;
表單編號：FM03-1
</x:v>
      </x:c>
    </x:row>
    <x:row r="83">
      <x:c r="A83" s="69" t="str">
        <x:v>SRC078</x:v>
      </x:c>
      <x:c r="B83" s="69" t="str">
        <x:v>20260520 7F辦公室.md#chunk-1</x:v>
      </x:c>
      <x:c r="C83" s="69" t="str">
        <x:v>Markdown</x:v>
      </x:c>
      <x:c r="D83" s="69" t="str">
        <x:v>0–5050</x:v>
      </x:c>
      <x:c r="E83" s="71" t="str">
        <x:v>&lt;table&gt;&lt;tr&gt;&lt;td colspan="3"&gt;班朋寶閣有限公司 綺編:24755793地址:106001 台北市大安區金山南路二段18號5樓TEL:02-23569828FAX:02-23218882E-Mail:sunny.tc@the-backbone.com&lt;/td&gt;&lt;td colspan="5"&gt;抬頭:向上建設股份有限公司
綱編:90057101
地址:苗栗縣竹南鎮康德街71號
TEL/FAX:
聯絡人:洪建豪 0932-695878&lt;/td&gt;&lt;/tr&gt;&lt;tr&gt;&lt;td&gt;服務賠務&lt;/td&gt;&lt;td colspan="2"&gt;簡子玲 0952940200&lt;/td&gt;&lt;td rowspan="4" colspan="5"&gt;案件備註:&lt;/td&gt;&lt;/tr&gt;&lt;tr&gt;&lt;td rowspan="3"&gt;收件資訊&lt;/td&gt;&lt;td&gt;收件方式/日期:&lt;/td&gt;&lt;td&gt;桌款交期:16-18個工作天
椅款交期:6-8個工作天&lt;/td&gt;&lt;/tr&gt;&lt;tr&gt;&lt;td&gt;地址:&lt;/td&gt;&lt;td&gt;苗栗後龍&lt;/td&gt;&lt;/tr&gt;&lt;tr&gt;&lt;td&gt;聯絡人:&lt;/td&gt;&lt;td&gt;洪建豪 0932-695878&lt;/td&gt;&lt;/tr&gt;&lt;tr&gt;&lt;td colspan="8"&gt;&lt;/td&gt;&lt;/tr&gt;&lt;tr&gt;&lt;td&gt;項次&lt;/td&gt;&lt;td colspan="2"&gt;品項&lt;/td&gt;&lt;td&gt;參考圖示(實際配置依附敘斌為準)&lt;/td&gt;&lt;td&gt;數量&lt;/td&gt;&lt;td&gt;單位&lt;/td&gt;&lt;td&gt;單價&lt;/td&gt;&lt;td&gt;複價&lt;/td&gt;&lt;/tr&gt;&lt;tr&gt;&lt;td colspan="8"&gt;主管位&lt;/td&gt;&lt;/tr&gt;&lt;tr&gt;&lt;td&gt;1&lt;/td&gt;&lt;td colspan="2"&gt;Dyback04® 雙馬達電動升降桌
桌部:黑
尺寸:W123*D70*H66~131cm
匯面:18mm熱塑板 #淺修木(篩板左上右上各間一圓孔)
桌屏:無
攜板:無
配件:圓孔致(黑) 直徑6cm*2、附同色護蓋*1&lt;/td&gt;&lt;td&gt;&lt;img src="images/d92ce6471654bddb47c4decc5fafe1a59f9fc3e19baea9a81d62de7af53e7378.jpg"/&gt;國力寶供小桌,以報價文字敘述為準&lt;/td&gt;&lt;td&gt;2&lt;/td&gt;&lt;td&gt;座&lt;/td&gt;&lt;td&gt;12,736&lt;/td&gt;&lt;td&gt;25,472&lt;/td&gt;&lt;/tr&gt;&lt;tr&gt;&lt;td&gt;2&lt;/td&gt;&lt;td colspan="2"&gt;KabutoTM(高)人體工學椅
2D升降頭枕、肌紋強緩網窗、特規3D肘拖扶手、強力網座、特規座殼湧動可鎖定傾仰底盤、氣壓升降、鋁合金細部、特規PU靜音輪
頭枕、椅背:黑鋼
椅墊:黑鋼座&lt;/td&gt;&lt;td&gt;&lt;img src="images/dba43087fc74bd7c2894d88e8eadf7b903fd525f7327d770f3db345106741f3b.jpg"/&gt;圖片僅供示意,以報價文字敘述為準&lt;/td&gt;&lt;td&gt;2&lt;/td&gt;&lt;td&gt;張&lt;/td&gt;&lt;td&gt;8,730&lt;/td&gt;&lt;td&gt;17,460&lt;/td&gt;&lt;/tr&gt;&lt;tr&gt;&lt;td&gt;3&lt;/td&gt;&lt;td colspan="2"&gt;正反兩用集線槽 鬼&lt;/td&gt;&lt;td&gt;&lt;img src="images/27b7e139a3fcda6fd7208c9c0e8ea942cbfafd1d637cae70b95652842672e51c.jpg"/&gt;圖片僅供示意,以報價文字敘述為準&lt;/td&gt;&lt;td&gt;2&lt;/td&gt;&lt;td&gt;組&lt;/td&gt;&lt;td&gt;1,200&lt;/td&gt;&lt;td&gt;2,400&lt;/td&gt;&lt;/tr&gt;&lt;tr&gt;&lt;td&gt;4&lt;/td&gt;&lt;td colspan="2"&gt;雙向多功能延長線 升級医(黑)
•突式安裝,不留撫跡
•線長1.8m
•5個AC插座+1個USB快充+2個USB Type-C快充(45W)&lt;/td&gt;&lt;td&gt;&lt;img src="images/83ef3740ddd9ec3e5774390b071f9a3c431a726c478197bb520ac5fe33ffbfd1.jpg"/&gt;圖片僅供示意,以報價文字敘述為準&lt;/td&gt;&lt;td&gt;2&lt;/td&gt;&lt;td&gt;組&lt;/td&gt;&lt;td&gt;1,519&lt;/td&gt;&lt;td&gt;3,038&lt;/td&gt;&lt;/tr&gt;&lt;tr&gt;&lt;td colspan="8"&gt;會議室&lt;/td&gt;&lt;/tr&gt;&lt;tr&gt;&lt;td&gt;5-2&lt;/td&gt;&lt;td&gt;Balance® 會議桌尺寸:W270*D120*H75cm
烤漆平光屑(管徑3*6,共2支桌部+翻向直立式中蟹走線腳*1)
橡面:25mm系統版 #BK2-494浮雕灰布紋
(虎板分2片,桌板中央各間一方孔,外側四個角分別導直角R=2.5cm)
牆板:無
配件:W45cm雙掀線槽盒(烤漆屏,三面板孔)*2
配件:W67.5cm過線橋(黑)*2,可拆板(黑)*2片
註:此桌板倒圓角,請注意桌框內縮&lt;/td&gt;&lt;td&gt;[IMAGE]圖片僅供示意,以報價文字敘述為準&lt;/td&gt;&lt;td&gt;&lt;img src="images/ba5d98ca85c49d08360fc1e6fa26d94a460f5e09aed60fa6cf5ad97a27496357.jpg"/&gt;桌層顏色&lt;/td&gt;&lt;td&gt;1&lt;/td&gt;&lt;td&gt;座&lt;/td&gt;&lt;td&gt;27,098&lt;/td&gt;&lt;td&gt;27,098&lt;/td&gt;&lt;/tr&gt;&lt;tr&gt;&lt;td&gt;6&lt;/td&gt;&lt;td&gt;KoalaTM 人體工學椅
無頭枕、強力網肩、去扶手、強力線座、STG分離艇仰底盤、氣壓升譯、尼龍椅配、PU椅軸
椅翔:BMF-07 級河灰
椅墊:BMF-07 級河灰&lt;/td&gt;&lt;td&gt;&lt;img src="images/9028d7755f3d5de933508e93d53b15fba8eda3cf8f06cd92fd8b5c825fddd309.jpg"/&gt;圖片僅供示意,以報價文字敘述為準&lt;/td&gt;&lt;td&gt;&lt;img src="images/9028d7755f3d5de933508e93d53b15fba8eda3cf8f06cd92fd8b5c825fddd309.jpg"/&gt;圖片僅供示意,以報價文字敘述為準&lt;/td&gt;&lt;td&gt;8&lt;/td&gt;&lt;td&gt;張&lt;/td&gt;&lt;td&gt;4,066&lt;/td&gt;&lt;td&gt;32,528&lt;/td&gt;&lt;/tr&gt;&lt;/table&gt;
&lt;table&gt;&lt;tr&gt;&lt;td colspan="2"&gt;2.5屏風 | 框架:烤漆框 深灰H70cm-彩鋼平板(深灰)、H20cm 屏風布 #37-102-8 銀月灰&lt;/td&gt;&lt;td rowspan="9"&gt;&lt;img src="images/1a79299d2e59fd9764353a19af3c8b5896b8172cd8cc3b999559520d1a5ad6b2.jpg"/&gt;桌框顏色 桌板顏色圖片僅供示意,以報價文字敘述為準&lt;/td&gt;&lt;td colspan="4"&gt;&lt;/td&gt;&lt;/tr&gt;&lt;tr&gt;&lt;td&gt;7&lt;/td&gt;&lt;td&gt;W60*H92cm&lt;/td&gt;&lt;td&gt;6&lt;/td&gt;&lt;td&gt;片&lt;/td&gt;&lt;td&gt;1,456&lt;/td&gt;&lt;td&gt;8,736&lt;/td&gt;&lt;/tr&gt;&lt;tr&gt;&lt;td colspan="2"&gt;2.5屏風 | 框架:烤漆框 深灰H70cm-彩鋼平板(深灰)、H20cm 5mm黑玻 (強化玻璃)&lt;/td&gt;&lt;td colspan="4"&gt;&lt;/td&gt;&lt;/tr&gt;&lt;tr&gt;&lt;td&gt;8&lt;/td&gt;&lt;td&gt;W110*H92cm&lt;/td&gt;&lt;td&gt;2&lt;/td&gt;&lt;td&gt;片&lt;/td&gt;&lt;td&gt;2,166&lt;/td&gt;&lt;td&gt;4,332&lt;/td&gt;&lt;/tr&gt;&lt;tr&gt;&lt;td colspan="2"&gt;25mm 系統板 #BK2-322 平面布紋 (桌板左上、右上各挖一圓孔)&lt;/td&gt;&lt;td colspan="4"&gt;&lt;/td&gt;&lt;/tr&gt;&lt;tr&gt;&lt;td&gt;9&lt;/td&gt;&lt;td&gt;尺寸: W110*D60cm (桌板左上、右上各挖一圓孔)&lt;/td&gt;&lt;td&gt;4&lt;/td&gt;&lt;td&gt;片&lt;/td&gt;&lt;td&gt;1,625&lt;/td&gt;&lt;td&gt;6,500&lt;/td&gt;&lt;/tr&gt;&lt;tr&gt;&lt;td colspan="2"&gt;2.5屏風 | 配件&lt;/td&gt;&lt;td colspan="4"&gt;&lt;/td&gt;&lt;/tr&gt;&lt;tr&gt;&lt;td&gt;10&lt;/td&gt;&lt;td&gt;W110cm 桌下走線槽 (深灰,共4標座面板)&lt;/td&gt;&lt;td&gt;4&lt;/td&gt;&lt;td&gt;個&lt;/td&gt;&lt;td&gt;413&lt;/td&gt;&lt;td&gt;1,652&lt;/td&gt;&lt;/tr&gt;&lt;tr&gt;&lt;td&gt;11&lt;/td&gt;&lt;td&gt;圓孔臺 (白)&lt;/td&gt;&lt;td&gt;8&lt;/td&gt;&lt;td&gt;個&lt;/td&gt;&lt;td&gt;19&lt;/td&gt;&lt;td&gt;152&lt;/td&gt;&lt;/tr&gt;&lt;tr&gt;&lt;td&gt;12&lt;/td&gt;&lt;td&gt;Koala™ 人體工學椅無頭枕、強力網背、1D升降扶手、強力網座STG分離傾仰底盤、氣壓升降、尼龍椅腳、PU椅輪椅背: BMF-07 銀河灰椅墊: BMF-07 銀河灰&lt;/td&gt;&lt;td&gt;&lt;img src="images/8da8c958c641970144c05e795e0baaf717f5f3f4659ece0cbb5af7fe253ea0da.jpg"/&gt;圖片僅供示意,以報價文字敘述為準&lt;/td&gt;&lt;td&gt;4&lt;/td&gt;&lt;td&gt;張&lt;/td&gt;&lt;td&gt;4,723&lt;/td&gt;&lt;td&gt;18,892&lt;/td&gt;&lt;/tr&gt;&lt;tr&gt;&lt;td&gt;13&lt;/td&gt;&lt;td&gt;運費+組裝 (苗栗地區專車費用)計次車題數,會根據下單商品總計之數量調整變動&lt;/td&gt;&lt;td&gt;&lt;/td&gt;&lt;td&gt;1&lt;/td&gt;&lt;td&gt;趟&lt;/td&gt;&lt;td&gt;3,500&lt;/td&gt;&lt;td&gt;3,500&lt;/td&gt;&lt;/tr&gt;&lt;tr&gt;&lt;td&gt;&lt;/td&gt;&lt;td colspan="2"&gt;不含水電、走線、樓屬搬運&lt;/td&gt;&lt;td colspan="4"&gt;&lt;/td&gt;&lt;/tr&gt;&lt;tr&gt;&lt;td rowspan="3"&gt;&lt;/td&gt;&lt;td colspan="2"&gt;合計&lt;/td&gt;&lt;td colspan="4"&gt;151,760&lt;/td&gt;&lt;/tr&gt;&lt;tr&gt;&lt;td colspan="2"&gt;營業稅(5%)&lt;/td&gt;&lt;td colspan="4"&gt;7,588&lt;/td&gt;&lt;/tr&gt;&lt;tr&gt;&lt;td colspan="2"&gt;總計&lt;/td&gt;&lt;td colspan="4"&gt;159,348&lt;/td&gt;&lt;/tr&gt;&lt;tr&gt;&lt;td colspan="7"&gt;以上價格為企業採購專案優惠價,優惠總價 $159,000(含税)&lt;/td&gt;&lt;/tr&gt;&lt;tr&gt;&lt;td colspan="2"&gt;請詳細閱讀訂購無知,若參閱完畢請在右側欄位簽名1.確定訂購,請提供現場平面圖、交貨地及聯絡人並請回查此單。2.桌款交期為下訂後十八個工作日內,椅款交期為下訂後八個工作日內,若有特需交期需求請於下訂前告知。3.全品須留為餐製品,需全額付清始為下訂,若有特殊調款需求請於訂購前告知。4.以上尺寸為參考尺寸,下訂前請先確認是否為需求尺寸。5.收貨地貨車限高或需申請貨車維持、貨機等程序請提前告知。6.以上賬價不含搬運費用,若交貨地照電梯/貨梯,搬運費用另計,若有搬運需求請於訂購前告知。7.遞送、組裝為平日(四一至週五)上班時間,若需晚上/假日運送、組裝、費用另計,有特殊謙送、組裝時程訴於訂購前告知。&lt;/td&gt;&lt;td rowspan="2"&gt;&lt;img src="images/d1a19e1e483a12aaf7dc835d381fa314dd41def10f1a4cfa8e9922b5b7bc8c2b.jpg"/&gt;建法豪六&lt;/td&gt;&lt;td rowspan="2" colspan="4"&gt;&lt;img src="images/ce865d15aa3ac4bac06162f63c9c4f80c563f41f6d576767de44a50f81fead44.jpg"/&gt;&lt;/td&gt;&lt;/tr&gt;&lt;tr&gt;&lt;td colspan="2"&gt;付款資訊班期實樂有限公司 24755793玉山銀行東門分行銀行代碼:808帳戶:1193-940-012970傳真:02-2321-8882&lt;/td&gt;&lt;/tr&gt;&lt;tr&gt;&lt;td colspan="3"&gt;報價單有效日期: 2026/6/3&lt;/td&gt;&lt;td colspan="4"&gt;製單人:簡子玲 2026/5/19&lt;/td&gt;&lt;/tr&gt;&lt;/table&gt;
</x:v>
      </x:c>
    </x:row>
    <x:row r="84">
      <x:c r="A84" s="69" t="str">
        <x:v>SRC079</x:v>
      </x:c>
      <x:c r="B84" s="69" t="str">
        <x:v>20260603 三發圍籬網 加運費.md#chunk-1</x:v>
      </x:c>
      <x:c r="C84" s="69" t="str">
        <x:v>Markdown</x:v>
      </x:c>
      <x:c r="D84" s="69" t="str">
        <x:v>0–2340</x:v>
      </x:c>
      <x:c r="E84" s="71" t="str">
        <x:v>## 三發製網股份有限公司
專製：點焊鋼絲網、不銹鋼網、鍍鋅鋼網、景觀圍籬網
地址：台中市大雅區民生路一段264號
一廠電話 04-25663376(圍籲網分機 432) 傳真 04-25672576
Email:sanfafan@ms18.hinet.net
業務連絡人：施讚和先生0912-938193 江尚駿先生0928-186715
http:www.eucore.com.tw
## 報價單
客戶名稱：向上建設
聯絡人：李仁普先生(工務主任)0921-081438
工程名稱：後龍工地
報價項目：購景觀圍籬網 材料
L=
日期：115年05月26日
電話：03-7775355#519
傳真：LINE
NianPu@uphousetw.com
&lt;table&gt;&lt;tr&gt;&lt;td colspan="2"&gt;規格&lt;/td&gt;&lt;td&gt;尺寸&lt;/td&gt;&lt;td&gt;單位&lt;/td&gt;&lt;td&gt;數量&lt;/td&gt;&lt;td&gt;單價&lt;/td&gt;&lt;td&gt;總價&lt;/td&gt;&lt;td&gt;備註&lt;/td&gt;&lt;/tr&gt;&lt;tr&gt;&lt;td colspan="2"&gt;5mm*50*150mm鍍鋅鋼網&lt;/td&gt;&lt;td&gt;H=1550*W1900mm&lt;/td&gt;&lt;td&gt;片&lt;/td&gt;&lt;td&gt;7.0&lt;/td&gt;&lt;td&gt;2,950&lt;/td&gt;&lt;td&gt;20,650&lt;/td&gt;&lt;td&gt;←上下卷圓&lt;/td&gt;&lt;/tr&gt;&lt;tr&gt;&lt;td colspan="2"&gt;2&amp;quot;(60mm)*2.0mm鍍鋅鋼管&lt;/td&gt;&lt;td&gt;L=1650mm-圓底板&lt;/td&gt;&lt;td&gt;支&lt;/td&gt;&lt;td&gt;9.0&lt;/td&gt;&lt;td&gt;1,100&lt;/td&gt;&lt;td&gt;9,900&lt;/td&gt;&lt;td rowspan="5"&gt;←含沖孔焊上蓋含粉體烤漆材料價&lt;/td&gt;&lt;/tr&gt;&lt;tr&gt;&lt;td colspan="2"&gt;配件A(4PCS/組)&lt;/td&gt;&lt;td rowspan="4"&gt;60mm管用(含不銹鋼螺絲組)&lt;/td&gt;&lt;td&gt;組&lt;/td&gt;&lt;td&gt;7.0&lt;/td&gt;&lt;td&gt;240&lt;/td&gt;&lt;td&gt;1,680&lt;/td&gt;&lt;/tr&gt;&lt;tr&gt;&lt;td colspan="2"&gt;配件B(2PCS/組)&lt;/td&gt;&lt;td&gt;組&lt;/td&gt;&lt;td&gt;4.0&lt;/td&gt;&lt;td&gt;150&lt;/td&gt;&lt;td&gt;600&lt;/td&gt;&lt;/tr&gt;&lt;tr&gt;&lt;td colspan="2"&gt;配件C(8PCS/組)&lt;/td&gt;&lt;td&gt;組&lt;/td&gt;&lt;td&gt;7.0&lt;/td&gt;&lt;td&gt;400&lt;/td&gt;&lt;td&gt;2,800&lt;/td&gt;&lt;/tr&gt;&lt;tr&gt;&lt;td colspan="2"&gt;收邊管束A(1PCS/組)&lt;/td&gt;&lt;td&gt;組&lt;/td&gt;&lt;td&gt;6.0&lt;/td&gt;&lt;td&gt;120&lt;/td&gt;&lt;td&gt;720&lt;/td&gt;&lt;/tr&gt;&lt;tr&gt;&lt;td colspan="2"&gt;不銹鋼下蓋&lt;/td&gt;&lt;td&gt;&lt;/td&gt;&lt;td&gt;個&lt;/td&gt;&lt;td&gt;9.0&lt;/td&gt;&lt;td&gt;200&lt;/td&gt;&lt;td&gt;1,800&lt;/td&gt;&lt;td&gt;&lt;/td&gt;&lt;/tr&gt;&lt;tr&gt;&lt;td colspan="2"&gt;運費&lt;/td&gt;&lt;td&gt;&lt;/td&gt;&lt;td&gt;趟&lt;/td&gt;&lt;td&gt;1.0&lt;/td&gt;&lt;td&gt;4,500&lt;/td&gt;&lt;td&gt;4,500&lt;/td&gt;&lt;td&gt;&lt;/td&gt;&lt;/tr&gt;&lt;tr&gt;&lt;td colspan="4"&gt;PS: 1.材料部份:此報價為自取廠交價;不含運費。&lt;/td&gt;&lt;td&gt;&lt;/td&gt;&lt;td&gt;&lt;/td&gt;&lt;td&gt;&lt;/td&gt;&lt;td&gt;&lt;/td&gt;&lt;/tr&gt;&lt;tr&gt;&lt;td colspan="3"&gt;2.收邊網片請依現況尺寸自行裁切。&lt;/td&gt;&lt;td&gt;&lt;/td&gt;&lt;td&gt;&lt;/td&gt;&lt;td&gt;&lt;/td&gt;&lt;td&gt;&lt;/td&gt;&lt;td&gt;&lt;/td&gt;&lt;/tr&gt;&lt;tr&gt;&lt;td colspan="2"&gt;小計(未稅)&lt;/td&gt;&lt;td&gt;&lt;/td&gt;&lt;td&gt;&lt;/td&gt;&lt;td&gt;&lt;/td&gt;&lt;td&gt;&lt;/td&gt;&lt;td&gt;42,650&lt;/td&gt;&lt;td&gt;&lt;/td&gt;&lt;/tr&gt;&lt;tr&gt;&lt;td colspan="2"&gt;小計(含稅)&lt;/td&gt;&lt;td&gt;&lt;/td&gt;&lt;td&gt;&lt;/td&gt;&lt;td&gt;&lt;/td&gt;&lt;td&gt;&lt;/td&gt;&lt;td&gt;44,783&lt;/td&gt;&lt;td&gt;&lt;/td&gt;&lt;/tr&gt;&lt;tr&gt;&lt;td rowspan="7"&gt;備註&lt;/td&gt;&lt;td colspan="7"&gt;1 本報價依實送實算計價。&lt;/td&gt;&lt;/tr&gt;&lt;tr&gt;&lt;td colspan="7"&gt;2 付款方式:30%訂金電匯;取貨前70%電匯結清。&lt;/td&gt;&lt;/tr&gt;&lt;tr&gt;&lt;td colspan="7"&gt;發票開立□二聯式□三聯式(抬頭、統一編號)&lt;/td&gt;&lt;/tr&gt;&lt;tr&gt;&lt;td colspan="7"&gt;3 交貨日期:一個月左右。&lt;/td&gt;&lt;/tr&gt;&lt;tr&gt;&lt;td colspan="7"&gt;4 交貨地點:收貨人:&lt;/td&gt;&lt;/tr&gt;&lt;tr&gt;&lt;td colspan="7"&gt;5 單價自報價日起7天有效&lt;/td&gt;&lt;/tr&gt;&lt;tr&gt;&lt;td colspan="7"&gt;6 請確認簽章後回傳。&lt;/td&gt;&lt;/tr&gt;&lt;tr&gt;&lt;td colspan="8"&gt;&amp;lt;匯款帳號&amp;gt;戶名:三發製網股份有限公司銀行:合作金庫銀行大雅分行帳號:342 &lt;img src="images/ee332311b38464c6e6210bd8a66eb5a19ff9f12b7a6abd21b41ef959ac8023e5.jpg"/&gt; &lt;img src="images/547bbc878d630582f1f2e8848f178081cc32368ba77d9d9a8f93d2ac99d7c222.jpg"/&gt;賣方確認表單編號:FM03-1&lt;/td&gt;&lt;/tr&gt;&lt;/table&gt;
表單編號：FM03-1
</x:v>
      </x:c>
    </x:row>
    <x:row r="85">
      <x:c r="A85" s="69" t="str">
        <x:v>SRC001</x:v>
      </x:c>
      <x:c r="B85" s="69" t="str">
        <x:v>原文1</x:v>
      </x:c>
      <x:c r="C85" s="69" t="str">
        <x:v>docx_text_and_tables</x:v>
      </x:c>
      <x:c r="D85" s="69" t="str">
        <x:v>0–3249</x:v>
      </x:c>
      <x:c r="E85" s="71" t="str">
        <x:v>【段落 1】俐麒企業有限公司 機械車位安裝報價單
【段落 2】聯絡人：王承隆
【段落 3】電話：0931-693210 22973329 傳真：22960420
【段落 4】向上建設有限公司 洪經理 台照
【段落 5】電話： 傳真：
【段落 6】地點：苗栗後龍
【段落 7】日期：112年9月21日
【表格 1 列 1】項目 |  | 單 價 | 數 量 | 合 計
【表格 1 列 2】1 | 油壓式叁層橫移：鋼索 | 175,000. | 8個 | 1,400,000
【表格 1 列 3】稅金5％ | 70,000
【表格 1 列 4】合計 | 1,470,000
【表格 1 列 5】總價：新台幣壹佰肆拾柒萬元整
【表格 1 列 6】付款方式：1.訂金：10％（即期票）。 2.入料：30％（即期票）。 3.機台安裝完成：40％（即期票）。4.取得許可證：10％（30天票期）。 5.配電完成：10％（30天票期）。
【表格 1 列 7】備註：前緣鋪板及機台邊板（花紋錏板2.3t）：19米*2000元＝38000元。稅外加。安全欄杆（錏方管25*25mm、50*25mm，油漆）：12米*4000元＝48000元。稅外加。
【段落 8】俐麒企業有限公司 mail：raes0301@yahoo.com.tw
【段落 9】統編：16342783 機械停車設備專業廠商證號：40M1000178
【段落 10】立合約書人：
【段落 11】甲方：向上建設股份有限公司
【段落 12】負責人：
【段落 13】地址：苗栗縣竹南鎮康德街71號
【段落 14】統一編號：90057101
【段落 15】電話：0932-695878 03-7775355＃168
【段落 16】傳真：
【段落 17】乙方：俐麒企業有限公司
【段落 18】負責人：王承隆
【段落 19】地址：台中市北屯區平德路59巷17號
【段落 20】統一編號：16342783
【段落 21】專業廠商證號：40M1000178
【段落 22】電話：04-22973329 0931-693210
【段落 23】傳真：04-22960420
【段落 24】中華民國 年 月 日
【段落 25】俐麒企業有限公司
【段落 26】貨梯設備工程規劃流程
【段落 27】準備工作：1、深入了解建築圖面，確定設備安裝位置。2、測量現場土木結構工程及樓板淨高度，確實避免土 木施工誤差。探討電器管路、消防管路、通風管 路、地面人孔、灑水頭等可能與停車設備安裝有 關之情況。3、就停車設備系統功能，與業主技術人員研討適當可 行方案，確定系統運作方式。4、排定工作作業流程：評估→規劃→設計→製作→施 工→訓練→保養→維護。5、排定作業生產線。
【段落 28】設計作業： 由工程負責人召開設計研討會議，提出停車設備工程之任務需求，進行任務編組，施行細部設計作業。1、系統規劃：就各項原則方計，進行規劃作業。依循如下：（1）現場測量結果。（2）業主需求。（3）系統功能設備。（4）安全裝置周全可靠。（5）全自動設備，簡易操作管理。（6）配置整齊明朗，節省空間。（7）車子流動線合理。（8）道路交通影響之評估。（9）停取車之便利性。（10）噪音對環境影響之評估。（11）施工之便利性。（12）維護保養容易，故障率低。2、機械設備設計：油壓機構二段式、三段式設備之設計作業。3、停車管制系統設計：（1）系統功能設計。（2）可程式控制器程式設計。（3）電腦軟體程式設計。（4）系統連線通訊設計。4、電器設備設計：（1）管制設計。（2）操作盤設計。（3）控制箱設計。（4）電路設計。（5）安全裝置設計。5、交通設施工程設計：（1）標誌設計。（2）停車場指示燈箱設計。6、系統整合設計。
【段落 29】品質管制：1、計畫：（1）訂定品質目標的標準：依任務需求訂定成品規範。（2）訂定達成品質之標準：【1】作業標準。【2】材料驗收標準。【3】機械設備及製造標準。【4】製程管制標準。2、執行：（1）對人員施工前教育。（2）依計畫執行3、檢核：（1）檢查、試驗及測定。（2）資料的整理及分析。（3）比較及判定。4、改善行動作業：（1）實際產品與標準比較產生差異，必須研擬對策。（2）改善對策的執行。（3）覆核。（4）再標準化。
【段落 30】現場安裝：1、場地整理放樣：（1）會同業主點交作業場地整理清潔。（2）樓板淨高測量。（3）墨線放樣。2、運輸作業： 鋼材零件運輸以大卡車運至車道入口，再由堆高機卸至地下室。3、安裝步驟：（1）機械設備部份安裝：【1】基礎底板安裝。【2】鋼構架安裝。【3】傳動鋼索輪、鏈輪組立安裝。【4】軌道安裝。【5】傳動軸、驅動安裝。【6】軸承組立安裝。【7】鋼索、鏈條安裝。【8】車台安裝。【9】導輪、滾輪安裝。【10】電器安裝、座板安裝。【11】機坑護角安裝。（2）電器設備部份安裝：【1】配電工程。【2】線槽安裝。【3】控制盤安裝。【4】操作箱安裝。【5】安全裝置電器安裝。【6】指示燈號誌箱安裝。【7】系統連線工作。（3）施工電力需求業主提供。 a.AC3ψ，220v，60HZ
【段落 31】測試計劃：1、機械設備：（1）驅動馬達、減速機傳動軸、傳動組件之組合運轉 情況檢查。（2）機械車位設備昇降運轉檢查。（3）柵欄機動作測試。2、停車管制系統：（1）安全裝置操作設置。（2）所有控制盤、操作箱之操作測試。（3）各燈號設備測試。（4）系統功能測試。
【段落 32】保固期間免費保養方式： 以上產品自驗收完畢當日起，在正常使用情形下，免費享有產品之優待服務：1、保固期限：一年（第一次竣工檢查許可證取得滿 18個月）。2、每月定期維護保養：一次。3、臨時維修待命服務。4、故障零件免費換修。
【段落 33】20593043197860保固期限：第一次許可證取得滿18個月每月定期保養：一次00保固期限：第一次許可證取得滿18個月每月定期保養：一次21717005943600每月定期保養：一次00每月定期保養：一次3200400548640000308610026289000030861001943100004457700800100設 計 課 記 錄 備 查00設 計 課 記 錄 備 查38862001358900002171700800100業 務 課 客 戶 反 應 調查00業 務 課 客 戶 反 應 調查1485900135953500-114300800100工 務 課 服 務 組 迅 速 處 理00工 務 課 服 務 組 迅 速 處 理保固期後服務保養方式：1、售後服務流程表： 完工、驗收 保 固 到 期 與大樓管委會簽訂保養合約2、每月定期保養維護：一次。3、臨時維修待命服務。4、故障零件僅收取材料費。
【段落 34】工程區分表
【表格 2 列 1】工程類別 | 俐麒公司 | 建設公司
【表格 2 列 2】1、機械式停車設備之設計及安裝工程 | ★ | 
【表格 2 列 3】2、機坑前緣護角之工程 | ★ | 
【表格 2 列 4】3、機械式停車設備材料搬運至現場之工程 | ★ | 
【表格 2 列 5】4、機坑底內積水及雜物之清除工程 |  | ★
【表格 2 列 6】5、材料搬運之車到障礙物之清除工程 |  | ★
【表格 2 列 7】6、機坑底或升降路建造工程及表面加工土木工程 |  | ★
【表格 2 列 8】7、機坑底或升降周圍之防水工程 |  | ★
【表格 2 列 9】8、施工場所足夠之照明設施工程 |  | ★
【表格 2 列 10】9、施工電源之供應 |  | ★
【表格 2 列 11】10、機械式停車設備測試電源之供應 |  | ★
【表格 2 列 12】11、機械式停車設備一次測電源之供應 |  | ★
【表格 2 列 13】12、配電暗管欲留水線之提供 |  | ★</x:v>
      </x:c>
    </x:row>
    <x:row r="86">
      <x:c r="A86" s="69" t="str">
        <x:v>SRC086</x:v>
      </x:c>
      <x:c r="B86" s="69" t="str">
        <x:v>原文1</x:v>
      </x:c>
      <x:c r="C86" s="69" t="str">
        <x:v>markdown_fulltext</x:v>
      </x:c>
      <x:c r="D86" s="69" t="str">
        <x:v>0–3647</x:v>
      </x:c>
      <x:c r="E86" s="71" t="str">
        <x:v>## 工程標單
業主：向上建設
工程名稱：龍富段新建工程
工程地點：苗栗後龍鎮新東路116號旁
&lt;table&gt;&lt;tr&gt;&lt;td&gt;項目&lt;/td&gt;&lt;td&gt;名稱.規範&lt;/td&gt;&lt;td&gt;單位&lt;/td&gt;&lt;td&gt;數量&lt;/td&gt;&lt;td&gt;單價&lt;/td&gt;&lt;td&gt;複價&lt;/td&gt;&lt;td&gt;備註&lt;/td&gt;&lt;/tr&gt;&lt;tr&gt;&lt;td&gt;壹&lt;/td&gt;&lt;td&gt;低壓配電盤設備工程&lt;/td&gt;&lt;td&gt;式&lt;/td&gt;&lt;td&gt;1&lt;/td&gt;&lt;td&gt;&lt;/td&gt;&lt;td&gt;$596,841&lt;/td&gt;&lt;td&gt;&lt;/td&gt;&lt;/tr&gt;&lt;tr&gt;&lt;td&gt;貳&lt;/td&gt;&lt;td&gt;照明.插座.幹管線設備工程&lt;/td&gt;&lt;td&gt;式&lt;/td&gt;&lt;td&gt;1&lt;/td&gt;&lt;td&gt;&lt;/td&gt;&lt;td&gt;$3,164,055&lt;/td&gt;&lt;td&gt;&lt;/td&gt;&lt;/tr&gt;&lt;tr&gt;&lt;td&gt;參&lt;/td&gt;&lt;td&gt;電信設備工程&lt;/td&gt;&lt;td&gt;式&lt;/td&gt;&lt;td&gt;1&lt;/td&gt;&lt;td&gt;&lt;/td&gt;&lt;td&gt;$539,033&lt;/td&gt;&lt;td&gt;&lt;/td&gt;&lt;/tr&gt;&lt;tr&gt;&lt;td&gt;肆&lt;/td&gt;&lt;td&gt;共同電視天線監視設備工程&lt;/td&gt;&lt;td&gt;式&lt;/td&gt;&lt;td&gt;1&lt;/td&gt;&lt;td&gt;&lt;/td&gt;&lt;td&gt;$116,896&lt;/td&gt;&lt;td&gt;&lt;/td&gt;&lt;/tr&gt;&lt;tr&gt;&lt;td&gt;伍&lt;/td&gt;&lt;td&gt;避雷針設備工程&lt;/td&gt;&lt;td&gt;式&lt;/td&gt;&lt;td&gt;1&lt;/td&gt;&lt;td&gt;&lt;/td&gt;&lt;td&gt;$130,770&lt;/td&gt;&lt;td&gt;&lt;/td&gt;&lt;/tr&gt;&lt;tr&gt;&lt;td&gt;陸&lt;/td&gt;&lt;td&gt;發電機設備工程&lt;/td&gt;&lt;td&gt;式&lt;/td&gt;&lt;td&gt;1&lt;/td&gt;&lt;td&gt;&lt;/td&gt;&lt;td&gt;$801,000&lt;/td&gt;&lt;td&gt;&lt;/td&gt;&lt;/tr&gt;&lt;tr&gt;&lt;td&gt;柒&lt;/td&gt;&lt;td&gt;給水衛浴設備工程&lt;/td&gt;&lt;td&gt;式&lt;/td&gt;&lt;td&gt;1&lt;/td&gt;&lt;td&gt;&lt;/td&gt;&lt;td&gt;$1,548,725&lt;/td&gt;&lt;td&gt;&lt;/td&gt;&lt;/tr&gt;&lt;tr&gt;&lt;td&gt;捌&lt;/td&gt;&lt;td&gt;排水衛浴設備工程&lt;/td&gt;&lt;td&gt;式&lt;/td&gt;&lt;td&gt;1&lt;/td&gt;&lt;td&gt;&lt;/td&gt;&lt;td&gt;$1,443,715&lt;/td&gt;&lt;td&gt;&lt;/td&gt;&lt;/tr&gt;&lt;tr&gt;&lt;td&gt;玖&lt;/td&gt;&lt;td&gt;污水外管設備工程&lt;/td&gt;&lt;td&gt;式&lt;/td&gt;&lt;td&gt;1&lt;/td&gt;&lt;td&gt;&lt;/td&gt;&lt;td&gt;$145,000&lt;/td&gt;&lt;td&gt;&lt;/td&gt;&lt;/tr&gt;&lt;tr&gt;&lt;td&gt;拾&lt;/td&gt;&lt;td&gt;消防設備工程&lt;/td&gt;&lt;td&gt;式&lt;/td&gt;&lt;td&gt;1&lt;/td&gt;&lt;td&gt;&lt;/td&gt;&lt;td&gt;$722,329&lt;/td&gt;&lt;td&gt;&lt;/td&gt;&lt;/tr&gt;&lt;tr&gt;&lt;td&gt;拾壹&lt;/td&gt;&lt;td&gt;通風設備工程&lt;/td&gt;&lt;td&gt;式&lt;/td&gt;&lt;td&gt;1&lt;/td&gt;&lt;td&gt;&lt;/td&gt;&lt;td&gt;$0&lt;/td&gt;&lt;td&gt;&lt;/td&gt;&lt;/tr&gt;&lt;tr&gt;&lt;td&gt;拾貳&lt;/td&gt;&lt;td&gt;光纖設備工程&lt;/td&gt;&lt;td&gt;式&lt;/td&gt;&lt;td&gt;1&lt;/td&gt;&lt;td&gt;&lt;/td&gt;&lt;td&gt;$114,379&lt;/td&gt;&lt;td&gt;扣除埋&lt;/td&gt;&lt;/tr&gt;&lt;tr&gt;&lt;td&gt;拾參&lt;/td&gt;&lt;td&gt;監控配管設備工程&lt;/td&gt;&lt;td&gt;式&lt;/td&gt;&lt;td&gt;1&lt;/td&gt;&lt;td&gt;&lt;/td&gt;&lt;td&gt;$3,975&lt;/td&gt;&lt;td&gt;&lt;/td&gt;&lt;/tr&gt;&lt;tr&gt;&lt;td&gt;拾肆&lt;/td&gt;&lt;td&gt;施工圖竣工圖繪製費&lt;/td&gt;&lt;td&gt;式&lt;/td&gt;&lt;td&gt;1&lt;/td&gt;&lt;td&gt;&lt;/td&gt;&lt;td&gt;$50,000&lt;/td&gt;&lt;td&gt;&lt;/td&gt;&lt;/tr&gt;&lt;tr&gt;&lt;td&gt;拾伍&lt;/td&gt;&lt;td&gt;臨時水電工程(含申請臨時水電及建築物使用臨時水電設備)&lt;/td&gt;&lt;td&gt;式&lt;/td&gt;&lt;td&gt;1&lt;/td&gt;&lt;td&gt;&lt;/td&gt;&lt;td&gt;$147,091&lt;/td&gt;&lt;td&gt;新增(不含線補費+保證金)&lt;/td&gt;&lt;/tr&gt;&lt;tr&gt;&lt;td&gt;拾陸&lt;/td&gt;&lt;td&gt;工程保險費及勞工保險安全衛生管理費&lt;/td&gt;&lt;td&gt;式&lt;/td&gt;&lt;td&gt;1&lt;/td&gt;&lt;td&gt;&lt;/td&gt;&lt;td&gt;&lt;/td&gt;&lt;td&gt;配合現場需求&lt;/td&gt;&lt;/tr&gt;&lt;tr&gt;&lt;td&gt;&lt;/td&gt;&lt;td&gt;小計&lt;/td&gt;&lt;td&gt;&lt;/td&gt;&lt;td&gt;&lt;/td&gt;&lt;td&gt;&lt;/td&gt;&lt;td&gt;$9,523,808&lt;/td&gt;&lt;td&gt;&lt;/td&gt;&lt;/tr&gt;&lt;tr&gt;&lt;td&gt;拾柒&lt;/td&gt;&lt;td&gt;利潤及管理費5%&lt;/td&gt;&lt;td&gt;式&lt;/td&gt;&lt;td&gt;1&lt;/td&gt;&lt;td&gt;&lt;/td&gt;&lt;td&gt;$476,192&lt;/td&gt;&lt;td&gt;&lt;/td&gt;&lt;/tr&gt;&lt;tr&gt;&lt;td&gt;&lt;/td&gt;&lt;td&gt;合計&lt;/td&gt;&lt;td&gt;&lt;/td&gt;&lt;td&gt;&lt;/td&gt;&lt;td&gt;&lt;/td&gt;&lt;td&gt;$10,000,000&lt;/td&gt;&lt;td&gt;&lt;/td&gt;&lt;/tr&gt;&lt;tr&gt;&lt;td&gt;&lt;/td&gt;&lt;td&gt;稅金&lt;/td&gt;&lt;td&gt;&lt;/td&gt;&lt;td&gt;&lt;/td&gt;&lt;td&gt;&lt;/td&gt;&lt;td&gt;$500,000&lt;/td&gt;&lt;td&gt;&lt;/td&gt;&lt;/tr&gt;&lt;tr&gt;&lt;td&gt;&lt;/td&gt;&lt;td&gt;合計&lt;/td&gt;&lt;td&gt;&lt;/td&gt;&lt;td&gt;&lt;/td&gt;&lt;td&gt;&lt;/td&gt;&lt;td&gt;$10,500,000&lt;/td&gt;&lt;td&gt;&lt;/td&gt;&lt;/tr&gt;&lt;tr&gt;&lt;td&gt;&lt;/td&gt;&lt;td colspan="6"&gt;&lt;/td&gt;&lt;/tr&gt;&lt;tr&gt;&lt;td&gt;1&lt;/td&gt;&lt;td colspan="6"&gt;本標單所列數量僅供參考,投標廠商依據設計圖面施工說明及親赴現場瞭解工地狀況後做詳細數量估算,數量如有增減請自&lt;/td&gt;&lt;/tr&gt;&lt;tr&gt;&lt;td&gt;&lt;/td&gt;&lt;td colspan="6"&gt;行於單價內調整,不得塗註本標單項目,廠牌規格,得標後視同全部估算完成,不得於工程進行中要求追加或變更廠牌及籍&lt;/td&gt;&lt;/tr&gt;&lt;tr&gt;&lt;td&gt;&lt;/td&gt;&lt;td colspan="6"&gt;詞推諉致延誤工期。&lt;/td&gt;&lt;/tr&gt;&lt;tr&gt;&lt;td&gt;2&lt;/td&gt;&lt;td colspan="6"&gt;得標廠商對設計圖說標單,如有疑問應於合約訂定前向業主及設計單位詢問,除合約完成理由外,不得藉故無法施工或增加&lt;/td&gt;&lt;/tr&gt;&lt;tr&gt;&lt;td&gt;&lt;/td&gt;&lt;td colspan="6"&gt;後非因業主變更之工料要求追加。&lt;/td&gt;&lt;/tr&gt;&lt;tr&gt;&lt;td&gt;3&lt;/td&gt;&lt;td colspan="6"&gt;得標廠商應依據水電消防送審合格圖施工,承包商應協助就近辦理電力自來水電信之外線申請及協調溝通等事項所需費用並包含於總價內。承包商施作前必須詳繪施工大樓圖,經確認後方得施工,否則一切損失自行負責。(線補費、接水費等規費屬業主支付)。&lt;/td&gt;&lt;/tr&gt;&lt;tr&gt;&lt;td&gt;4&lt;/td&gt;&lt;td colspan="6"&gt;消防器材及發電機與消防相關泵浦,須符合各地消防主管機關認可與個別認可之合格產品,並負責完成消防檢查,不得要求追加。&lt;/td&gt;&lt;/tr&gt;&lt;tr&gt;&lt;td&gt;5&lt;/td&gt;&lt;td colspan="6"&gt;本圖說標單應配合其它施工說明及合約條件,共為工程合約之一部份,承包商應遵從較嚴規定或依電技師會同業主指定辦理。&lt;/td&gt;&lt;/tr&gt;&lt;tr&gt;&lt;td&gt;6&lt;/td&gt;&lt;td colspan="6"&gt;各戶室內分電箱(含電力、照明、插座等)與弱電用宅內配線箱整合一體以求美觀。&lt;/td&gt;&lt;/tr&gt;&lt;tr&gt;&lt;td&gt;7&lt;/td&gt;&lt;td colspan="6"&gt;本案依各階段施工特性可搭配CD管施工。(須知會業主,並經過業主同意方可使用。)&lt;/td&gt;&lt;/tr&gt;&lt;tr&gt;&lt;td&gt;8&lt;/td&gt;&lt;td colspan="6"&gt;所有與BA監控系統連結介面,相關盤體內皆須設置CS切換開關、TB接線端子台及輸出入乾接點等皆屬水電工程。&lt;/td&gt;&lt;/tr&gt;&lt;tr&gt;&lt;td&gt;9&lt;/td&gt;&lt;td colspan="6"&gt;本工程應包含下列項目:穿樑套管(含喇叭口或管帽),箱體名牌(電表箱),管路流向及管路標,公共設備移交清冊2本。&lt;/td&gt;&lt;/tr&gt;&lt;tr&gt;&lt;td&gt;10&lt;/td&gt;&lt;td colspan="6"&gt;梯間燈裝修介面整合,現場配合施作。&lt;/td&gt;&lt;/tr&gt;&lt;tr&gt;&lt;td&gt;11&lt;/td&gt;&lt;td colspan="6"&gt;泡沫系統手動啟動閘需為黃銅製。&lt;/td&gt;&lt;/tr&gt;&lt;tr&gt;&lt;td&gt;12&lt;/td&gt;&lt;td colspan="6"&gt;泡沫系統於消檢後移交管委會時原液槽須填滿,含於總價內。&lt;/td&gt;&lt;/tr&gt;&lt;tr&gt;&lt;td&gt;13&lt;/td&gt;&lt;td colspan="6"&gt;發電機油料於試車階段時需填滿油料,移交管委會時也須填滿油料。&lt;/td&gt;&lt;/tr&gt;&lt;tr&gt;&lt;td&gt;14&lt;/td&gt;&lt;td colspan="6"&gt;臨時水電工程包含項目:1.揚水泵1只,10KW變壓器2.各層臨時插座(110V) 220V NFB 3.各層1只水龍頭4.排水1處及附件圖各項。&lt;/td&gt;&lt;/tr&gt;&lt;tr&gt;&lt;td&gt;壹&lt;/td&gt;&lt;td&gt;低壓配電盤設備工程&lt;/td&gt;&lt;td&gt;&lt;/td&gt;&lt;td&gt;&lt;/td&gt;&lt;td&gt;&lt;/td&gt;&lt;td&gt;&lt;/td&gt;&lt;td&gt;&lt;/td&gt;&lt;/tr&gt;&lt;/table&gt;
</x:v>
      </x:c>
    </x:row>
    <x:row r="87">
      <x:c r="A87" s="69" t="str">
        <x:v>SRC081</x:v>
      </x:c>
      <x:c r="B87" s="69" t="str">
        <x:v>原文1</x:v>
      </x:c>
      <x:c r="C87" s="69" t="str">
        <x:v>markdown_fulltext</x:v>
      </x:c>
      <x:c r="D87" s="69" t="str">
        <x:v>0–2761</x:v>
      </x:c>
      <x:c r="E87" s="71" t="str">
        <x:v># 台灣菊水股份有限公司
![](images/e415cf6b71a0a99fe3037a46c582f642a9c46590df9eb7168faf6aa77f038e9a.jpg)
# 工程合約書
![](images/c346a5f95d2102df0b7c7ae66bd58e7381f110cafff3d818778b056f7dbacfe6.jpg)
# 工程合約書
立合約書人（甲方） 向上建設股份有限公司
# (乙方) 台灣菊水股份有限公司
茲因甲方向乙方承攬拾壹間新建工程，經雙方協議
後同意訂立本工程合約一式二份，並願共同遵守下開條款：
## 第一條 合約標的
工程名稱:拾壹間新建工程
工程地點:苗栗縣後龍鎮新東路116號旁
工程範圍:如附件報價單編號：TKSQ20240814001(以下簡稱報價單)之所示範圍
## 第二條 工程價款
一、本工程契約總價計：
新台幣陸拾壹萬陸仟玖佰伍拾圓整元整(未稅)，詳如報價單所訂。
二、此報價內容為 2025 年\~2026 年共 2 年於貴公司案使用菊水商品累積共 2,000 m² 以上為前提所設定之特別價格。
## 第三條 施工步驟：
詳報價單明細表。
第四條 工程期限：
依營造廠施工進度而訂。
## 第五條 付款方式：
1. 本工程預付款為工程契約總價的30%，乙方應於簽約日後起算七個工作日內送達發票，甲方即於收到發票日後起算七個工作日內付款。
2. 本工程款的完工款為工程契約總價的 60%，乙方應於完工日後起算七個工作日內送達發票，甲方即於收到發票日後七個工作日內付款。
3. 本工程款的驗收款為工程契約總價的 10%，乙方應於驗收作業完成後起算七個工作日內送達發票，甲方即於收到發票日後七個工作日內付款。
## 第六條
## 工程保固：
本工程自業主正式驗收合格日起，依約定予以貳年保固，對因乙方施工不良、或材料不佳所引起之瑕疵或損壞，得無償負責修繕，但因外力或天災等人力不可抗拒因素除外。以維護乙方對工程品質保證之信譽。
## 第七條 合約附件：
報價單明細表。
立合約書人 甲方：向上建設股份有
統 編：90057101
![](images/42235ee482a7ab96ea2c33872d2f1eeea52c58590adc2596ecb048a26de3b323.jpg)
代表人：洪建豪
地址：苗栗縣竹南鎮康德街71號
電話：037-775-355
傳真：無
乙方：台灣菊水股份有限
統編：42845001
![](images/5e596f4b0eb24f064c150e7aa12ad059aac74bdf5461b93900cf03470d7bf0cb.jpg)
![](images/89fc7798b0d30efade50efdf96825da8217d78a66f926438dc6a7cd349816d96.jpg)
代表人：稻葉信彥
地址：台北市大安區敦化南路二段59號12
樓之1
電話：(02)2706-4775
傳真：(02)2706-4776
中華民國一一三年十一月二十一日
## 報價單
日期：2024/8/14
向上建設股份 有限公司
◎報價內容：向上建設-苗栗菊水SA後製清水模
◎報價單期限： 30天
◎工程地點：
詳見備註
苗栗高鐵附近
©施工面積：
457m
報價單編號：TKSQ20240814001
台灣菊水股份有限公司
10681 古北市大安區敦化南路二段
59號12楼之1
(02)2706-4775
(02)2706-4776
信表潮位:新意币(元)
&lt;table&gt;&lt;tr&gt;&lt;td&gt;項次&lt;/td&gt;&lt;td&gt;品名&lt;/td&gt;&lt;td&gt;數量&lt;/td&gt;&lt;td&gt;單位&lt;/td&gt;&lt;td&gt;单価&lt;/td&gt;&lt;td&gt;單価&lt;/td&gt;&lt;td&gt;備註&lt;/td&gt;&lt;/tr&gt;&lt;tr&gt;&lt;td&gt;一&lt;/td&gt;&lt;td colspan="5"&gt;菊水SA後製清水模工程&lt;/td&gt;&lt;td&gt;&lt;/td&gt;&lt;/tr&gt;&lt;tr&gt;&lt;td&gt;a&lt;/td&gt;&lt;td&gt;菊水BR-15修補材整批+螺栓孔位,板模線位放樣+螺栓孔處理+板模線製作+依基面調整,多次押花,修飾+有機矽透明保護中塗+有機矽透明保護面塗&lt;/td&gt;&lt;td&gt;457&lt;/td&gt;&lt;td&gt;m2&lt;/td&gt;&lt;td&gt;1,350&lt;/td&gt;&lt;td&gt;616,950&lt;/td&gt;&lt;td&gt;依實際面積計算&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合計&lt;/td&gt;&lt;td colspan="4"&gt;616,950&lt;/td&gt;&lt;td&gt;&lt;/td&gt;&lt;/tr&gt;&lt;tr&gt;&lt;td colspan="7"&gt;※本報價不含5%營業稅※付款條件:雙方協繕※本工程如上所述不包含其他工程。※本工程配合其他工程進度如期完成,水電照明,施工鷹架由責公司提供使用。※本工程內產生之廢棄物由施工端負責清運。※如有問題歡迎洽詢確認。※請於入場日前45日~60日前通知。※本工程依現場實際狀況,以報價單單價按實做數量計價。※此報價內容為2025年~2026年共2年於貴公司案使用菊水商品累積共2,000m2以上為前提所設定之特別價格。&lt;/td&gt;&lt;/tr&gt;&lt;/table&gt;
※請確認後簽名回傳，萬分感謝。
客戶簽章
![](images/3aa5b9db9c20bef064d38348edfc7023b1168a1f5ce264ec04cb520948092c54.jpg)
![](images/efc8ae9218f2792426d3910083639bb6c4478218ef9d17b94a0aed33a7724698.jpg)
台灣菊水股份有限公司
![](images/8c7db27e17b53865c0a3db382d5d3acc6e299bfeec793cc3f66ed8ebae4c68c0.jpg)
</x:v>
      </x:c>
    </x:row>
    <x:row r="88">
      <x:c r="A88" s="69" t="str">
        <x:v>SRC083</x:v>
      </x:c>
      <x:c r="B88" s="69" t="str">
        <x:v>原文1</x:v>
      </x:c>
      <x:c r="C88" s="69" t="str">
        <x:v>xls_all_nonempty_rows</x:v>
      </x:c>
      <x:c r="D88" s="69" t="str">
        <x:v>0–2023</x:v>
      </x:c>
      <x:c r="E88" s="71" t="str">
        <x:v>【工作表 Sheet1 第 1 列】 | 曜陽廚具衛浴公司 |  | 店址：竹南鎮博愛街226號 | 
【工作表 Sheet1 第 2 列】 |  |  | 電話：(037)467740 | 
【工作表 Sheet1 第 3 列】45797 |  |  | 傳真：(037)469424 | 
【工作表 Sheet1 第 4 列】 | 估 價 單 |  |  | 
【工作表 Sheet1 第 5 列】客戶: 向上建設-A戶 | 地址: |  |  | 電話:
【工作表 Sheet1 第 6 列】 |  |  |  | 行動電話:
【工作表 Sheet1 第 7 列】名稱 | 規格 | 數量 | 單價 | 金額
【工作表 Sheet1 第 8 列】地櫃#304ST桶(S6門板) | 900 | 2 | 7041 | 14082
【工作表 Sheet1 第 9 列】地櫃#304ST桶(S6門板) | 450 | 1 | 4029 | 4029
【工作表 Sheet1 第 10 列】地櫃補板 |  | 1 | 757 | 757
【工作表 Sheet1 第 11 列】地櫃落地側封板 |  | 1 | 1945 | 1945
【工作表 Sheet1 第 12 列】洗碗機門板 |  | 1 | 1513 | 1513
【工作表 Sheet1 第 13 列】上櫃KD木桶(S6門板) | 900*835 | 1 | 7015 | 7015
【工作表 Sheet1 第 14 列】上櫃KD木桶(S6門板) | 900*900 | 1 | 7015 | 7015
【工作表 Sheet1 第 15 列】上櫃KD木桶(S6門板) | 620*900 | 1 | 6104 | 6104
【工作表 Sheet1 第 16 列】上櫃KD木桶(S6門板) | 450*900 | 1 | 4055 | 4055
【工作表 Sheet1 第 17 列】上櫃側封板 |  | 2 | 1135 | 2270
【工作表 Sheet1 第 18 列】櫻花DR-9786BSXL油煙機 | 煙罩100公分高 | 1 | 10800 | 10800
【工作表 Sheet1 第 19 列】櫻花G2923瓦斯爐 |  | 1 | 11500 | 11500
【工作表 Sheet1 第 20 列】石英石檯面U100系列 |  | 291 | 90 | 26190
【工作表 Sheet1 第 21 列】水槽下崁工資+石材開孔 |  | 1 | 7000 | 7000
【工作表 Sheet1 第 22 列】豪華型崁把手 |  | 702 | 10 | 7020
【工作表 Sheet1 第 23 列】SE-3780手工四方槽(無其他配件) | 78*46*21 | 1 | 7500 | 7500
【工作表 Sheet1 第 24 列】BOSCH-SMI4HAS00X半崁式洗碗機 |  | 1 | 39525 | 39525
【工作表 Sheet1 第 25 列】洗碗機安裝工資 |  | 1 | 1500 | 1500
【工作表 Sheet1 第 26 列】洗碗機踢腳板 |  | 1 | 1200 | 1200
【工作表 Sheet1 第 27 列】爐下GRASS緩衝鎂鋁高抽+一邊桿 | 900 | 2 | 3600 | 7200
【工作表 Sheet1 第 28 列】ST小三抽(刀叉盤*1+分隔片*1) |  | 1 | 5800 | 5800
【工作表 Sheet1 第 29 列】GRASS緩衝鉸鍊 |  | 8 | 150 | 1200
【工作表 Sheet1 第 30 列】ST排水管 |  | 1 | 300 | 300
【工作表 Sheet1 第 31 列】24.2.381-500A諾得淨水器 |  | 1 | 5000 | 5000
【工作表 Sheet1 第 32 列】 |  |  |  | 0
【工作表 Sheet1 第 33 列】 |  |  |  | 0
【工作表 Sheet1 第 34 列】總額含不稅新台幣 | 180520 |  | 總價實收： | 180000
【工作表 Sheet1 第 35 列】經辦人：鍾康平森 |  | 交貨日期： | 年 月 日 | 
【工作表 Sheet1 第 36 列】備註：如蒙惠顧請先付訂金 五 成 |  |  |  | 
【工作表 Sheet1 第 38 列】洗碗機N+3個月請注意訂購時間。 |  |  |  | 
【工作表 Sheet1 第 39 列】180,000*稅金:189,000元*6套=1,134,000 |  |  |  | 
【工作表 Sheet1 第 40 列】水龍頭自備(安裝廚具當日龍頭需擺放在現場,如安裝當日無龍頭,後續加裝另外收費) |  |  |  | </x:v>
      </x:c>
    </x:row>
    <x:row r="89">
      <x:c r="A89" s="69" t="str">
        <x:v>SRC084</x:v>
      </x:c>
      <x:c r="B89" s="69" t="str">
        <x:v>原文1</x:v>
      </x:c>
      <x:c r="C89" s="69" t="str">
        <x:v>xls_all_nonempty_rows</x:v>
      </x:c>
      <x:c r="D89" s="69" t="str">
        <x:v>0–1887</x:v>
      </x:c>
      <x:c r="E89" s="71" t="str">
        <x:v>【工作表 Sheet1 第 1 列】 | 曜陽廚具衛浴公司 |  | 店址：竹南鎮博愛街226號 | 
【工作表 Sheet1 第 2 列】 |  |  | 電話：(037)467740 | 
【工作表 Sheet1 第 3 列】45797 |  |  | 傳真：(037)469424 | 
【工作表 Sheet1 第 4 列】 | 估 價 單 |  |  | 
【工作表 Sheet1 第 5 列】客戶: 向上建設-B戶 | 地址: |  |  | 電話:
【工作表 Sheet1 第 6 列】 |  |  |  | 行動電話:
【工作表 Sheet1 第 7 列】名稱 | 規格 | 數量 | 單價 | 金額
【工作表 Sheet1 第 8 列】地櫃KD木桶(S6門板) | 1000 | 1 | 7935 | 7935
【工作表 Sheet1 第 9 列】地櫃#304ST桶(S6門板) | 900 | 1 | 7041 | 7041
【工作表 Sheet1 第 10 列】地櫃#304ST桶(S6門板) | 450 | 1 | 4029 | 4029
【工作表 Sheet1 第 11 列】地櫃補板 |  | 1 | 757 | 757
【工作表 Sheet1 第 12 列】地櫃側封板 |  | 1 | 1945 | 1945
【工作表 Sheet1 第 13 列】洗碗機門板 |  | 1 | 1513 | 1513
【工作表 Sheet1 第 14 列】櫻花DR-9786BSXL油煙機 | 煙罩100公分高 | 1 | 10800 | 10800
【工作表 Sheet1 第 15 列】櫻花G2923瓦斯爐 |  | 1 | 11500 | 11500
【工作表 Sheet1 第 16 列】石英石檯面U100系列 |  | 301 | 90 | 27090
【工作表 Sheet1 第 17 列】水槽下崁工資+石材開孔 |  | 1 | 7000 | 7000
【工作表 Sheet1 第 18 列】豪華型崁把手 |  | 425 | 10 | 4250
【工作表 Sheet1 第 19 列】SE-3670手工四方槽(無其他配件) | 67*46*21 | 1 | 7400 | 7400
【工作表 Sheet1 第 20 列】BOSCH-SMI4HAS00X半崁式洗碗機 |  | 1 | 39525 | 39525
【工作表 Sheet1 第 21 列】洗碗機安裝工資 |  | 1 | 1500 | 1500
【工作表 Sheet1 第 22 列】洗碗機踢腳板 |  | 1 | 1200 | 1200
【工作表 Sheet1 第 23 列】爐下GRASS緩衝鎂鋁高抽+一邊桿 | 1000 | 2 | 3800 | 7600
【工作表 Sheet1 第 24 列】ST小三抽(刀叉盤*1+分隔片*1) |  | 1 | 5800 | 5800
【工作表 Sheet1 第 25 列】GRASS緩衝鉸鍊 |  | 2 | 150 | 300
【工作表 Sheet1 第 26 列】ST排水管 |  | 1 | 300 | 300
【工作表 Sheet1 第 27 列】24.2.381-500A諾得淨水器 |  | 1 | 5000 | 5000
【工作表 Sheet1 第 28 列】 |  |  |  | 0
【工作表 Sheet1 第 29 列】 |  |  |  | 0
【工作表 Sheet1 第 30 列】 |  |  |  | 0
【工作表 Sheet1 第 31 列】 |  |  |  | 0
【工作表 Sheet1 第 32 列】 |  |  |  | 0
【工作表 Sheet1 第 33 列】總額含不稅新台幣 | 152485 |  | 總價實收： | 152000
【工作表 Sheet1 第 34 列】經辦人：鍾康平森 |  | 交貨日期： | 年 月 日 | 
【工作表 Sheet1 第 35 列】備註：如蒙惠顧請先付訂金 五 成 |  |  |  | 
【工作表 Sheet1 第 37 列】洗碗機N+3個月請注意訂購時間。 |  |  |  | 
【工作表 Sheet1 第 38 列】152,000稅金:159600元*4套=638,400元 |  |  |  | 
【工作表 Sheet1 第 39 列】水龍頭自備(安裝廚具當日龍頭需擺放在現場,如安裝當日無龍頭,後續加裝另外收費) |  |  |  | </x:v>
      </x:c>
    </x:row>
    <x:row r="90">
      <x:c r="A90" s="69" t="str">
        <x:v>SRC085</x:v>
      </x:c>
      <x:c r="B90" s="69" t="str">
        <x:v>原文1</x:v>
      </x:c>
      <x:c r="C90" s="69" t="str">
        <x:v>xls_all_nonempty_rows</x:v>
      </x:c>
      <x:c r="D90" s="69" t="str">
        <x:v>0–2002</x:v>
      </x:c>
      <x:c r="E90" s="71" t="str">
        <x:v>【工作表 Sheet1 第 1 列】 | 曜陽廚具衛浴公司 |  | 店址：竹南鎮博愛街226號 | 
【工作表 Sheet1 第 2 列】 |  |  | 電話：(037)467740 | 
【工作表 Sheet1 第 3 列】45797 |  |  | 傳真：(037)469424 | 
【工作表 Sheet1 第 4 列】 | 估 價 單 |  |  | 
【工作表 Sheet1 第 5 列】客戶: 向上建設-B戶3樓客變 | 地址:苗栗縣後龍鎮新東路116號旁 |  |  | 電話:
【工作表 Sheet1 第 6 列】 |  |  |  | 行動電話:
【工作表 Sheet1 第 7 列】名稱 | 規格 | 數量 | 單價 | 金額
【工作表 Sheet1 第 8 列】地櫃KD木桶(S6門板) | 1000 | 1 | 7935 | 7935
【工作表 Sheet1 第 9 列】地櫃#304ST桶(S6門板) | 900 | 1 | 7041 | 7041
【工作表 Sheet1 第 10 列】地櫃#304ST桶(S6門板) | 450 | 1 | 4029 | 4029
【工作表 Sheet1 第 11 列】地櫃補板 |  | 1 | 757 | 757
【工作表 Sheet1 第 12 列】地櫃側封板 |  | 1 | 1945 | 1945
【工作表 Sheet1 第 13 列】洗碗機門板 |  | 1 | 1513 | 1513
【工作表 Sheet1 第 14 列】上櫃KD木桶(S6門板) | 840*900 | 1 | 7015 | 7015
【工作表 Sheet1 第 15 列】上櫃側封板 |  | 2 | 1135 | 2270
【工作表 Sheet1 第 16 列】櫻花DR-9786BSXL油煙機 | 煙罩100公分高 | 1 | 10800 | 10800
【工作表 Sheet1 第 17 列】櫻花G2923瓦斯爐 |  | 1 | 11500 | 11500
【工作表 Sheet1 第 18 列】石英石檯面U100系列 |  | 301 | 90 | 27090
【工作表 Sheet1 第 19 列】水槽下崁工資+石材開孔 |  | 1 | 7000 | 7000
【工作表 Sheet1 第 20 列】豪華型崁把手 |  | 625 | 10 | 6250
【工作表 Sheet1 第 21 列】SE-3670手工四方槽(無其他配件) | 67*46*21 | 1 | 7400 | 7400
【工作表 Sheet1 第 22 列】BOSCH-SMI4HAS00X半崁式洗碗機 |  | 1 | 39525 | 39525
【工作表 Sheet1 第 23 列】洗碗機安裝工資 |  | 1 | 1500 | 1500
【工作表 Sheet1 第 24 列】洗碗機踢腳板 |  | 1 | 1200 | 1200
【工作表 Sheet1 第 25 列】爐下GRASS緩衝鎂鋁高抽+一邊桿 | 1000 | 2 | 3800 | 7600
【工作表 Sheet1 第 26 列】ST小三抽(刀叉盤*1+分隔片*1) |  | 1 | 5800 | 5800
【工作表 Sheet1 第 27 列】GRASS緩衝鉸鍊 |  | 7 | 150 | 1050
【工作表 Sheet1 第 28 列】ST排水管 |  | 1 | 300 | 300
【工作表 Sheet1 第 29 列】24.2.381-500A諾得淨水器 |  | 1 | 5000 | 5000
【工作表 Sheet1 第 30 列】 |  |  |  | 0
【工作表 Sheet1 第 31 列】 |  |  |  | 0
【工作表 Sheet1 第 32 列】 |  |  |  | 0
【工作表 Sheet1 第 33 列】 |  |  |  | 0
【工作表 Sheet1 第 34 列】 |  |  |  | 0
【工作表 Sheet1 第 35 列】總額含不稅新台幣 | 164520 |  | 總價實收： | 164000
【工作表 Sheet1 第 36 列】經辦人：鍾康平森 |  | 交貨日期： | 年 月 日 | 
【工作表 Sheet1 第 37 列】備註：如蒙惠顧請先付訂金 五 成 |  |  |  | 
【工作表 Sheet1 第 39 列】洗碗機N+3個月請注意訂購時間。 |  |  |  | 
【工作表 Sheet1 第 40 列】164,000*稅金:172,200元 |  |  |  | 
【工作表 Sheet1 第 41 列】水龍頭自備(安裝廚具當日龍頭需擺放在現場,如安裝當日無龍頭,後續加裝另外收費) |  |  |  | </x:v>
      </x:c>
    </x:row>
    <x:row r="91">
      <x:c r="A91" s="69" t="str">
        <x:v>SRC089</x:v>
      </x:c>
      <x:c r="B91" s="69" t="str">
        <x:v>原文1</x:v>
      </x:c>
      <x:c r="C91" s="69" t="str">
        <x:v>markdown_fulltext</x:v>
      </x:c>
      <x:c r="D91" s="69" t="str">
        <x:v>0–6392</x:v>
      </x:c>
      <x:c r="E91" s="71" t="str">
        <x:v>立合約人：業主：向上建設(股)公司 （以下簡稱甲方）
承包商：富謙工程開發企業社（以下簡稱乙方）
茲為乙方承攬甲方工程，經雙方同意訂立合約，共同遵守，其條款如下：
## 第一條、工程名稱：
向上建設『後龍鎮龍富段泥作工程』
## 第二條、工程地點：
苗栗縣後龍鎮新東路116號旁新建工程
## 第三條、工程範圍：
一、全棟外牆泥作裝修工程、內部泥作裝修工程、雜項工程、其他依合約完工所需之一切項目。
二、乙方施工時，應以全部合約內容為憑。乙方在估價時，已先勘查工地現況，並依甲方所提供之全部合約圖說等詳細核算工料、數量並填報價格，合約簽訂後，乙方應自行負責標單項目（如附件）內所需工料，不得要求加價。
## 第四條、工程價款：
一、本工程係實作實算，如附件單價包含加值營業稅。
二、本工程總價包括完成全部工程所需之器具、工資、雜費、政府課收之稅捐(含加值營業稅)及規費等在內，簽約後將來無論工料價格上漲或其他任何原因，乙方均不得要求加價。
第五條、工程期限：
一、開工日期：
雙方同意暫以民國 113年 09 月 01 日為開工起算日。
二、完成期限：
自開工後起算四個月。
## 第六條、付款辦法：
![](images/356005ce8aacb4c24b2e63f0f9b0d58a676514eb3a44f2dfa76de561248e09ea.jpg)
一、付款方式：
二、以匯款方式匯入乙方指定帳戶如下：
玉山銀行竹南分行0440940027931
戶名：富謙工程開發企業社葉柏宏
## 三、估驗請款：
（一）預付款：於估驗請款後十個工作日內付款。
（二）階段請款：在施工期間乙方應依甲方核實估驗請款後，後
十個工作日內給付。
1. 開工後乙方依每月工程施工進度按期以書面申請估驗工程款。
2. 乙方請領工程款所用之印鑑，應與本合約所用之印鑑相符，此項工程款不得轉讓。
四、全部工程經正式驗收合格，甲方應付清總工程款，於乙方開立保固書給甲方後始予付款。
五、施工中有左列各款之一者得暫停計價：
（一）施工粗劣或錯誤或品質不合圖說經甲方要求改善，三日內未見執行者。
（二）使用材料品質窳劣或品質查核不合格經甲方要求更換，三日未見改善作業者。
（三）承包商工地負責人經甲方要求更換，一週內未見執行者。
（四）因本契約乙方所分包之協力廠商其材料或工資尚未清償情事導致糾紛者。
## 第七條、契約解釋：
一、契約或書面文件之適用優先順序：
（一）裝修工程合約主文。
（二）雙方簽認之書面或會議紀錄等文書，且應以最後簽認者為優先。
（三）特別補充條款(或補充說明)優於一般條款或原則性之規定。(解釋權歸甲方)。
二、契約或書面文件內容業經雙方協商完成，日後若有爭議時，解釋權歸甲方，乙方無異議。
## 第八條、工程保管：
本合約內已完成之工程及到場之材料，在全部工程未經驗收合格並點交以前，均由乙方負責保管，倘有損壞短少，應由乙方負責修復或補足，並負擔其一切費用。
## 第九條、工程變更：
一、甲方對於本工程有權隨時變更或追加、追減工程內容或數量，乙方接到變更通知，應即照辦，不得異議，但甲方得述明理由以減項方式收回自辦或另行發包他人施作之金額以不超過承攬總價百分之十為上限。
二、乙方認為有變更需求時應以書面函送甲方，經甲方書面同意後方得為之。雙方同意變更或追加、追減部分，視為原合約之一部分，其增減費用依變更內容及原合約單價計算，如屬新增項目，則另由雙方協議之，惟因工程變更，非屬工程必不得要求追加工期。
三、甲方向乙方提出變更設計之通知時，亦得要求乙方按變更設計之內容立即施作，乙方不得以變更之價差、工期尚未議妥等任何理由加以推拒或停工，否則日後甲方權益若因而受損，概由乙方負責賠償，甲方亦得逕行僱工代為施作，日後再行追究乙方責任。
## 第十條、工地管理：
一、乙方須工程管理人員常駐工地，負責施工監督及施工人員管理，乙方工地負責人非經甲方同意，不得擅自調離工地，倘甲方認為乙方工地負責人或工程管理人員不克勝任或有重大違紀時得通知乙方撤換之，乙方不得拒絕亦不得藉故向甲方要求賠償損失。
二、施工期間物料應依類別堆放整齊，不可零亂，倘未能維護工地環境清潔，且經甲方反應而未能立即改善者，甲方得逕行僱工處理，其所發生之費用概由乙方負擔，並每次罰款壹萬元，至改善為止。工程全部竣工後，乙方應負責將餘廢料處理乾淨。對於垃圾廢物未能依規定處理或改善完成，其工程款暫停估驗給付。
三、乙方負責本案所有小包、工人之管理及給養，如有規外行動或觸犯法令所引起之糾葛概由乙方負完全責任，如工人遇有意外或傷亡情事，概由乙方自行處理，與甲方無涉。工程期間致生對第三人應負賠償責任者亦悉由乙方自行負擔。
## 第十一條、初步驗收：
一、依合約工程全部工作項目均已完工，乙方應檢附照片提出驗收申請。甲方需於七日內驗收相關事宜，驗收如發現工程與圖說規定之品質不符，乙方應在十五個日曆天工期內修改或拆除重做完成報請驗收，否則應依合約規定逾期罰款辦法賠償損失外，甲方並得動用乙方未領之工程款自行修正。驗收工程所需之工人、工具及梯架等概由乙方供給之。
二、工程驗收時，驗收人員認為有挖開或拆除一部分工程以作檢驗之必要時，乙方不得推諉，並應於事後負責修復，乙方拒不修復者，甲方得代為行之，其所花費用由乙方負擔，並得從乙方應請款項中扣抵之。
三、全部工程完工之初驗及複驗，以一次為限。乙方應在雙方協議期限內修繕完成，否則自複驗之次日起計算至驗收合格之日止，均以逾期處理，乙方不得異議。
## 第十二條、正式驗收：
一、如非乙方因素，在甲方複驗完成，且點交完成後10日曆天內接管，並視為正式驗收合格。
二、正式驗收應以書面為之，如有檢修事項，乙方應儘速修妥，並經甲方簽章，以示正式驗收完成。
## 第十三條、逾期罰款：
一、工程依合約第五條所訂定之工程控制階段完成時間為準，每階段如逾期則停止該期估驗計價，並依合約工程總價款，每日罰款千分之一，但如該逾期之工程於下期追回時，則不予罰款並恢復計價。有關逾期日數之認定需扣除工期展延日數。
二、工程全部完工，並於甲方認定完工後，按總工期逾期日數，每日罰款工程合約總價之千分之一之款項，甲方得於乙方未領之工程款內扣除。
## 三、本約有關乙方罰款之稅務處理，應依相關稅法之規定辦理。第十四條、工程保固：
一、本工程自全部竣工且經甲方正式驗收點交合格日起，裝修及設備由乙方保固二年。
二、在保固期限內，倘工程產生瑕疵，經查明係由施工不良、材料不佳或乙方過失所致者，乙方應於文到三日內應派員無條件進行修復，修繕部份將另行起算保固期。逾期甲方得直接另行招商修繕，其費用由乙方負擔，並另加計三倍費用之罰款。
三、但因甲方自行變更裝修施工所致結構損害或天災不可抗力或不可歸責乙方(乙方須報告舉證並經甲方同意)之事由而發生之損毀，乙方不負保固責任。
## 第十五條、解除(終止)合約：
一、因甲方之需要而終止契約：
因法院或政府機構依法或以行政命令下達停工命令而期間達三十日以上時，或甲方有事實上之需要時，甲方得終止本契約，一經通知，乙方應即停工，甲方除應驗收乙方已完成工程及進場合格器材，按契約數量及單價計付乙方外，並應與乙方協議善後辦法。在終止契約後，乙方對已完工程仍應承擔本契約規定之責任與義務。
## 二、因乙方之過失而終止契約：
如乙方有下列違約行為，經甲方通知限期改善，而乙方在十日內仍未辦妥時，或乙方破產，進行清算或其他情況，甲方認為乙方已喪失履行契約之能力時，甲方得不經催告或任何法律程序，就本工程之一部分或全部終止契約。
（一）在本工程未全部完工前，無故停工達五日以上者。
（二）實際施工進度落後預定進度達三十日，顯然不能如期完工者。
（三）未遵守本契約規定。
（四）乙方私將全部工程轉讓他人承包或借用他人營業執照冒名承包，經甲方查明屬實。
上述終止本契約之通知送達後，乙方應即將部分工程停工，負責遣散工人，將有關之機具設備及到場合格器材等，就地點交甲方使用，乙方並應負責一切已完工程至甲方接管
為止。上述器材至甲方不再需要時，甲方得通知乙方限期清理，如乙方逾期未照辦，甲方得予以變賣並遷出工地，將變賣所得扣除一切必要費用後退還乙方，甲方不負責任何損害或損失。
三、因甲方之過失而終止契約：
如甲方有下列情事時，乙方得終止本契約：
（一）甲方未能按預定進度提供工程基地或非因乙方之過失且非因政令或不可抗力之因素而甲方要求停工達三十日以上。
（二）本契約依本項規定而終止時，甲方除應計付乙方已完成工作及到場合格器材價款外，並應補償乙方因終止本契約而遭受之一切損失（包括：員工遣散費、機器設備及未收購器材拆除費等），但乙方對本工程之預期利潤或乙方因履行本契約而放棄之代替工作獲利機會等之損失，不得作為終止本契約之損失論。
## 第十六條、合約期間：
本合約及其附件自簽訂之日起生效，至保固期滿且雙方結清債權之日為有效期限。
## 第十七條、合約附件：
本合約作成正本一式二份，雙方各執乙份(印花自貼)。本合約附件計第十八條、爭訟：
雙方有爭議無法解決時，雙方同意以台灣苗栗地方法院為第一審管轄法院。
## 立合約人
甲方：向上建設(股)公司向
負責人：陳冠偉、沈建宏有建
地址：苗栗縣竹南鎮康德街71號
電話：(037)775355
統一編號：90057101
乙方：富謙工程開發企業社
負責人：董 杨
![](images/5184fae40f0bf8788a56abc0ea077ff83a62751175b0166b81a065f7937e1f48.jpg)
電話：0900190071
![](images/93fd428c3dd20aabec5541fa51570b7d931e8d02850aef263cff23096aa89420.jpg)
統一編號：87221368.
中華民國113年09月01日訂立
## 保固保證書
立保固書人：\_\_\_\_ 承攬 向上建設(股)公司
下列工程：
工地名稱：後龍鎮龍富段泥作工程
工地地址：苗栗縣後龍鎮新東路116號旁
因本合約業已交貨並全部驗收完成，立保固書人特依上開合約之保固約定，開立本保固保證書，保證內容如下：
一、保固期間：
自民國 年 月 日至民國 年 月 日止，
保固期共 年 個月。
二、立保固書人保證就上開產品於保固期內除不可抗拒之天災或人為刻意破壞外，有損壞、坍塌、崩裂、..或其他瑕疵情事，保固人願意無償負責修復或更新。
三、如因產品或材料瑕疵造成其他人員或財產之損失，立保固書人並願負責，絕無異議。
此致
向上建設(股)公司
立保固書人：
負責人：
地址：
統一 編號：
電話：
連絡人：
中華民國年月日
## 工程預算書
程名稱：向上龍富段新建工程
&lt;table&gt;&lt;tr&gt;&lt;td&gt;頁次&lt;/td&gt;&lt;td&gt;名稱及規格&lt;/td&gt;&lt;td&gt;單位&lt;/td&gt;&lt;td&gt;數量&lt;/td&gt;&lt;td&gt;單價&lt;/td&gt;&lt;td&gt;總價&lt;/td&gt;&lt;td&gt;備註&lt;/td&gt;&lt;/tr&gt;&lt;tr&gt;&lt;td&gt;壹、&lt;/td&gt;&lt;td&gt;泥作、裝修工程&lt;/td&gt;&lt;td&gt;&lt;/td&gt;&lt;td&gt;&lt;/td&gt;&lt;td&gt;&lt;/td&gt;&lt;td&gt;&lt;/td&gt;&lt;td&gt;&lt;/td&gt;&lt;/tr&gt;&lt;tr&gt;&lt;td&gt;1&lt;/td&gt;&lt;td&gt;外部1:2水泥砂漿粉光(1~2F外牆+露標露柱)&lt;/td&gt;&lt;td&gt;M2&lt;/td&gt;&lt;td&gt;1,161&lt;/td&gt;&lt;td&gt;680&lt;/td&gt;&lt;td&gt;&lt;/td&gt;&lt;td&gt;含吊料&lt;/td&gt;&lt;/tr&gt;&lt;tr&gt;&lt;td&gt;2&lt;/td&gt;&lt;td&gt;內部1:2水泥砂漿粉光&lt;/td&gt;&lt;td&gt;M2&lt;/td&gt;&lt;td&gt;5,315&lt;/td&gt;&lt;td&gt;480&lt;/td&gt;&lt;td&gt;&lt;/td&gt;&lt;td&gt;含黏條子、吊料&lt;/td&gt;&lt;/tr&gt;&lt;tr&gt;&lt;td&gt;3&lt;/td&gt;&lt;td&gt;砌磚工程&lt;/td&gt;&lt;td&gt;M2&lt;/td&gt;&lt;td&gt;743&lt;/td&gt;&lt;td&gt;600&lt;/td&gt;&lt;td&gt;&lt;/td&gt;&lt;td&gt;不含材料、含吊料&lt;/td&gt;&lt;/tr&gt;&lt;tr&gt;&lt;td&gt;4&lt;/td&gt;&lt;td&gt;外部1:3水泥砂漿粗底粉刷(1~RF)&lt;/td&gt;&lt;td&gt;M2&lt;/td&gt;&lt;td&gt;1,643&lt;/td&gt;&lt;td&gt;500&lt;/td&gt;&lt;td&gt;&lt;/td&gt;&lt;td&gt;含黏條子&lt;/td&gt;&lt;/tr&gt;&lt;tr&gt;&lt;td&gt;5&lt;/td&gt;&lt;td&gt;2至7F地坪地磚(梯間)&lt;/td&gt;&lt;td&gt;M2&lt;/td&gt;&lt;td&gt;30&lt;/td&gt;&lt;td&gt;500&lt;/td&gt;&lt;td&gt;&lt;/td&gt;&lt;td&gt;含吊料&lt;/td&gt;&lt;/tr&gt;&lt;tr&gt;&lt;td&gt;6&lt;/td&gt;&lt;td&gt;2至7F地坪打底&lt;/td&gt;&lt;td&gt;M2&lt;/td&gt;&lt;td&gt;670&lt;/td&gt;&lt;td&gt;400&lt;/td&gt;&lt;td&gt;&lt;/td&gt;&lt;td&gt;含吊料&lt;/td&gt;&lt;/tr&gt;&lt;tr&gt;&lt;td&gt;7&lt;/td&gt;&lt;td&gt;陽台、浴室地坪地磚&lt;/td&gt;&lt;td&gt;處&lt;/td&gt;&lt;td&gt;50&lt;/td&gt;&lt;td&gt;4,000&lt;/td&gt;&lt;td&gt;&lt;/td&gt;&lt;td&gt;浴室22間;陽台28間&lt;/td&gt;&lt;/tr&gt;&lt;tr&gt;&lt;td&gt;8&lt;/td&gt;&lt;td&gt;內牆水泥漆,一底二度&lt;/td&gt;&lt;td&gt;M2&lt;/td&gt;&lt;td&gt;5,315&lt;/td&gt;&lt;td&gt;150&lt;/td&gt;&lt;td&gt;&lt;/td&gt;&lt;td&gt;不含門窗框矽利康收邊&lt;/td&gt;&lt;/tr&gt;&lt;tr&gt;&lt;td&gt;9&lt;/td&gt;&lt;td&gt;平頂批土刷水泥漆&lt;/td&gt;&lt;td&gt;M2&lt;/td&gt;&lt;td&gt;1,240&lt;/td&gt;&lt;td&gt;250&lt;/td&gt;&lt;td&gt;&lt;/td&gt;&lt;td&gt;&lt;/td&gt;&lt;/tr&gt;&lt;tr&gt;&lt;td&gt;10&lt;/td&gt;&lt;td&gt;樓梯粉刷打底+整體樓梯磚&lt;/td&gt;&lt;td&gt;座&lt;/td&gt;&lt;td&gt;8&lt;/td&gt;&lt;td&gt;16,000&lt;/td&gt;&lt;td&gt;&lt;/td&gt;&lt;td&gt;含吊料,不含加工水切費用&lt;/td&gt;&lt;/tr&gt;&lt;tr&gt;&lt;td&gt;11&lt;/td&gt;&lt;td&gt;露臺地磚&lt;/td&gt;&lt;td&gt;M2&lt;/td&gt;&lt;td&gt;146&lt;/td&gt;&lt;td&gt;500&lt;/td&gt;&lt;td&gt;&lt;/td&gt;&lt;td&gt;不含PS隔熱板+鐵焊鋼絲網&lt;/td&gt;&lt;/tr&gt;&lt;tr&gt;&lt;td&gt;&lt;/td&gt;&lt;td&gt;小計&lt;/td&gt;&lt;td&gt;&lt;/td&gt;&lt;td&gt;&lt;/td&gt;&lt;td&gt;&lt;/td&gt;&lt;td&gt;&lt;/td&gt;&lt;td&gt;&lt;/td&gt;&lt;/tr&gt;&lt;tr&gt;&lt;td&gt;&lt;/td&gt;&lt;td&gt;&lt;/td&gt;&lt;td&gt;&lt;/td&gt;&lt;td&gt;&lt;/td&gt;&lt;td&gt;&lt;/td&gt;&lt;td&gt;&lt;/td&gt;&lt;td&gt;&lt;/td&gt;&lt;/tr&gt;&lt;tr&gt;&lt;td&gt;貳、&lt;/td&gt;&lt;td&gt;防水工程&lt;/td&gt;&lt;td&gt;&lt;/td&gt;&lt;td&gt;&lt;/td&gt;&lt;td&gt;&lt;/td&gt;&lt;td&gt;&lt;/td&gt;&lt;td&gt;&lt;/td&gt;&lt;/tr&gt;&lt;tr&gt;&lt;td&gt;1&lt;/td&gt;&lt;td&gt;外牆防水,一底二度(彈泥)&lt;/td&gt;&lt;td&gt;M2&lt;/td&gt;&lt;td&gt;1,643&lt;/td&gt;&lt;td&gt;220&lt;/td&gt;&lt;td&gt;實作實算&lt;/td&gt;&lt;td&gt;含浴室牆面&lt;/td&gt;&lt;/tr&gt;&lt;tr&gt;&lt;td&gt;2&lt;/td&gt;&lt;td&gt;露臺、陽台、浴室、屋頂、地面、全面貼六角網含保護層&lt;/td&gt;&lt;td&gt;M2&lt;/td&gt;&lt;td&gt;214&lt;/td&gt;&lt;td&gt;550&lt;/td&gt;&lt;td&gt;實作實算&lt;/td&gt;&lt;td&gt;&lt;/td&gt;&lt;/tr&gt;&lt;tr&gt;&lt;td&gt;3&lt;/td&gt;&lt;td&gt;L角貼六角網&lt;/td&gt;&lt;td&gt;慶&lt;/td&gt;&lt;td&gt;230&lt;/td&gt;&lt;td&gt;200&lt;/td&gt;&lt;td&gt;實作實算&lt;/td&gt;&lt;td&gt;&lt;/td&gt;&lt;/tr&gt;&lt;tr&gt;&lt;td colspan="7"&gt;以上單價含稅&lt;/td&gt;&lt;/tr&gt;&lt;/table&gt;
</x:v>
      </x:c>
    </x:row>
    <x:row r="92">
      <x:c r="A92" s="69" t="str">
        <x:v>SRC087</x:v>
      </x:c>
      <x:c r="B92" s="69" t="str">
        <x:v>原文1</x:v>
      </x:c>
      <x:c r="C92" s="69" t="str">
        <x:v>markdown_fulltext</x:v>
      </x:c>
      <x:c r="D92" s="69" t="str">
        <x:v>0–8000</x:v>
      </x:c>
      <x:c r="E92" s="71" t="str">
        <x:v>![](images/8f4ea65b2e993b7041d610d94644e7f20efff6dedc8ddf17c05b38b15c868a5e.jpg)
## 合 約 書
![](images/3be57a37cd889c192a6894e7d4eab96f51da21170f56eedd11affe8077aaa1f1.jpg)
立合約書人：向上建設股份有限公司(以下簡稱甲方)茲委由崇友實業股份有限公司新竹分公司(以下簡稱乙方)安裝升降設備，經雙方同意訂定本合約，條款如下：
第一條：安裝承攬機件名稱、規格、數量：（如附件一）。
第二條：安裝地點及建築物名稱：苗栗縣後龍鎮新東路116號旁
(工地名稱:向上龍富段公寓新建工程)
第三條：安裝承攬報酬總額新台幣參拾捌萬壹仟元整(含加值型營業稅)。
![](images/163bbc3b2b10f42bb99f2b645ecda9873c69120f5ddafe8d0d031966a2b15289.jpg)
四條：付款辦法（以下各期金額均含加值型營業稅）：
1、安裝完成時給付新台幣貳拾伍萬肆仟元整（票期30天）。
2、交車驗收完成時給付，新台幣壹拾貳萬柒仟元整（票期30天）。
3、若升降設備安裝完成之日起，逾六個月甲方仍無法供電試車時，則甲方應付清報酬總額全部餘款。
4、升降設備有兩部以上，如因故不能同時驗收時，甲方應按台數及單價先付清已安裝完畢，或驗收完成之承攬報酬款。
![](images/9e0a6ce3f754a924dd3c80eff7b972d5fd2502506ef15381accfb61be5485d66.jpg)
5、經乙方通知驗收，甲方無法配合辦理，逾45天者應付清全部報酬額。上項款以甲方帳戶支票給付，票上記載指定受款人為乙方；如以第三人為發票人之支票交付，須由甲方以合約之印章背書簽章或交付甲方之連帶保證人支票。
## 第五條：完工期限：
1、乙方收到升降設備買賣合約之貨抵工地款支票後，甲方應於實際出貨日期前五日將裝設升降設備之大樓升降道清理，及底坑防水處理完成，依雙方協議日期進場安裝，每台45天安裝完成。但甲方應配合完成附件三所示之各項除外工程，否則工期順延。
2、若因天災、戰事、罷工、怠工、暴動或政府政令改變及非人力所能控制之狀況而延誤完工期限，亦得順延之。
![](images/52497641cbf9352187c0e0949eba9b0980b99efffa83e43b09af6c639e594836.jpg)
## 第六條：驗收：
1、乙方試車完成後，甲方須配合檢附建物使用執照掛件文號及其他竣工檢查相關資料，以利乙方代甲方或甲方業主向主管機關或檢查機構申請昇降設備竣工檢查。
2、甲方瞭解依建築法第77-4條及建築物昇降設備設置及管理辦法第3條之規定，建築物昇降設備未經竣工檢查合格及取得使用許可證，不得使用。若甲方在電梯取得竣工檢查合格函後欲提前使用電梯，則須付清並兌現該號機電梯買賣合約之貨抵工地款。
3、甲方應於昇降設備竣工檢查合格及取得使用許可證後與乙方辦理驗收。
4、若建管機關檢送昇降設備使用許可證予甲方已逾一個月，但甲方仍未與乙方辦理驗收，則視同甲方已完成驗收，甲方應付清本合約第四條餘款。
## 第七條：保固：
1、升降設備經甲方驗收之日起，由乙方負責保固保養12個月。
2、保固期間倘若機件故障或損壞，是因乙方之機件或安裝不良所致者，由乙方負責免費修護，如係消耗品或因甲方使用不當，或其它非乙方之因素而發生者，乙方得向甲方酌收材料成本費。
## 第八條：除外工程：
1、附件三所列各項工程，不包括於本合約範圍內，由甲方負責於升降設備安裝工程前，配合辦理完成。
## 第九條：附則：
1、標準施工以外，甲方如另有要求增加施工項目時，應另行約定報酬。
2、雙方同意本約如因涉訟，以新竹地方法院第一審為管轄法院。
## 第十條：合約之份數及生效日：
本合約共訂正本二份，甲乙雙方各執正本一份（印花執主自貼），於雙方最後用印日起生效。
![](images/9551dd79c2661facf5c2c27d3a8d3c64a1d4b9ffc0857aa8c9cfc476f69755f5.jpg)
立安裝承攬合約人：
甲方：向上建設股份有限公司
負 責 人: 陳冠偉
![](images/59fd847566ef34d886357943ac27ee5362e1bfd5f76a2349be32519f2915c24a.jpg)
地址：苗栗縣竹南鎮中港里中正路423號
統一編號：90057101
電話：037-775355
用印日期： 年 月 日
甲方連帶保證人：
負責
![](images/3820d5cb1bd9168480da4c27c4c7860559a8f9986e275275e5890e56ad85f01c.jpg)
身份證字號：
![](images/90944966085a2beca951f751f03536dc79ca70940fe1e1e7843ed8042b7066e1.jpg)
![](images/a65811b3adb3c22a6a44b256a2dc574b6a95b90f2c0c8bf7074ad4e0ff7d8c34.jpg)
電話：
用印日期： 年 月 日
乙方：崇友實業股份有限公司新竹分公司
負責人：林鴻鵬
地址：新竹市林森路182巷6號
統一編號：23988458
電話：03-5235800
![](images/c2311f776028aa19d3e7d76e4e64dd3962285fe966a8d8c348163c6b1ef2f1de.jpg)
用印日期： 年 月 日
![](images/f6429210275365320a5cd5dd45586f8d6ebd585c5480a23f48f152be2c47b79e.jpg)
升降機標準規格表
&lt;table&gt;&lt;tr&gt;&lt;td colspan="2"&gt;型 式&lt;/td&gt;&lt;td colspan="2"&gt;SR9-2S90-8S&lt;/td&gt;&lt;td colspan="2"&gt;聯動情形&lt;/td&gt;&lt;td&gt;1CAR&lt;/td&gt;&lt;td&gt;台數&lt;/td&gt;&lt;td&gt;1台&lt;/td&gt;&lt;/tr&gt;&lt;tr&gt;&lt;td colspan="2"&gt;用途&lt;/td&gt;&lt;td colspan="2"&gt;客用兼行動不使用&lt;/td&gt;&lt;td colspan="2"&gt;控制方式&lt;/td&gt;&lt;td colspan="3"&gt;VVVF&lt;/td&gt;&lt;/tr&gt;&lt;tr&gt;&lt;td colspan="2"&gt;操作方式&lt;/td&gt;&lt;td colspan="2"&gt;全自動&lt;/td&gt;&lt;td colspan="2"&gt;車廂型式&lt;/td&gt;&lt;td colspan="3"&gt;&lt;/td&gt;&lt;/tr&gt;&lt;tr&gt;&lt;td colspan="2"&gt;載重量&lt;/td&gt;&lt;td colspan="2"&gt;600 KG 9 人份&lt;/td&gt;&lt;td colspan="2"&gt;速度&lt;/td&gt;&lt;td colspan="3"&gt;每分鐘 90 公尺/分&lt;/td&gt;&lt;/tr&gt;&lt;tr&gt;&lt;td colspan="2"&gt;建築物層數&lt;/td&gt;&lt;td colspan="2"&gt;8層(1F-7F,RF)&lt;/td&gt;&lt;td colspan="2"&gt;停止層數&lt;/td&gt;&lt;td colspan="3"&gt;8停(1F-7F,RF)&lt;/td&gt;&lt;/tr&gt;&lt;tr&gt;&lt;td colspan="2"&gt;揚程總高&lt;/td&gt;&lt;td colspan="2"&gt;公尺&lt;/td&gt;&lt;td colspan="2"&gt;底坑深度&lt;/td&gt;&lt;td colspan="3"&gt;1.85 公尺&lt;/td&gt;&lt;/tr&gt;&lt;tr&gt;&lt;td colspan="2"&gt;頂 高&lt;/td&gt;&lt;td colspan="2"&gt;4.35 公尺&lt;/td&gt;&lt;td colspan="2"&gt;機械室位置&lt;/td&gt;&lt;td colspan="3"&gt;昇降路直上方&lt;/td&gt;&lt;/tr&gt;&lt;tr&gt;&lt;td rowspan="2" colspan="2"&gt;昇降路尺寸&lt;/td&gt;&lt;td colspan="2"&gt;內部淨寬 1750 公釐&lt;/td&gt;&lt;td rowspan="2" colspan="2"&gt;使用電源&lt;/td&gt;&lt;td colspan="3"&gt;動力用三相 380/220 V60週&lt;/td&gt;&lt;/tr&gt;&lt;tr&gt;&lt;td colspan="2"&gt;內部淨深 1900 公釐&lt;/td&gt;&lt;td colspan="3"&gt;照明用單相 220/110 V60週&lt;/td&gt;&lt;/tr&gt;&lt;tr&gt;&lt;td colspan="2"&gt;車廂尺寸&lt;/td&gt;&lt;td colspan="2"&gt;淨 寬 1100 公釐淨 深 1400 公釐淨 高 2300 公釐&lt;/td&gt;&lt;td colspan="5"&gt;出入口淨 寬 900 公釐淨 高 2100 公釐&lt;/td&gt;&lt;/tr&gt;&lt;tr&gt;&lt;td colspan="2"&gt;車門型式&lt;/td&gt;&lt;td colspan="7"&gt;單邊開門兩扇式、標準裝飾、電動自動開閉式&lt;/td&gt;&lt;/tr&gt;&lt;tr&gt;&lt;td colspan="2"&gt;車內指示盤&lt;/td&gt;&lt;td colspan="2"&gt;橫式標準指示板&lt;/td&gt;&lt;td colspan="2"&gt;車內操作盤&lt;/td&gt;&lt;td colspan="3"&gt;標準式立式自動操作盤&lt;/td&gt;&lt;/tr&gt;&lt;tr&gt;&lt;td colspan="2"&gt;出入口操作&lt;/td&gt;&lt;td colspan="2"&gt;標準按鈕盤&lt;/td&gt;&lt;td colspan="2"&gt;出入口指示&lt;/td&gt;&lt;td colspan="3"&gt;標準立式指示盤&lt;/td&gt;&lt;/tr&gt;&lt;tr&gt;&lt;td colspan="2"&gt;附件&lt;/td&gt;&lt;td colspan="7"&gt;電扇 日光燈 緊急鈕 對講機&lt;/td&gt;&lt;/tr&gt;&lt;tr&gt;&lt;td rowspan="4"&gt;顏色選定&lt;/td&gt;&lt;td colspan="2"&gt;品名&lt;/td&gt;&lt;td colspan="2"&gt;顏色樣本號碼&lt;/td&gt;&lt;td colspan="2"&gt;品名&lt;/td&gt;&lt;td colspan="2"&gt;顏色樣本號碼&lt;/td&gt;&lt;/tr&gt;&lt;tr&gt;&lt;td colspan="2"&gt;門框&lt;/td&gt;&lt;td colspan="2"&gt;&lt;/td&gt;&lt;td colspan="2"&gt;內門&lt;/td&gt;&lt;td colspan="2"&gt;&lt;/td&gt;&lt;/tr&gt;&lt;tr&gt;&lt;td colspan="2"&gt;外門&lt;/td&gt;&lt;td colspan="2"&gt;&lt;/td&gt;&lt;td colspan="2"&gt;地板&lt;/td&gt;&lt;td colspan="2"&gt;&lt;/td&gt;&lt;/tr&gt;&lt;tr&gt;&lt;td colspan="2"&gt;車廂周圍(壁)&lt;/td&gt;&lt;td colspan="2"&gt;&lt;/td&gt;&lt;td colspan="2"&gt;備註&lt;/td&gt;&lt;td colspan="2"&gt;&lt;/td&gt;&lt;/tr&gt;&lt;tr&gt;&lt;td colspan="9"&gt;附註:1.全樓為寬斜型不銹鋼髮紋材質門框。2.全樓乘場門扇為彩妝鋼板材質製成。(色樣另選)3.車廂前側板為不鏽鋼材質,車廂內門及三側壁板為彩妝鋼板材質。(色樣另選)4.車廂地板為PVC塑膠材質地磚製成(色樣另選),或甲方自貼石材,乙方配合預留鋪設尺寸。5.附行動不便設備:專用車廂主操作盤、專用乘場按鈕盤、盲人點字板、圓管型不銹鋼扶手貳支、自動水平修正功能、樓層浮凸標示、語音合成器、紅外線光幕、半身明鏡壹面。★各樓乘場之無障礙引導標誌屬甲方工程(升降機設有點字板之呼叫按鈕前方300mm處之地板,應作300mm*600mm之不同材質處理)。6.乙方配合CCTV拉線工程(甲方提供設備及線材)。7.附停電復歸就近樓層裝置。&lt;/td&gt;&lt;/tr&gt;&lt;/table&gt;
![](images/e71e6df11ed84b774d991e1886d7f0c167f6b492b2375a1ffac8b61e05ad5995.jpg)
&lt;table&gt;&lt;tr&gt;&lt;td&gt;機號&lt;/td&gt;&lt;td&gt;機種&lt;/td&gt;&lt;td&gt;規格&lt;/td&gt;&lt;td&gt;單價&lt;/td&gt;&lt;td&gt;台數&lt;/td&gt;&lt;td&gt;總價&lt;/td&gt;&lt;td&gt;備註&lt;/td&gt;&lt;/tr&gt;&lt;tr&gt;&lt;td&gt;1&lt;/td&gt;&lt;td&gt;VVVF&lt;/td&gt;&lt;td&gt;SR9-2S90-8S&lt;/td&gt;&lt;td&gt;$381,000&lt;/td&gt;&lt;td&gt;1&lt;/td&gt;&lt;td&gt;$381,000&lt;/td&gt;&lt;td&gt;兼行動不便用&lt;/td&gt;&lt;/tr&gt;&lt;tr&gt;&lt;td&gt;2&lt;/td&gt;&lt;td&gt;&lt;/td&gt;&lt;td&gt;&lt;/td&gt;&lt;td&gt;&lt;/td&gt;&lt;td&gt;&lt;/td&gt;&lt;td&gt;&lt;/td&gt;&lt;td&gt;&lt;/td&gt;&lt;/tr&gt;&lt;tr&gt;&lt;td&gt;3&lt;/td&gt;&lt;td&gt;&lt;/td&gt;&lt;td&gt;&lt;/td&gt;&lt;td&gt;&lt;/td&gt;&lt;td&gt;&lt;/td&gt;&lt;td&gt;&lt;/td&gt;&lt;td&gt;&lt;/td&gt;&lt;/tr&gt;&lt;tr&gt;&lt;td&gt;4&lt;/td&gt;&lt;td&gt;&lt;/td&gt;&lt;td&gt;&lt;/td&gt;&lt;td&gt;&lt;/td&gt;&lt;td&gt;&lt;/td&gt;&lt;td&gt;&lt;/td&gt;&lt;td&gt;&lt;/td&gt;&lt;/tr&gt;&lt;tr&gt;&lt;td&gt;5&lt;/td&gt;&lt;td&gt;&lt;/td&gt;&lt;td&gt;&lt;/td&gt;&lt;td&gt;&lt;/td&gt;&lt;td&gt;&lt;/td&gt;&lt;td&gt;&lt;/td&gt;&lt;td&gt;&lt;/td&gt;&lt;/tr&gt;&lt;tr&gt;&lt;td&gt;6&lt;/td&gt;&lt;td&gt;&lt;/td&gt;&lt;td&gt;&lt;/td&gt;&lt;td&gt;&lt;/td&gt;&lt;td&gt;&lt;/td&gt;&lt;td&gt;&lt;/td&gt;&lt;td&gt;&lt;/td&gt;&lt;/tr&gt;&lt;tr&gt;&lt;td&gt;7&lt;/td&gt;&lt;td&gt;&lt;/td&gt;&lt;td&gt;&lt;/td&gt;&lt;td&gt;&lt;/td&gt;&lt;td&gt;&lt;/td&gt;&lt;td&gt;&lt;/td&gt;&lt;td&gt;&lt;/td&gt;&lt;/tr&gt;&lt;tr&gt;&lt;td&gt;8&lt;/td&gt;&lt;td&gt;&lt;/td&gt;&lt;td&gt;&lt;/td&gt;&lt;td rowspan="4"&gt;&lt;img src="images/fcaa56a53656f5401212f7261d04f117d03ce8a8740e1dd8debb26a48cde513b.jpg"/&gt;&lt;/td&gt;&lt;td&gt;&lt;/td&gt;&lt;td&gt;&lt;/td&gt;&lt;td&gt;&lt;/td&gt;&lt;/tr&gt;&lt;tr&gt;&lt;td&gt;9&lt;/td&gt;&lt;td&gt;&lt;/td&gt;&lt;td&gt;&lt;/td&gt;&lt;td&gt;&lt;/td&gt;&lt;td&gt;&lt;/td&gt;&lt;td&gt;&lt;/td&gt;&lt;/tr&gt;&lt;tr&gt;&lt;td&gt;10&lt;/td&gt;&lt;td&gt;&lt;/td&gt;&lt;td&gt;&lt;/td&gt;&lt;td&gt;&lt;/td&gt;&lt;td&gt;&lt;/td&gt;&lt;td&gt;&lt;/td&gt;&lt;/tr&gt;&lt;tr&gt;&lt;td&gt;11&lt;/td&gt;&lt;td&gt;&lt;/td&gt;&lt;td&gt;&lt;/td&gt;&lt;td&gt;&lt;/td&gt;&lt;td&gt;&lt;/td&gt;&lt;td&gt;&lt;/td&gt;&lt;/tr&gt;&lt;tr&gt;&lt;td&gt;12&lt;/td&gt;&lt;td&gt;&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lt;/td&gt;&lt;td&gt;&lt;/td&gt;&lt;td&gt;&lt;/td&gt;&lt;td&gt;&lt;/td&gt;&lt;td&gt;&lt;/td&gt;&lt;td&gt;&lt;/td&gt;&lt;/tr&gt;&lt;tr&gt;&lt;td&gt;16&lt;/td&gt;&lt;td&gt;&lt;/td&gt;&lt;td&gt;&lt;/td&gt;&lt;td&gt;&lt;/td&gt;&lt;td&gt;&lt;/td&gt;&lt;td&gt;&lt;/td&gt;&lt;td&gt;&lt;/td&gt;&lt;/tr&gt;&lt;tr&gt;&lt;td&gt;17&lt;/td&gt;&lt;td&gt;&lt;/td&gt;&lt;td&gt;&lt;/td&gt;&lt;td&gt;&lt;/td&gt;&lt;td&gt;&lt;/td&gt;&lt;td&gt;&lt;/td&gt;&lt;td&gt;&lt;/td&gt;&lt;/tr&gt;&lt;tr&gt;&lt;td&gt;18&lt;/td&gt;&lt;td&gt;&lt;/td&gt;&lt;td&gt;&lt;/td&gt;&lt;td&gt;&lt;/td&gt;&lt;td&gt;&lt;/td&gt;&lt;td&gt;&lt;/td&gt;&lt;td&gt;&lt;/td&gt;&lt;/tr&gt;&lt;tr&gt;&lt;td&gt;19&lt;/td&gt;&lt;td&gt;&lt;/td&gt;&lt;td&gt;&lt;/td&gt;&lt;td&gt;&lt;/td&gt;&lt;td&gt;&lt;/td&gt;&lt;td&gt;&lt;/td&gt;&lt;td&gt;&lt;/td&gt;&lt;/tr&gt;&lt;tr&gt;&lt;td&gt;20&lt;/td&gt;&lt;td&gt;&lt;/td&gt;&lt;td&gt;&lt;/td&gt;&lt;td&gt;&lt;/td&gt;&lt;td&gt;&lt;/td&gt;&lt;td&gt;&lt;/td&gt;&lt;td&gt;&lt;/td&gt;&lt;/tr&gt;&lt;tr&gt;&lt;td&gt;21&lt;/td&gt;&lt;td&gt;&lt;/td&gt;&lt;td&gt;&lt;/td&gt;&lt;td&gt;&lt;/td&gt;&lt;td&gt;&lt;/td&gt;&lt;td&gt;&lt;/td&gt;&lt;td&gt;&lt;/td&gt;&lt;/tr&gt;&lt;tr&gt;&lt;td&gt;22&lt;/td&gt;&lt;td&gt;&lt;/td&gt;&lt;td&gt;&lt;/td&gt;&lt;td&gt;&lt;/td&gt;&lt;td&gt;&lt;/td&gt;&lt;td&gt;&lt;/td&gt;&lt;td&gt;&lt;/td&gt;&lt;/tr&gt;&lt;tr&gt;&lt;td&gt;23&lt;/td&gt;&lt;td&gt;&lt;/td&gt;&lt;td&gt;&lt;/td&gt;&lt;td&gt;&lt;/td&gt;&lt;td&gt;&lt;/td&gt;&lt;td&gt;&lt;/td&gt;&lt;td&gt;&lt;/td&gt;&lt;/tr&gt;&lt;tr&gt;&lt;td&gt;24&lt;/td&gt;&lt;td&gt;&lt;/td&gt;&lt;td&gt;&lt;/td&gt;&lt;td&gt;&lt;/td&gt;&lt;td&gt;&lt;/td&gt;&lt;td&gt;&lt;/td&gt;&lt;td&gt;&lt;/td&gt;&lt;/tr&gt;&lt;tr&gt;&lt;td&gt;25&lt;/td&gt;&lt;td&gt;&lt;/td&gt;&lt;td&gt;&lt;/td&gt;&lt;td&gt;&lt;/td&gt;&lt;td&gt;&lt;/td&gt;&lt;td&gt;&lt;/td&gt;&lt;td&gt;&lt;/td&gt;&lt;/tr&gt;&lt;tr&gt;&lt;td colspan="7"&gt;總價: 新台幣參拾捌萬壹仟元整&lt;/td&gt;&lt;/tr&gt;&lt;tr&gt;&lt;td colspan="7"&gt;註1: 以上單價及總價均含加值型營業稅。 註2: 以上機號之單價, 係以本合約總價比例分派, 作為可能分批驗收時之付款依據。 所分派之單價, 係為方便付款, 並不能真實反應各機種之製造成本。&lt;/td&gt;&lt;/tr&gt;&lt;/table&gt;
![](images/bbc240c6a72d8bda35cacf3216a24ad2b1ea42b6eb858c09f81d1851047f16c7.jpg)
![](images/90d6de2597526a2e470d78f15593ad110a4dd8119a66c85b34ebf7ec02ee1c2e.jpg)
一、機械室之建造，含預留出入口、通風照明、自動閉鎖裝置。
二、通往機械室之樓梯及加護欄杆工程。
三、機械室基礎台需用防濕之瀝青鐵筋混凝土及地板防塵工事。
四、自屋外至機械室之動力及照明用配線電源開關插座，及接地線等電路工程。
五、升降路及機械室以外監視盤、電鈴、電話之配管與配線工程。
六、升降路之建造及底部之防水工程及緩衝器水泥台工程。
七、各樓按鈕開關之留洞工程及安裝後之固定與週邊裝飾工程
![](images/a48811771ffd546610f2bf0119e04d4add4346f372033a9b5300dfac1be59b0b.jpg)
八、升降路內甲方不得裝設有任何與升降設備無關之配線、電線配管、水管、風管等設備。
九、安裝所需水泥、砂石、水電與供試車用動力電源。
十、升降路及機房之建造，電源設備之容量及位置等，需符合國家標準（CNS-2866）及建築法規等規定。
十一、機械運抵工地後供給儲存倉庫。
![](images/50c6953de3b5623cc7248f377018ba0a09622a474e157342cd3d45627b9cc437.jpg)
備註：CNS-2866國家標準建築物電梯有關之法規：
1、機械室內應設有照明及通風設備，以利管理檢查，照明應在100LUX（米一燭光）以上，通風設備應能使室內溫度保持在攝氏40度以下。
2、機械室之出入口應加鎖，其裝置應良好。
3、由機械室至走廊，樓梯間應便於通行，樓梯應加裝扶</x:v>
      </x:c>
    </x:row>
    <x:row r="93">
      <x:c r="A93" s="69" t="str">
        <x:v>SRC087</x:v>
      </x:c>
      <x:c r="B93" s="69" t="str">
        <x:v>原文2</x:v>
      </x:c>
      <x:c r="C93" s="69" t="str">
        <x:v>markdown_fulltext</x:v>
      </x:c>
      <x:c r="D93" s="69" t="str">
        <x:v>8000–8426</x:v>
      </x:c>
      <x:c r="E93" s="71" t="str">
        <x:v>手，其與水平面之傾斜角度，應不超過60度。
4、機械室出入門之構造，應有下述裝置：
A：能自動關閉者。
B：有彈簧鎖或其類似裝置，以便室內不用鎖匙，而能開門。
C：除屋頂開口部份以外，機械式牆壁，應能耐火。（二小時防火時效）
5、升降路內不得設置與升降機無關之配管及配線。
6、任一升降路下部之任何部份，供人使用或類似使用時配重側比照車廂，同樣必須裝設緊急安全裝置。
7、若有火警受信總機時，甲方需提供"火警受信總機"檢出信號及通往升降道內之配管配線（0.75MM² ×3）。
![](images/070b3ed56c0a9f31cea1071f2303dac9114d03eadc1d9f61422f1a9ff505083d.jpg)
## 維承買
## 護攬賣
![](images/b062435f7bc7301079d1dbdd5060a47e7cd0f9f790da1156e77fc03bf72cef4d.jpg)
</x:v>
      </x:c>
    </x:row>
    <x:row r="94">
      <x:c r="A94" s="69" t="str">
        <x:v>SRC088</x:v>
      </x:c>
      <x:c r="B94" s="69" t="str">
        <x:v>原文1</x:v>
      </x:c>
      <x:c r="C94" s="69" t="str">
        <x:v>markdown_fulltext</x:v>
      </x:c>
      <x:c r="D94" s="69" t="str">
        <x:v>0–6618</x:v>
      </x:c>
      <x:c r="E94" s="71" t="str">
        <x:v>![](images/a5d3d95f2bc55c31c44a76a17b3f9665fc3b19e10a20428b0c1d837299e9e807.jpg)
## 合約書
立合約書人：向上建設股份有限公司（以下簡稱甲方）茲向崇友實業股份有限公司新竹分公司(以下簡稱乙方)訂購升降設備機件，經雙方同意訂定本合約，條款如下：
第一條：機件名稱、規格、數量：（如附件一）。
第二條：總價款新台幣捌拾捌萬玖仟元整(含加值型營業稅)。
第三條：付款辦法（以下各期金額均含加值型營業稅）：
1、第一期款：甲方於簽約時付訂金新台幣貳拾伍萬肆仟元整（票期30天）
2、第二期款：甲方應於貨抵工地時給付新台幣陸拾參萬伍仟元整（票期30天），
![](images/289f0dc8d3384cb1103036452ebd5b9c71d5ac2772a17e92cc09cbb96144d500.jpg)
配合工地進度分批送貨時，按單價表逐台計價給付。
上項各期價款以甲方帳戶支票給付，票上記載指定受款人為乙方，如以第三人為發票人之支票交付，須由甲方以合約之印章背書簽章或交付甲方之連帶保證人支票。
## 第四條：交貨地點：苗栗縣後龍鎮新東路116號旁
(工地名稱:向上龍富段公寓新建工程)
## 第五條：交貨期限：
1、甲方應於本合約簽訂後14天內提供與升降設備相關之大樓建築圖，供乙方繪製升降設備配置圖，而後乙方應於14天內繪製完成升降設備配置圖，並送請甲方確認，甲方亦應於14天內確認完成並送還乙方。乙方應於接獲甲方確認圖面及色樣簽認後240天後將貨品運抵工地。
2、乙方於第一期款金額領到現款，並接獲升降道已清理完畢之書面通知，配合雙方協議日期，將貨品運抵工地。
## 第六條：內容變更之限制：
1、本合約各條項雙方不得任意更改，如甲方須變更升降設備規格，或變更原設計建築物尺寸時，應於本合約簽妥後二個月內提出，除徵得乙方同意外，並須簽妥協議書，及變更後之交貨日期，否則仍按原訂規格交貨。
2、因變更規格而增加乙方成本時，應另行議價。
## 第七條：特約條款：
1、本合約升降設備全部價款未付清以前，所有權仍屬乙方。
2、甲方未能按本合約第三條約定付款及如期兌現時，乙方得請求一次付清總價款或解除本合約，無條件取回已運抵工地之貨品或收回已安裝完成之機件，甲方已付價款作為乙方之損害賠償金。
3、乙方如已依甲方需求日期備齊貨品逾一個月，而甲方仍未能提供置貨場所，致乙方無法將貨運抵工地時，甲方應先行付清第二期款。
![](images/a7ce05f59153a934f1fef17dc15ce35506ccc44c4c09af28bf9de22fb47bc701.jpg)
4、因可歸責於甲方之事由而取消本合約時，甲方已付之全部價款應給乙方作為違約金，訂購之機件歸乙方所有，已交付之機件，由乙方無條件取回。
## 第八條、附則：
1、交貨日期若因國內外有關地區，因天災、戰爭、罷工、怠工、暴動或政府法令變更，及非人力所能控制之狀況而延誤，乙方不受交貨期限約束。
2、標準規格以外，甲方如另有要求增加附屬配件，或變更材質者，應於標準規格表（附件一）附註欄內詳予記載，並另行議價。
3、雙方同意本約如因涉訟，以新竹地方法院第一審為管轄法院。
## 第九條：合約之份數及生效日：
本合約共訂正本二份，甲乙雙方各執正本一份（印花執主自貼），於雙方最後用印日起生效。
立買賣合約人：
甲方：向上建設股份有限公司
負責人: 陳冠偉
![](images/1658026f016cd30b646670ef9b02b7f73c7c26f4d0bbfe5998ef1859aa423e1e.jpg)
地址：苗栗縣竹南鎮中港里中正路423號
統一編號：90057101
電話：037-775355
用印日期： 年 月 日
甲方連帶保證人：
負責人：
地址
![](images/0a5f4b09a3637344da66aff34b644217b8c8bb488b78d2604dc0b9da9d59da7a.jpg)
![](images/9d3e2061ed9276851dcdc64b449e95220246bb1094653cce59726b9c5bdfc3e4.jpg)
身份證字號：
電話：
用印日期： 年 月 日
乙方：崇友實業股份有限公司新竹分公司
負責人：林鴻鵬
地址：新竹市林森路182巷6號
統一編號：23988458
電話：03-5235800
![](images/6f597384bc6b7bc0fbad98f65e00b98c146e675f304071bf513ec10e36b7a866.jpg)
用印日期： 年 月 日
&lt;table&gt;&lt;tr&gt;&lt;td colspan="2"&gt;型 式&lt;/td&gt;&lt;td colspan="2"&gt;SR9-2S90-8S&lt;/td&gt;&lt;td colspan="2"&gt;聯動情形&lt;/td&gt;&lt;td&gt;1CAR&lt;/td&gt;&lt;td&gt;台數&lt;/td&gt;&lt;td&gt;1台&lt;/td&gt;&lt;/tr&gt;&lt;tr&gt;&lt;td colspan="2"&gt;用途&lt;/td&gt;&lt;td colspan="2"&gt;客用兼行動不便用&lt;/td&gt;&lt;td colspan="2"&gt;控制方式&lt;/td&gt;&lt;td colspan="3"&gt;VVVF&lt;/td&gt;&lt;/tr&gt;&lt;tr&gt;&lt;td colspan="2"&gt;操作方式&lt;/td&gt;&lt;td colspan="2"&gt;全自動&lt;/td&gt;&lt;td colspan="2"&gt;車廂型式&lt;/td&gt;&lt;td colspan="3"&gt;&lt;/td&gt;&lt;/tr&gt;&lt;tr&gt;&lt;td colspan="2"&gt;載重量&lt;/td&gt;&lt;td colspan="2"&gt;600 KG 9 人份&lt;/td&gt;&lt;td colspan="2"&gt;速度&lt;/td&gt;&lt;td colspan="3"&gt;每分鐘 90 公尺/分&lt;/td&gt;&lt;/tr&gt;&lt;tr&gt;&lt;td colspan="2"&gt;建築物層數&lt;/td&gt;&lt;td colspan="2"&gt;8層(1F-7F,RF)&lt;/td&gt;&lt;td colspan="2"&gt;停止層數&lt;/td&gt;&lt;td colspan="3"&gt;8停(1F-7F,RF)&lt;/td&gt;&lt;/tr&gt;&lt;tr&gt;&lt;td colspan="2"&gt;易程總高&lt;/td&gt;&lt;td colspan="2"&gt;公尺&lt;/td&gt;&lt;td colspan="2"&gt;底坑深度&lt;/td&gt;&lt;td colspan="3"&gt;1.85 公尺&lt;/td&gt;&lt;/tr&gt;&lt;tr&gt;&lt;td colspan="2"&gt;頁 高&lt;/td&gt;&lt;td colspan="2"&gt;4.35 公尺&lt;/td&gt;&lt;td colspan="2"&gt;機械室位置&lt;/td&gt;&lt;td colspan="3"&gt;昇降路直上方&lt;/td&gt;&lt;/tr&gt;&lt;tr&gt;&lt;td rowspan="2" colspan="2"&gt;昇降路尺寸&lt;/td&gt;&lt;td colspan="2"&gt;內部淨寬 1750 公釐&lt;/td&gt;&lt;td rowspan="2" colspan="2"&gt;使用電源&lt;/td&gt;&lt;td colspan="3"&gt;動力用三相 380/220 V60週&lt;/td&gt;&lt;/tr&gt;&lt;tr&gt;&lt;td colspan="2"&gt;內部淨深 1900 公釐&lt;/td&gt;&lt;td colspan="3"&gt;照明用單相 220/110 V60週&lt;/td&gt;&lt;/tr&gt;&lt;tr&gt;&lt;td colspan="2"&gt;車廂尺寸&lt;/td&gt;&lt;td colspan="2"&gt;淨 寬 1100 公釐淨 深 1400 公釐淨 高 2300 公釐&lt;/td&gt;&lt;td colspan="2"&gt;出入口&lt;/td&gt;&lt;td colspan="3"&gt;淨 寬 900 公釐淨 高 2100 公釐&lt;/td&gt;&lt;/tr&gt;&lt;tr&gt;&lt;td colspan="2"&gt;車門型式&lt;/td&gt;&lt;td colspan="7"&gt;單邊開門兩扇式、標準裝飾、電動自動開閉式&lt;/td&gt;&lt;/tr&gt;&lt;tr&gt;&lt;td colspan="2"&gt;直內指示盤&lt;/td&gt;&lt;td colspan="2"&gt;橫式標準指示板&lt;/td&gt;&lt;td colspan="2"&gt;車內操作盤&lt;/td&gt;&lt;td colspan="3"&gt;標準式立式自動操作盤&lt;/td&gt;&lt;/tr&gt;&lt;tr&gt;&lt;td colspan="2"&gt;出入口操作&lt;/td&gt;&lt;td colspan="2"&gt;標準按鈕盤&lt;/td&gt;&lt;td colspan="2"&gt;出入口指示&lt;/td&gt;&lt;td colspan="3"&gt;標準立式指示盤&lt;/td&gt;&lt;/tr&gt;&lt;tr&gt;&lt;td colspan="2"&gt;件&lt;/td&gt;&lt;td colspan="7"&gt;電扇 日光燈 緊急鈕 對講機&lt;/td&gt;&lt;/tr&gt;&lt;tr&gt;&lt;td colspan="3"&gt;品名&lt;/td&gt;&lt;td colspan="2"&gt;顏色樣本號碼&lt;/td&gt;&lt;td&gt;品名&lt;/td&gt;&lt;td colspan="3"&gt;顏色樣本號碼&lt;/td&gt;&lt;/tr&gt;&lt;tr&gt;&lt;td colspan="3"&gt;門 框&lt;/td&gt;&lt;td colspan="2"&gt;&lt;/td&gt;&lt;td&gt;內門&lt;/td&gt;&lt;td colspan="3"&gt;&lt;/td&gt;&lt;/tr&gt;&lt;tr&gt;&lt;td colspan="3"&gt;外 門&lt;/td&gt;&lt;td colspan="2"&gt;&lt;/td&gt;&lt;td&gt;地 板&lt;/td&gt;&lt;td colspan="3"&gt;&lt;/td&gt;&lt;/tr&gt;&lt;tr&gt;&lt;td colspan="3"&gt;車廂周圍(壁)&lt;/td&gt;&lt;td colspan="2"&gt;&lt;/td&gt;&lt;td&gt;備 註&lt;/td&gt;&lt;td colspan="3"&gt;&lt;/td&gt;&lt;/tr&gt;&lt;tr&gt;&lt;td colspan="9"&gt;註:全樓為寬斜型不銹鋼髮紋材質門框。全樓乘場門扇為彩妝鋼板材質製成。(色樣另選)車廂前側板為不鏽鋼材質,車廂內門及三側壁板為彩妝鋼板材質。(色樣另選)車廂地板為PVC塑膠材質地磚製成(色樣另選),或甲方自貼石材,乙方配合預留鋪設尺寸。附行動不便設備:專用車廂主操作盤、專用乘場按鈕盤、盲人點字板、圓管型不銹鋼扶手貳支、自動水平修正功能、樓層浮凸標示、語音合成器、紅外線光幕、半身明鏡壹面。★各樓乘場之無障礙引導標誌屬甲方工程(升降機設有點字板之呼叫按鈕前方300mm處之地板,應作300mm*600mm之不同材質處理)。乙方配合CCTV拉線工程(甲方提供設備及線材)。附停電復歸就近樓層裝置。&lt;/td&gt;&lt;/tr&gt;&lt;/table&gt;
![](images/051fbaa397562f03c24c4b8085b9ad0f3f69c6885da6672678e468795049dff8.jpg)
&lt;table&gt;&lt;tr&gt;&lt;td&gt;機號&lt;/td&gt;&lt;td&gt;機種&lt;/td&gt;&lt;td&gt;規格&lt;/td&gt;&lt;td&gt;單價&lt;/td&gt;&lt;td&gt;台數&lt;/td&gt;&lt;td&gt;總價&lt;/td&gt;&lt;td&gt;備註&lt;/td&gt;&lt;/tr&gt;&lt;tr&gt;&lt;td&gt;1&lt;/td&gt;&lt;td&gt;VVVF&lt;/td&gt;&lt;td&gt;SR9-2S90-8S&lt;/td&gt;&lt;td&gt;$889,000&lt;/td&gt;&lt;td&gt;1&lt;/td&gt;&lt;td&gt;$889,000&lt;/td&gt;&lt;td&gt;兼行動不便用&lt;/td&gt;&lt;/tr&gt;&lt;tr&gt;&lt;td&gt;2&lt;/td&gt;&lt;td&gt;&lt;/td&gt;&lt;td&gt;&lt;/td&gt;&lt;td&gt;&lt;/td&gt;&lt;td&gt;&lt;/td&gt;&lt;td&gt;&lt;/td&gt;&lt;td&gt;&lt;/td&gt;&lt;/tr&gt;&lt;tr&gt;&lt;td&gt;3&lt;/td&gt;&lt;td&gt;&lt;/td&gt;&lt;td&gt;&lt;/td&gt;&lt;td&gt;&lt;/td&gt;&lt;td&gt;&lt;/td&gt;&lt;td&gt;&lt;/td&gt;&lt;td&gt;&lt;/td&gt;&lt;/tr&gt;&lt;tr&gt;&lt;td&gt;4&lt;/td&gt;&lt;td&gt;&lt;/td&gt;&lt;td&gt;&lt;/td&gt;&lt;td&gt;&lt;/td&gt;&lt;td&gt;&lt;/td&gt;&lt;td&gt;&lt;/td&gt;&lt;td&gt;&lt;/td&gt;&lt;/tr&gt;&lt;tr&gt;&lt;td&gt;5&lt;/td&gt;&lt;td&gt;&lt;/td&gt;&lt;td&gt;&lt;/td&gt;&lt;td&gt;&lt;/td&gt;&lt;td&gt;&lt;/td&gt;&lt;td&gt;&lt;/td&gt;&lt;td&gt;&lt;/td&gt;&lt;/tr&gt;&lt;tr&gt;&lt;td&gt;6&lt;/td&gt;&lt;td&gt;&lt;/td&gt;&lt;td&gt;&lt;/td&gt;&lt;td&gt;&lt;/td&gt;&lt;td&gt;&lt;/td&gt;&lt;td&gt;&lt;/td&gt;&lt;td&gt;&lt;/td&gt;&lt;/tr&gt;&lt;tr&gt;&lt;td&gt;7&lt;/td&gt;&lt;td&gt;&lt;/td&gt;&lt;td&gt;&lt;/td&gt;&lt;td&gt;&lt;/td&gt;&lt;td&gt;&lt;/td&gt;&lt;td&gt;&lt;/td&gt;&lt;td&gt;&lt;/td&gt;&lt;/tr&gt;&lt;tr&gt;&lt;td&gt;8&lt;/td&gt;&lt;td&gt;&lt;/td&gt;&lt;td&gt;&lt;/td&gt;&lt;td&gt;&lt;/td&gt;&lt;td&gt;&lt;/td&gt;&lt;td&gt;&lt;/td&gt;&lt;td&gt;&lt;/td&gt;&lt;/tr&gt;&lt;tr&gt;&lt;td&gt;9&lt;/td&gt;&lt;td&gt;&lt;/td&gt;&lt;td&gt;&lt;/td&gt;&lt;td&gt;&lt;/td&gt;&lt;td&gt;&lt;/td&gt;&lt;td&gt;&lt;/td&gt;&lt;td&gt;&lt;/td&gt;&lt;/tr&gt;&lt;tr&gt;&lt;td&gt;10&lt;/td&gt;&lt;td&gt;&lt;/td&gt;&lt;td&gt;&lt;/td&gt;&lt;td&gt;&lt;/td&gt;&lt;td&gt;&lt;/td&gt;&lt;td&gt;&lt;/td&gt;&lt;td&gt;&lt;/td&gt;&lt;/tr&gt;&lt;tr&gt;&lt;td&gt;11&lt;/td&gt;&lt;td&gt;&lt;/td&gt;&lt;td&gt;&lt;/td&gt;&lt;td&gt;&lt;/td&gt;&lt;td&gt;&lt;/td&gt;&lt;td&gt;&lt;/td&gt;&lt;td&gt;&lt;/td&gt;&lt;/tr&gt;&lt;tr&gt;&lt;td&gt;12&lt;/td&gt;&lt;td&gt;&lt;/td&gt;&lt;td&gt;&lt;/td&gt;&lt;td&gt;&lt;/td&gt;&lt;td&gt;&lt;/td&gt;&lt;td&gt;&lt;/td&gt;&lt;td&gt;&lt;/td&gt;&lt;/tr&gt;&lt;tr&gt;&lt;td&gt;13&lt;/td&gt;&lt;td&gt;&lt;/td&gt;&lt;td&gt;&lt;/td&gt;&lt;td&gt;&lt;/td&gt;&lt;td&gt;&lt;/td&gt;&lt;td&gt;&lt;/td&gt;&lt;td&gt;&lt;/td&gt;&lt;/tr&gt;&lt;tr&gt;&lt;td&gt;14&lt;/td&gt;&lt;td&gt;&lt;/td&gt;&lt;td&gt;&lt;/td&gt;&lt;td&gt;&lt;/td&gt;&lt;td&gt;&lt;/td&gt;&lt;td&gt;&lt;/td&gt;&lt;td&gt;&lt;/td&gt;&lt;/tr&gt;&lt;tr&gt;&lt;td&gt;15&lt;/td&gt;&lt;td&gt;&lt;/td&gt;&lt;td&gt;&lt;/td&gt;&lt;td&gt;&lt;/td&gt;&lt;td&gt;&lt;/td&gt;&lt;td&gt;&lt;/td&gt;&lt;td&gt;&lt;/td&gt;&lt;/tr&gt;&lt;tr&gt;&lt;td&gt;16&lt;/td&gt;&lt;td&gt;&lt;/td&gt;&lt;td&gt;&lt;/td&gt;&lt;td&gt;&lt;/td&gt;&lt;td&gt;&lt;/td&gt;&lt;td&gt;&lt;/td&gt;&lt;td&gt;&lt;/td&gt;&lt;/tr&gt;&lt;tr&gt;&lt;td&gt;17&lt;/td&gt;&lt;td&gt;&lt;/td&gt;&lt;td&gt;&lt;/td&gt;&lt;td&gt;&lt;/td&gt;&lt;td&gt;&lt;/td&gt;&lt;td&gt;&lt;/td&gt;&lt;td&gt;&lt;/td&gt;&lt;/tr&gt;&lt;tr&gt;&lt;td&gt;18&lt;/td&gt;&lt;td&gt;&lt;/td&gt;&lt;td&gt;&lt;/td&gt;&lt;td&gt;&lt;/td&gt;&lt;td&gt;&lt;/td&gt;&lt;td&gt;&lt;/td&gt;&lt;td&gt;&lt;/td&gt;&lt;/tr&gt;&lt;tr&gt;&lt;td&gt;19&lt;/td&gt;&lt;td&gt;&lt;/td&gt;&lt;td&gt;&lt;/td&gt;&lt;td&gt;&lt;/td&gt;&lt;td&gt;&lt;/td&gt;&lt;td&gt;&lt;/td&gt;&lt;td&gt;&lt;/td&gt;&lt;/tr&gt;&lt;tr&gt;&lt;td&gt;20&lt;/td&gt;&lt;td&gt;&lt;/td&gt;&lt;td&gt;&lt;/td&gt;&lt;td&gt;&lt;/td&gt;&lt;td&gt;&lt;/td&gt;&lt;td&gt;&lt;/td&gt;&lt;td&gt;&lt;/td&gt;&lt;/tr&gt;&lt;tr&gt;&lt;td&gt;21&lt;/td&gt;&lt;td&gt;&lt;/td&gt;&lt;td&gt;&lt;/td&gt;&lt;td&gt;&lt;/td&gt;&lt;td&gt;&lt;/td&gt;&lt;td&gt;&lt;/td&gt;&lt;td&gt;&lt;/td&gt;&lt;/tr&gt;&lt;tr&gt;&lt;td&gt;22&lt;/td&gt;&lt;td&gt;&lt;/td&gt;&lt;td&gt;&lt;/td&gt;&lt;td&gt;&lt;/td&gt;&lt;td&gt;&lt;/td&gt;&lt;td&gt;&lt;/td&gt;&lt;td&gt;&lt;/td&gt;&lt;/tr&gt;&lt;tr&gt;&lt;td&gt;23&lt;/td&gt;&lt;td&gt;&lt;/td&gt;&lt;td&gt;&lt;/td&gt;&lt;td&gt;&lt;/td&gt;&lt;td&gt;&lt;/td&gt;&lt;td&gt;&lt;/td&gt;&lt;td&gt;&lt;/td&gt;&lt;/tr&gt;&lt;tr&gt;&lt;td&gt;24&lt;/td&gt;&lt;td&gt;&lt;/td&gt;&lt;td&gt;&lt;/td&gt;&lt;td&gt;&lt;/td&gt;&lt;td&gt;&lt;/td&gt;&lt;td&gt;&lt;/td&gt;&lt;td&gt;&lt;/td&gt;&lt;/tr&gt;&lt;tr&gt;&lt;td&gt;25&lt;/td&gt;&lt;td&gt;&lt;/td&gt;&lt;td&gt;&lt;/td&gt;&lt;td&gt;&lt;/td&gt;&lt;td&gt;&lt;/td&gt;&lt;td&gt;&lt;/td&gt;&lt;td&gt;&lt;/td&gt;&lt;/tr&gt;&lt;tr&gt;&lt;td colspan="7"&gt;總價: 新台幣捌拾捌萬玖仟元整&lt;/td&gt;&lt;/tr&gt;&lt;tr&gt;&lt;td colspan="7"&gt;註1:以上單價及總價均含加值型營業稅。註2:以上機號之單價,係以本合約總價比例分派,作為可能分批交貨時之付款依據。所分派之單價,係為方便付款,並不能真實反應各機種之製造成本。&lt;/td&gt;&lt;/tr&gt;&lt;/table&gt;
![](images/0a97f93725aa1a8dbda4fa0a586df6f002af01a0aab2cb182458509cf409d1cc.jpg)
## 維承買
護攬賣
</x:v>
      </x:c>
    </x:row>
    <x:row r="95">
      <x:c r="A95" s="69" t="str">
        <x:v>SRC080</x:v>
      </x:c>
      <x:c r="B95" s="69" t="str">
        <x:v>原文1</x:v>
      </x:c>
      <x:c r="C95" s="69" t="str">
        <x:v>markdown_fulltext</x:v>
      </x:c>
      <x:c r="D95" s="69" t="str">
        <x:v>0–2802</x:v>
      </x:c>
      <x:c r="E95" s="71" t="str">
        <x:v># 工程合約
補充協議書
正本
工程名稱：向上建設龍富段新建工程
(112)栗商建後建字第00338號
甲方：向上建設股份有限公司
乙方：永豐餘工程股份有限公司
中華民國 113 年 02 月 27 日
![](images/d98ef3f5c4418fd970f2f2b6c0a0e087c0fab8ac959364c810552ad03aa0cd25.jpg)
![](images/efbe103ae108f34bf55373d89e800e6f36a058a02b416061a93a28950c366fbf.jpg)
# 向上建設龍富段新建工程 結構體工程-補充協議書
向上建設股份有限公司（以下簡稱甲方）
立契約人：
永豐餘工程股份有限公司 （以下簡稱乙方）
為乙方承攬甲方「向上建設龍富段新建工程(112)栗商建後建字第00338號」，雙方於民國112年12月1日簽訂結構體工程合約，現就工程付款進度部分，經雙方協議變更，雙方同意後續工程付款之進度皆依本協議書所列之「向上建設龍富段新建工程-付款比例表-修正版」（詳附件）為準，另新增條款-營造施工人員如係非法聘僱，由乙方自行承擔責任，甲方不負連帶責任。
協議書一式二份，甲乙雙方各持一份為憑。本協議書未訂定者，仍按雙方簽署之向上建設龍富段新建工程-結構體工程合約書約定辦理。
立合約書人
甲方：向上建設股份有限公司
負責人：陳冠偉
統一編號：90057101
地址：苗栗縣竹南鎮中港里中正路423號
乙方：永豐餘工程股份有限公司
負責人：陳正陽
統一編號：80088415
![](images/e39a965082fa62bb17ab52abc5080d6e67549fa447e2287bc0cdfacb1c786404.jpg)
地址：新北市永和區環河東路3段58號4樓
連帶保證人：陳漢陽
身分證字號：F123612844
![](images/e37fdf6e693cf6cea0c98e6c21d316fde3c3ecdf76f9f94b078b5aa5e08b8086.jpg)
![](images/ee37cb823a104a8a86dbd4a554db6d74179e46e0b329edd19487b4978cf66dc8.jpg)
地址：台北市信義區吳興街260巷1號11樓
中華民國 113 年 02 月 27 日
向上建設龍富段新建工程-付款比例表-修正版
&lt;table&gt;&lt;tr&gt;&lt;td&gt;期別&lt;/td&gt;&lt;td&gt;工程進度&lt;/td&gt;&lt;td&gt;百分比&lt;/td&gt;&lt;td&gt;累計百分比&lt;/td&gt;&lt;td&gt;請款金額(A)&lt;/td&gt;&lt;td&gt;保留款10%(B)&lt;/td&gt;&lt;td&gt;實付金額(C=A-B)&lt;/td&gt;&lt;td&gt;24,150,000&lt;/td&gt;&lt;/tr&gt;&lt;tr&gt;&lt;td&gt;1&lt;/td&gt;&lt;td&gt;簽約完成&lt;/td&gt;&lt;td&gt;10.00%&lt;/td&gt;&lt;td&gt;10.00%&lt;/td&gt;&lt;td&gt;2,415,000&lt;/td&gt;&lt;td&gt;241,500&lt;/td&gt;&lt;td&gt;2,173,500&lt;/td&gt;&lt;td&gt;假設、基礎工程&lt;/td&gt;&lt;/tr&gt;&lt;tr&gt;&lt;td&gt;2&lt;/td&gt;&lt;td&gt;基礎版 RC 澾置完成&lt;/td&gt;&lt;td&gt;17.00%&lt;/td&gt;&lt;td&gt;27.00%&lt;/td&gt;&lt;td&gt;4,105,500&lt;/td&gt;&lt;td&gt;410,550&lt;/td&gt;&lt;td&gt;3,694,950&lt;/td&gt;&lt;td&gt;結構工程&lt;/td&gt;&lt;/tr&gt;&lt;tr&gt;&lt;td&gt;3&lt;/td&gt;&lt;td&gt;一樓版 RC 澾置完成&lt;/td&gt;&lt;td&gt;5.00%&lt;/td&gt;&lt;td&gt;32.00%&lt;/td&gt;&lt;td&gt;1,207,500&lt;/td&gt;&lt;td&gt;120,750&lt;/td&gt;&lt;td&gt;1,086,750&lt;/td&gt;&lt;td&gt;結構工程&lt;/td&gt;&lt;/tr&gt;&lt;tr&gt;&lt;td&gt;4&lt;/td&gt;&lt;td&gt;二樓版 RC 澾置完成&lt;/td&gt;&lt;td&gt;9.00%&lt;/td&gt;&lt;td&gt;41.00%&lt;/td&gt;&lt;td&gt;2,173,500&lt;/td&gt;&lt;td&gt;217,350&lt;/td&gt;&lt;td&gt;1,956,150&lt;/td&gt;&lt;td&gt;結構工程&lt;/td&gt;&lt;/tr&gt;&lt;tr&gt;&lt;td&gt;5&lt;/td&gt;&lt;td&gt;三樓版 RC 澾置完成&lt;/td&gt;&lt;td&gt;9.00%&lt;/td&gt;&lt;td&gt;50.00%&lt;/td&gt;&lt;td&gt;2,173,500&lt;/td&gt;&lt;td&gt;217,350&lt;/td&gt;&lt;td&gt;1,956,150&lt;/td&gt;&lt;td&gt;結構工程&lt;/td&gt;&lt;/tr&gt;&lt;tr&gt;&lt;td&gt;6&lt;/td&gt;&lt;td&gt;四樓版 RC 澾置完成&lt;/td&gt;&lt;td&gt;9.00%&lt;/td&gt;&lt;td&gt;59.00%&lt;/td&gt;&lt;td&gt;2,173,500&lt;/td&gt;&lt;td&gt;217,350&lt;/td&gt;&lt;td&gt;1,956,150&lt;/td&gt;&lt;td&gt;結構工程&lt;/td&gt;&lt;/tr&gt;&lt;tr&gt;&lt;td&gt;7&lt;/td&gt;&lt;td&gt;五樓版 RC 澾置完成&lt;/td&gt;&lt;td&gt;9.00%&lt;/td&gt;&lt;td&gt;68.00%&lt;/td&gt;&lt;td&gt;2,173,500&lt;/td&gt;&lt;td&gt;217,350&lt;/td&gt;&lt;td&gt;1,956,150&lt;/td&gt;&lt;td&gt;結構工程&lt;/td&gt;&lt;/tr&gt;&lt;tr&gt;&lt;td&gt;8&lt;/td&gt;&lt;td&gt;六樓版 RC 澾置完成&lt;/td&gt;&lt;td&gt;9.00%&lt;/td&gt;&lt;td&gt;77.00%&lt;/td&gt;&lt;td&gt;2,173,500&lt;/td&gt;&lt;td&gt;217,350&lt;/td&gt;&lt;td&gt;1,956,150&lt;/td&gt;&lt;td&gt;結構工程&lt;/td&gt;&lt;/tr&gt;&lt;tr&gt;&lt;td&gt;9&lt;/td&gt;&lt;td&gt;七樓版 RC 澾置完成&lt;/td&gt;&lt;td&gt;9.00%&lt;/td&gt;&lt;td&gt;86.00%&lt;/td&gt;&lt;td&gt;2,173,500&lt;/td&gt;&lt;td&gt;217,350&lt;/td&gt;&lt;td&gt;1,956,150&lt;/td&gt;&lt;td&gt;結構工程&lt;/td&gt;&lt;/tr&gt;&lt;tr&gt;&lt;td&gt;10&lt;/td&gt;&lt;td&gt;屋頂版 RC 澾置完成&lt;/td&gt;&lt;td&gt;9.00%&lt;/td&gt;&lt;td&gt;95.00%&lt;/td&gt;&lt;td&gt;2,173,500&lt;/td&gt;&lt;td&gt;217,350&lt;/td&gt;&lt;td&gt;1,956,150&lt;/td&gt;&lt;td&gt;結構工程&lt;/td&gt;&lt;/tr&gt;&lt;tr&gt;&lt;td&gt;11&lt;/td&gt;&lt;td&gt;屋頂突出物 RC 澾置完成&lt;/td&gt;&lt;td&gt;5.00%&lt;/td&gt;&lt;td&gt;100.00%&lt;/td&gt;&lt;td&gt;1,207,500&lt;/td&gt;&lt;td&gt;120,750&lt;/td&gt;&lt;td&gt;1,086,750&lt;/td&gt;&lt;td&gt;結構工程&lt;/td&gt;&lt;/tr&gt;&lt;tr&gt;&lt;td&gt;&lt;/td&gt;&lt;td&gt;小計&lt;/td&gt;&lt;td&gt;100.00%&lt;/td&gt;&lt;td&gt;&lt;/td&gt;&lt;td&gt;24,150,000&lt;/td&gt;&lt;td&gt;2,415,000&lt;/td&gt;&lt;td&gt;21,735,000&lt;/td&gt;&lt;td&gt;&lt;/td&gt;&lt;/tr&gt;&lt;/table&gt;
## 石 萬 萬
</x:v>
      </x:c>
    </x:row>
    <x:row r="96">
      <x:c r="A96" s="69" t="str">
        <x:v>SRC090</x:v>
      </x:c>
      <x:c r="B96" s="69" t="str">
        <x:v>原文1</x:v>
      </x:c>
      <x:c r="C96" s="69" t="str">
        <x:v>markdown_fulltext</x:v>
      </x:c>
      <x:c r="D96" s="69" t="str">
        <x:v>0–147</x:v>
      </x:c>
      <x:c r="E96" s="71" t="str">
        <x:v>![](images/218491af3c8292114c0d4f3c1519da2050814f3aeac738cd3cd85191beb2f56d.jpg)
&lt;table&gt;&lt;tr&gt;&lt;td&gt;1&lt;/td&gt;&lt;td&gt;2&lt;/td&gt;&lt;td&gt;3&lt;/td&gt;&lt;td&gt;4&lt;/td&gt;&lt;/tr&gt;&lt;/table&gt;
</x:v>
      </x:c>
    </x:row>
    <x:row r="97">
      <x:c r="A97" s="69" t="str">
        <x:v>SRC082</x:v>
      </x:c>
      <x:c r="B97" s="69" t="str">
        <x:v>原文1</x:v>
      </x:c>
      <x:c r="C97" s="69" t="str">
        <x:v>markdown_fulltext</x:v>
      </x:c>
      <x:c r="D97" s="69" t="str">
        <x:v>0–8000</x:v>
      </x:c>
      <x:c r="E97" s="71" t="str">
        <x:v># 工程合約
正本
工程名稱：向上建設龍富段新建工程
(112)栗商建後建字第00338號
甲方：向上建設股份有限公司
乙方：永豐餘工程股份有限公司
中華民國 112 年 12 月 01 日
![](images/a446dbf82ae7ee1c5331cd9df71fe6af90bcc535d7a1b6bb7b65576609dad65e.jpg)
立合約書人
![](images/c964637c353050984c5553860347d233e10950329b7e2faece5821e86dc90e01.jpg)
![](images/03428da7ecf1f628f85bda1f439e10e0ec506bf77b1855b91bfb082862f40f90.jpg)
永豐餘工程股份有限公司 （以下簡稱
本工程合約書(下稱本合約)由甲乙雙方依據下列條款訂定
一、工程名稱：向上建設龍富段新建工程(112)栗商建後
![](images/4be31bf5f648dfc004c1754297834ce546cc411170df5b51b49f00ca48c042ea.jpg)
二、工作地點：苗栗縣後龍鎮新東路116號旁（苗栗縣後龍鎮龍富段0614地號
## 三、工程範圍：
（一）本合約包括合約條文、工程估價單、圖說、會議記錄、來往文件等，均視為合約一部份，及為完成全部工程所必須之準備工程與假設工程及相關管理事務。
（二）本工程乙方應按本合約圖說及附件建材設備表施工，如未按圖說施工造成意外事故損壞賠償等，均由乙方負全部責任。
四、工程概要：本工程詳前條第一款，其他由甲方指定分包之工程(附屬工程)，乙方須負完全監工之責，並要求其配合整體工程進度，其品質及進度亦屬乙方之責任義務。
## 五、工程總價：
(一)標單之假設工程(不含臨時水電工程)、土方及安全維護工程、主體結構工程、化糞池工程等總價為新台幣貳仟肆佰壹拾伍萬元整(含稅)。
(二)工程估價單所載之數量及單價均經雙方核算並同意之，除因本約第十條第二款原因及報價單所列之屬實作實算之項目外，雙方不得以物價漲跌或其他任何理由變更總價。
## 六、付款辦法：
![](images/02e5379ef8762bd295ed8ad8ab0ba8e5eaab26a8f7a920424ca0c6fea36045c1.jpg)
(一)開工後，乙方依實際工作進度項目請款，依付款比例表(如附件)提出估驗計價表(須加蓋公司大小章)及施工照片請款，每期請款需先完成現場堪驗後(由甲方確認無誤)，於每月25日送請款文件予甲方，甲方核對無誤後，交由信託銀行或由向上建設(股)公司於下月5日前付款給付乙方之該期工程款，並匯入乙方帳戶。(付款方式：百分百為現金。)
(二)工程計價依階段性付款表計價，但乙方於最後一期計價前應依照第廿四條，保固保證辦法之規定完成保固保證手續。
(三)乙方需提供工程匯款約定帳戶給予甲方，由信託銀行或向上建設(股)公司依約定匯款日(銀行營業日)，若匯款日為非營業日，則應順延一天將款項匯至合約指定帳戶。
(四)乙方進度落後差異達工程進度表總工期天數百分之十以上，甲方得暫付估驗款之一半，待乙方提出趕工計畫及工程趕上進度，再行估驗一半，若乙方無法達成預定進度，落後進度超過乙方所提進度表工期百分之二十，甲方得停止估驗，俟乙方趕工趕上進度後再行估驗。上開落後情事發生，且乙方又未能有效提出趕工計劃時，甲方亦得逕依本合約第26條、第27條之規定辦理。
(五)施工發生重大缺失、施工不良或品質低劣經甲方通知改正，未如期完成時，得暫停估驗，拆除重新施工或更換符合規定之品質後，始得估驗。
(六)本工程保留款以工程總價 10%計，於結構體完成退還 5%保留款，外牆吊線打石完成退還 5%保留款，並由乙方開立公司 10%保留款本票(不押到期日)作為保固保證用，結構保固期滿退回乙方保證票。
(七)甲方如於前項約定應返還乙方保固票時，遺失保固票甲方除應無條件配合乙方辦理本票掛失止付及聲請除權判決外，甲方應無條件共同出具確認本票債務不存在之證明書交付予乙方。
(八)如乙方並無違反第廿四條各項保固保證約定之情事、且甲方未先經書面催告乙方履行者，甲方不得持保固票行使權利，甲乙雙方對此均無異議。
## 七、工程期限：
(一)本工程係以日曆天計算工期，訂約後經甲乙雙方協議，自放樣勘驗完成日為工期起算日起算，180日曆天完工。
(二)工程開工、停工、復工、完工，乙方應以書面通知甲方，經甲乙雙方核定之結果為計算工期之依據。若乙方不予通知時，甲方得逕行核定後以書面通知乙方，乙方不得異議。
(三)乙方應依建築法規，於建築師或技師辦理申請相關查驗之有關一切手續時乙方須配合，所需時間已包含於總工期內。
(四)鄰房及其鄰近公共設施等，若因工程施工所造成之建損處理事宜，乙方應主動處理，費用由甲方支出，有關之鄰損部分概由甲方負責之。
(五)已完成之部份若因甲方裝修等工程之需要，乙方同意甲方書面之要求，分段驗收點交給甲方使用。
八、本合約所稱之甲方人員及乙方人員如後：
甲方人員：為甲方及其委託建築師事務所等派任本工程人員。
乙方人員：為乙方派駐於本工地之工程人員（具主任、勞安證照）。
九、工程圖說（樣）：
(一)有關本工程之圖說(樣)及合約有關附件及乙方依合約所應繪製之各項施工詳圖，並經甲方確認無誤後，視為合約之一部份，乙方皆應切實遵照辦理，不得異議，若涉及工程追加減時，依本約第十條第二款辦理。
(二)凡工程圖說未載明，而為完成本工程所必須或工程慣例所應作之附帶工作，乙方認為完全明白並願恪守履行辦理，中途絕無異議或推諉或要求加價、延展工期。
(三)乙方應依據設計圖樣及施工說明書跟建材表負責施工，施工圖樣與說明書跟建材表有不符之處，乙方應先行提出疑義，而以甲方人員之說明為準。乙方若未先行提出而逕行施工時，甲方有權要求乙方拆除，重依甲方說明施工，其費用由乙方負責。
(四)圖面之疑義：施工中之圖面及施工項目界面之疑義，乙方應於各工項施工前十日提出，若涉及工程追加減時，依本約第十條第二款辦理，雙方得依要求追加工程款及工期。
## 十、工程變更：
(一)乙方對本工程現場及圖說已完全瞭解，日後施工不得藉圖說不詳，而為工程變更及追加工程款或延長工期之要求。
(二)甲方在工程原計畫範圍內有變更、設計及加減工程數量之權利，乙方不得異議。增減工程費依照本合約所訂項目、單價及實際發生數量計算，若有新增工程項目時，得由雙方協議合理單價及工期（追加減工程之進度應以雙方協議期限內完成，如甲方追加減工程項目未影響乙方之施工要徑則不在此限），並於施工當期估驗計價。
(三)追加減工程應於施作前提出數量及單價，經雙方同意後，始得施作。
## 十一、材料工具：
![](images/0aaa9060e8d5a579567c254e4daebb45857ea5a4033c73a60fdbf1fd0a4a2de0.jpg)
(一)本工程所使用之材料工具，除另有規定外，概由乙方負責購辦，乙方並應依合約及圖說及建材表提供所定之品牌及規格、色澤選樣等，於施工前三十日送交甲方人員審核，否則延誤之工期，乙方不得推諉於甲方，乙方材料進場時須經甲方派任人員之查驗，合格者方得使用，其不合格者，須立即遷出場外。因調換發生之搬運、損壞等之損失及延誤工期之責均由乙方負擔。
(二)依法規所必須提供材料檢驗及甲方要求項目之材料檢驗如須委託其他機構辦理者，其費用皆含於工程總價內，檢驗頻率及數量以CNS標準為主，故上述檢驗費用概由乙方負擔。
(三)重點工程必須會同甲方派任人員共同監督進行時，乙方應事先確定施工時間，並於三日前通知甲方人員，雙方監督人員必須如期共同監督。
## 十二、工程管理：
(一)工程開工前，乙方應擬定施工計畫書經甲方簽認後據以執行。工程施工期間，乙方應以監工日報表每日詳報工程之施工進度及用料情形出工人數，並應每週送甲方監工簽認後，由甲方收執一份。若乙方未遵照辦理，甲方得要求乙方更換現場人員。
(二)乙方應依甲方設計圖面及施工說明書跟建材表施工，並繪製施工大樣圖，且費用已內含於工程總價內，而施工圖應經甲方簽認後據以施工，如遇圖說不明之處，應請甲方派任人員解說才可進行，不得逕以比例尺估量圖面施工。
(三)乙方應於本工程施工前提出送審項目時程表，經業主審查確認後依計畫執行，並於各項目施工前十五日列表檢送該項目樣品或型錄及書圖計劃資料，並經甲方審閱五日內回覆同意後，作為施工及驗收之依據。若因延遲送樣所延誤之工期均乙方自行負擔。
(四)進度管制：1、施工網狀圖(或為甘特圖)
乙方應於合約簽訂同時，應向甲方提出整體施工圖併入合約內，據以釐定每月進度，並藉以控制工程進度及其他配合工程之施工，該施工網狀圖須經甲方核可後為之，倘因開工後或施工中發現其已不適用時，乙方必須隨即修訂。
![](images/4ce9b1bd662cde2132821e71b1123ff6fc2ecdf0abfe46e1aa15f2c151e782fc.jpg)
2、加班趕工：
本工程進行期間，如發生危及本工程安全或公共安全事件及工程進度落後百分之十以上時，甲方認為須增加工人或加夜班時，乙方應照辦，不得藉故推諉或要求加價。否則甲方得依本合約第26條、第27條之規定辦理。
(五)施工配合：1、與本合約工程有關之其他工程及臨時裝置，經甲方另分業發包給其他廠商如飾品、電子監視系統等，乙方應配合甲方與其他承包商共同協調以利工程進度。
2、乙方與甲方另分業發包廠商施工之配合，應由雙方隨時主動協調，倘因此產生糾紛、工期延誤、施工不良等問題，概由雙方自行負責。但乙方得於事前十日以書面告知甲方，請求甲方派員仲裁或協調以解決紛爭。
## (六)管理人員：
1、乙方不得僱用童工、非法外籍勞工或主管機關認為有危害治安嫌疑之工人或職員。
2、乙方人員安全查核：
(1)職員查核：乙方監工人員應確認為乙方支薪且經甲方認可合格之職工人員派遣之，否則不准進入工地任職。
(2)工人查核：乙方所僱工人應自行負責查核。
## 十三、工程督導：
(一)甲方為要求工程順利進行而召開之任何會議，乙方有義務參加，並應提出施工報告。會議內容經雙方簽認同意者，視為合約之一部份。
1、每次會議，乙方應於三天前提出開會主要議題及會議內容，並副本通知與會單位。
2、每次會議結束後，甲乙方將會議內容存查，做為工程追蹤依據。
3、每次會議乙方應派紀錄人員，並請開會人員簽到。
4、開會時間如有調整變更，請提早通知並告知變更後開會時間。
5、例行工程會議，時間另行通知。
(二)倘乙方所作工程草率、材料窳劣不合規定或有不當措施而危及工程安全、工程品質時，乙方應主動改善或拆除重做，經甲方指出應於七日內改善，若未改善重做，得由甲方逕行僱工施作，一切之施作費用(含管理費)概由工程款項中扣除，乙方不得藉詞推諉及要求延長工程期限。
## (三)會同檢驗項目：
1、依工程種類之不同，由甲方於開工時通知乙方辦理。甲方人員在本工程施工期內，得隨時抽驗工程品質。
2、隱蔽部份鋼筋、混凝土之簽證：應由甲方監造人員會同乙方工地代表確實檢查。乙方應於三天前通知甲方，確定會同日期，雙方應如期會同檢驗，如甲方人員發現乙方未按本款規定報請檢驗而擅自繼續次一階段工程施作時，甲方得令乙方將該未檢驗部份拆除重做，乙方不得異議，其一切損失概由乙方負擔。
## 十四、工地保險：
甲方應依本工程合約金額為保險金額，以本工程自開工日起至全部交屋日止為保險期間，投保「營造工程綜合險」同時附加第三人意外責任險、雇主意外責任保險，若遇有意外事故，乙方應配合甲方依照保險公司規定手續辦理索賠，若保險公司給付之賠償款不足支付全部損失費用時，不足金額由乙方自行負責，不得要求甲方補貼。
十五、工地管理：
(一)乙方應於工地內妥慎防範水火及其他一切災害，並絕對禁止在工地內留宿工作人員，但工地夜間警衛留守人員除外。
(二)乙方須指派工地主任(具主任及勞安證照)進駐工地。工地主任為工地負責人，全權代表乙方履行一切責任，負責施工督導及施工管理人員，並應約束工人嚴守紀律，如有軌外行為及觸犯政府法令之之行為時，概由乙方負完全責任。
(三)乙方之工地主任或監工，非經甲方人員同意，不得擅自調離工地，倘甲方認為乙方所派工地人員不稱職，且不能勝任，乙方應立即無條件撤換之，新派人選應報請甲方核可後始可進駐本工地，原任者須待新任者到職後方可離去，否則銜接不上致發生損失概由乙方負完全責任。
(四)乙方員工如有疾病、死傷、犯案、違法及因工作不慎等，而致傷害他人或本人身體、或致損壞公私有之財物等情事，概由乙方負一切法律責任，與甲方無涉。如有違反，致甲方受有損害者，乙方應賠償甲方之損失。
(五)乙方工作人員如有不聽甲方人員督導或惡意冒犯致危害人身、財物安全情事者，或施工技術低劣、工作怠忽、影響工作進度、品質者，乙方應依甲方之通知或自行將其調離工地，情節重大者，除依法處理外，如有損害，乙方並應負連帶賠償責任。
(六)本工程施工中各項建管查驗手續及完工後使用執照申領手續，由甲方或建築師主辦，乙方協辦。
## 十六、工地設備：
乙方應對工地之安全衛生設備、醫藥、臨時水電設施、通訊、照明、交通、環境、倉儲、材料堆置、垃圾清理、施工場地、辦公室等設備應求齊全並應有充分之作業規定與維護使用計畫，其構造與設備之設置地點、設置方式，以施工方便、安全為原則，但事先應與甲方協調並經由甲方同意之，其設備費、月付費由乙方負擔，並自負保全之責。惟其設備若依規定須向有關單位報備，或依規定須專人操作或維修，皆應依規定辦理。
## 十七、預防危險：
(一)開工前乙方應向有關單位辦理勞工安全衛生報備書及設備安全檢查。
(二)施工期間乙方應遵照勞工安全衛生法，營造安全衛生施工標準，甲方所定工地安全衛生管理要點，確實辦理施行以為安全。
(三)對於工作附近人、畜及公私產業與鄰房安全，必須預為防範；地下之公私設施須善加保護。
## 十八、預防損害：
(一)乙方對可預測之天然災害，應事先採取防範措施，自負災損之責，若未防範或防範不當，致甲方所屬之工程、機具、器材遭受損失時，應由乙方負責損害之賠償。
(二)本工程如因乙方安全衛生設施欠缺、施工不良或未照合約規定施工或其他可歸責於乙方之事由，致損害人員生命、身體或財產時，概由乙方負責賠償。
## 十九、維持交通：
乙方於施工期間，不得妨礙公共安全交通，如因施工必要暫停交通時，須向有關管理單位申請核准並須有適當臨時交通路線、施工構台及公共安全設施等，方可動工並應於竣工後立即恢復原狀。
## 廿、維護周圍環境：
(一)環境品質維護應依當地政府機關營繕工程環保規定辦理，倘有違反政府法令或損壞公共設施，其罰金與賠償概由乙方負責。
(二)乙方施工期間對工地清潔及鄰近環境、道路、溝渠、管線有所污染及損壞時，應隨時清理修復之。營建廢棄土應由乙方負責處理。
(三)因乙方施工不當之所有罰金(罰單)無論受罰者之名義為何方，均由乙方負責繳納之。
## 廿一、工地清理：
(一)乙方應隨時保持工地清潔，施工所產生廢棄物應集中處理，工程完竣後，所有工地廢料雜物及臨時設備等，應由乙方負責清除乾淨並運離工地，若工地廢料及雜物、設備經甲方通知五日內，仍未運棄時得由甲方自行雇工清理，一切費用(含管理費)逕由工程款中扣除，乙方不得異議。
(二)乙方若不依規定清除處理，甲方得逕行代為雇工清除之，該費用於當期乙方應領工程款中優先扣除，乙方不得異議。
(三)因乙方施工及清理不當之所有罰金（罰單）無論受罰者之名義為何方，均由乙方負責繳納之。
## 廿二、部份使用：
(一)在工程未驗收前，甲方就工程已完成之部份，如因需要提前使用時，得先驗收其完成部份，乙方不得異議。
(二)甲方對於未完成部份，在不妨害乙方施工原則下，乙方應同意由甲方先行接管使用。
(三)甲方對使用之部份，負保管維護及修繕及甲方人員安全衛生之責，但該使用部份之保固期限俟全部工程正式驗收合格後一併計算，(甲方或購買戶先行二次施工之保固責任，非乙方之責)。
廿三、工程驗收：凡驗收所需工人、機具及材料等，均由乙方供給之。
(一)施工期間：甲方派任人員對施工品質、施工進度及進場材料(含品牌)等隨時加以查驗，如需乙方配合作業者，乙方應全力配合。
(二)工程全部完竣：乙方於結構體完成全部工程合約項目，並提出竣工報告後由業主或業主指定之人員驗收（初驗三天、修繕七天、複驗三天、修繕七天）驗收核可（含文書資料及工程現況）後，於使用執照領取後排定交屋時間表，會同甲方或甲方指定之人員配合完成交屋。甲方或甲方指定之人員驗收時，如發現工程中與簽認圖樣、說明書等規定不符，乙方需依照甲方或甲方指定之人員指示在雙方議定期限內並配合甲方及甲方指定之人員需求儘速修改完善，並報請複驗。若乙方在期限內仍無法改善完竣，其所逾越日數仍以第廿五條『逾期罰款』論處，並得由甲方僱工逕行修繕完成，所需工程費概由工程款(含管理費)中扣除，乙方不得異議。
(三)甲方或甲方指定之人員交屋時發現工程漏作或影響安全時，列為工程重大缺點，應視為未完工，其工期總結計算，如彙計逾期時則依逾期論處，乙方不得異議。
(四)如甲方或甲方指定之人員驗收時發現施工不良（如非屬乙方責任時，不在此限），乙方應於甲方或客戶協定之期限內修改完善，如逾期未修改完竣，甲方得自行動用乙方未領之工程款修復，乙方不得異議。前開動用之工程款並視為乙方已給付之工程款之一部分，乙方不得再行向甲方請求。
(五)如遇天災、地變、人力不可抗拒因素等影響，得不列入工期計算。
(六)領得使用執照後之他項裝修工程，如有其他因素導致無法繼續施工時，因而所產生之責任及一切損失與費用，均與乙方無關。
## 廿四、保固期限：
(一)工程含公共設施、設備移交等經甲方或甲方指定之人員全部驗收合格之日起算保固期限，乙方開立保固書（所開立保固書內應切結本工程無輻射鋼筋及海砂屋或其他政府有關單位明列禁止事項）。依正常合理之使用，由乙方針對主要結構安全（如樑柱、承重牆、樓梯等）負責保固十五年。若因天災、事變或不可歸責乙方等之事由，因甲方未盡一般注意義務或使用不當之事由所造成之毀損，應由甲方自行負責。
## 廿五、逾期罰款：
按本合約第七條第二款期限，乙方倘未依照合約規定期限完工，按逾期之日數，每逾一日罰扣合約總金額千分之一違約金額。違約金額上限為總工程之5%。
## 廿六、工程終止：
(一)甲方認為工程有終止之必要時，或有本合約第廿七條所列情事之一者，得終止合約全部或一部份，其已施做工程及專用於本工程之到場合格材料，由甲方核實給價之。
(二)惟如有本合約第廿七條及第廿八條所列情事之一者，雙方除可逕行終止本合約外，並可要求賠償因此所衍生之一切損失。
乙方一經被通知工程終止，須立即停工，並負責遣散工人，工地交還甲方自辦和另招商承辦，乙方絕無異議。
廿七：甲方終止、解除合約權：
(一)乙方未履行合約或有違背本合約之情事發生。
(二)乙方對甲方所屬人員不得給予相關利益之餽贈，否則應賠償甲方因此項行為所受之損失，並視為</x:v>
      </x:c>
    </x:row>
    <x:row r="98">
      <x:c r="A98" s="69" t="str">
        <x:v>SRC082</x:v>
      </x:c>
      <x:c r="B98" s="69" t="str">
        <x:v>原文2</x:v>
      </x:c>
      <x:c r="C98" s="69" t="str">
        <x:v>markdown_fulltext</x:v>
      </x:c>
      <x:c r="D98" s="69" t="str">
        <x:v>8000–16000</x:v>
      </x:c>
      <x:c r="E98" s="71" t="str">
        <x:v>違約。
(三)乙方私將工程轉讓他人承包，或冒用他人登記證，或將登記證借他人承包本工程，經甲方查明屬實者。
(四)乙方開工後作輟無常，或工作能力薄弱、機具設備不足，甲方認定不能依限完工時。
(五)未按規定進度施工，且落後達乙方提列進度表工期天數百分之十以上，且無法有效提出趕工計畫。
(六)乙方施工不良、發生重大缺失、品質不佳，未能有效改善或明顯有偷工減料事實，蒙蔽甲方之監督致危害工程施工品質與安全者。
(七)乙方員工不聽甲方人員指揮而釀成糾紛，情節重大者。
(八) 乙方無正當理由連續停工達三十日或經甲方同意停工，且待停工原因消失後，經甲方通知三十日內無法完全復工者。
(九)乙方有破產法上之和解或破產之申請等情事發生時，或無力償還債務或採取無力償負債務之措施者。
(十)乙方經法院判決，已執行或將執行假扣押假處分其財產，致使其無力施工。
※凡前述所有情況，甲方得終止或解除合約。
廿八、乙方終止、解除合約權：
(一)合約簽定後，因甲方原因並經甲方認定確實不能開工者，乙方得要求無條件終止合約。
(二)因甲方違反合約之事實，致工程無法進行時。
(三)甲方明顯無能力按合約規定支付工程款時。
(四)甲方要求減少工程達百分之三十以上者。
(五)施工期間因甲方之通知停工，或非可歸責於乙方之事由，致停工超過三個月。
甲方如有上述所列情事之一者，乙方應於情事發生日起三十日內，通知甲方協議終止合約之事宜。乙方若不予通知，則不得藉故停工或終止合約，仍應依原合約繼續施工。
## 廿九、管轄法院：
甲乙雙方及連帶保證人均同意因本合約訴訟時以台灣苗栗地方法院為第一審管轄法院。
## 三十、合約生效：
本工程合約自簽訂之日起生效。
## 三十一、文件往來：
甲乙雙方所為之通知，均以書面按本契約所載地址掛號郵寄或經乙方派駐工地主管人員簽收為準，甲乙方如簽約後變更聯絡地址、電話之情形，須以書面掛號通知他方，如因對方拒收或無法寄達遭致退回者，均以郵局第一次投遞日視為送達日。
## 三十二、其他事故：
本合約未盡事宜，除悉依有關法令規定辦理外，雙方同意依工程慣例及善良習俗協議之。合約條例或附件有抵觸時以附件或甲方解釋為準，乙方不得異議，本合約之附件視為合約之一部份與本約具有同等效力。
本合約正本貳份副本肆份，甲方執壹份正本壹份副本，乙方執壹份正本叁份副本，甲乙雙方印花自貼。
本約之附件視為本合約之一部份與本約具有同等效力，本約附件計有：
一、本合約條款
二、工程標單詳細表
三、付款比例表
四、工程進度表
五、結構、建築圖說
## 三十三、特約條款：
(一)乙方切結對本工程放棄法定抵押權並在本件融資銀行相關之文件上簽章。
(二)陳正陽為乙方派駐於本工地之工程人員(具主任、勞安證照)，如需更換需以書面通知甲方，並得甲方同意。
(三)如遇灌漿完成日至估驗完成不及於每月 25 日請款，乙方得於估驗完後檢附發票，甲方應於收受發票後 10 日內給付乙方工程款（百分之百現金）。
## 以下空白
## 立合約書人
甲方：向上建設股份有限公司
負責人：陳冠偉
統一編號：90057101
![](images/e80be8944d8833b28743488ee5b0006ca614d9166601d256ac83e42b5262764f.jpg)
地址：苗栗縣竹南鎮中港里中正路423號
乙方：永豐餘工程股份有限公司
負責人：陳正陽
![](images/498230307cca4bf6c88130ebbceade3fdddf6d4d407ef0b7c9b09b7f70f12848.jpg)
統一編號：80088415
地址：新北市永和區環河東路3段58號4樓
連帶保證人：陳漢陽
身分證字號：F123612844
![](images/4a250319a3c61f41337a8add825fdef610a36e66d6f3aa41f82987eb8bc177f4.jpg)
地址：台北市信義區吳興街260巷1號11樓
中華民國112年12月01日
![](images/508fe4e68335f6efe730934332099406b190c40649bac97be7270e4f1629cc3c.jpg)
&lt;table&gt;&lt;tr&gt;&lt;td colspan="7"&gt;工程標單詳細表&lt;/td&gt;&lt;/tr&gt;&lt;tr&gt;&lt;td colspan="4"&gt;程編號:&lt;/td&gt;&lt;td&gt;工程地點:&lt;/td&gt;&lt;td colspan="2"&gt;苗栗-後龍&lt;/td&gt;&lt;/tr&gt;&lt;tr&gt;&lt;td colspan="4"&gt;程名稱 向上建設-龍富段新建工程&lt;/td&gt;&lt;td&gt;製表日期:&lt;/td&gt;&lt;td colspan="2"&gt;2023/12/1 填表:陳漢陽&lt;/td&gt;&lt;/tr&gt;&lt;tr&gt;&lt;td&gt;頁次&lt;/td&gt;&lt;td&gt;工作項目&lt;/td&gt;&lt;td&gt;單位&lt;/td&gt;&lt;td&gt;數量&lt;/td&gt;&lt;td&gt;單價&lt;/td&gt;&lt;td&gt;複價&lt;/td&gt;&lt;td&gt;備註&lt;/td&gt;&lt;/tr&gt;&lt;tr&gt;&lt;td&gt;壹&lt;/td&gt;&lt;td&gt;建築工程&lt;/td&gt;&lt;td&gt;&lt;/td&gt;&lt;td&gt;&lt;/td&gt;&lt;td&gt;&lt;/td&gt;&lt;td&gt;385.3&lt;/td&gt;&lt;td&gt;坪&lt;/td&gt;&lt;/tr&gt;&lt;tr&gt;&lt;td&gt;一&lt;/td&gt;&lt;td&gt;假設工程&lt;/td&gt;&lt;td&gt;式&lt;/td&gt;&lt;td&gt;1.00&lt;/td&gt;&lt;td&gt;$1,216,000&lt;/td&gt;&lt;td&gt;1,216,000&lt;/td&gt;&lt;td&gt;3,156&lt;/td&gt;&lt;/tr&gt;&lt;tr&gt;&lt;td&gt;二&lt;/td&gt;&lt;td&gt;土方及安全維護工程&lt;/td&gt;&lt;td&gt;式&lt;/td&gt;&lt;td&gt;1.00&lt;/td&gt;&lt;td&gt;$1,121,050&lt;/td&gt;&lt;td&gt;1,121,050&lt;/td&gt;&lt;td&gt;2,910&lt;/td&gt;&lt;/tr&gt;&lt;tr&gt;&lt;td&gt;三&lt;/td&gt;&lt;td&gt;主體結構工程&lt;/td&gt;&lt;td&gt;式&lt;/td&gt;&lt;td&gt;1.00&lt;/td&gt;&lt;td&gt;$18,821,645&lt;/td&gt;&lt;td&gt;18,821,645&lt;/td&gt;&lt;td&gt;48,849&lt;/td&gt;&lt;/tr&gt;&lt;tr&gt;&lt;td&gt;四&lt;/td&gt;&lt;td&gt;裝修工程&lt;/td&gt;&lt;td&gt;式&lt;/td&gt;&lt;td&gt;1.00&lt;/td&gt;&lt;td&gt;&lt;/td&gt;&lt;td&gt;-&lt;/td&gt;&lt;td&gt;暫不估價&lt;/td&gt;&lt;/tr&gt;&lt;tr&gt;&lt;td&gt;五&lt;/td&gt;&lt;td&gt;水電工程&lt;/td&gt;&lt;td&gt;式&lt;/td&gt;&lt;td&gt;1.00&lt;/td&gt;&lt;td&gt;$144,000&lt;/td&gt;&lt;td&gt;144,000&lt;/td&gt;&lt;td&gt;374&lt;/td&gt;&lt;/tr&gt;&lt;tr&gt;&lt;td&gt;六&lt;/td&gt;&lt;td&gt;門窗工程&lt;/td&gt;&lt;td&gt;式&lt;/td&gt;&lt;td&gt;1.00&lt;/td&gt;&lt;td&gt;&lt;/td&gt;&lt;td&gt;-&lt;/td&gt;&lt;td&gt;暫不估價&lt;/td&gt;&lt;/tr&gt;&lt;tr&gt;&lt;td&gt;&lt;/td&gt;&lt;td&gt;&lt;/td&gt;&lt;td&gt;&lt;/td&gt;&lt;td&gt;&lt;/td&gt;&lt;td&gt;&lt;/td&gt;&lt;td&gt;&lt;/td&gt;&lt;td&gt;&lt;/td&gt;&lt;/tr&gt;&lt;tr&gt;&lt;td&gt;&lt;/td&gt;&lt;td&gt;&lt;/td&gt;&lt;td&gt;&lt;/td&gt;&lt;td&gt;&lt;/td&gt;&lt;td&gt;&lt;/td&gt;&lt;td&gt;&lt;/td&gt;&lt;td&gt;&lt;/td&gt;&lt;/tr&gt;&lt;tr&gt;&lt;td&gt;&lt;/td&gt;&lt;td&gt;合計&lt;/td&gt;&lt;td&gt;&lt;/td&gt;&lt;td&gt;&lt;/td&gt;&lt;td&gt;&lt;/td&gt;&lt;td&gt;21,302,695&lt;/td&gt;&lt;td&gt;&lt;/td&gt;&lt;/tr&gt;&lt;tr&gt;&lt;td&gt;貳&lt;/td&gt;&lt;td&gt;營造綜合保險費(0.3%)&lt;/td&gt;&lt;td&gt;式&lt;/td&gt;&lt;td&gt;1.00&lt;/td&gt;&lt;td&gt;-&lt;/td&gt;&lt;td&gt;-&lt;/td&gt;&lt;td&gt;甲方承保&lt;/td&gt;&lt;/tr&gt;&lt;tr&gt;&lt;td&gt;參&lt;/td&gt;&lt;td&gt;管理及利潤(8%)&lt;/td&gt;&lt;td&gt;式&lt;/td&gt;&lt;td&gt;1.00&lt;/td&gt;&lt;td&gt;1,704,216&lt;/td&gt;&lt;td&gt;1,704,216&lt;/td&gt;&lt;td&gt;&lt;/td&gt;&lt;/tr&gt;&lt;tr&gt;&lt;td&gt;&lt;/td&gt;&lt;td&gt;未稅小計&lt;/td&gt;&lt;td&gt;&lt;/td&gt;&lt;td&gt;&lt;/td&gt;&lt;td&gt;&lt;/td&gt;&lt;td&gt;23,006,911&lt;/td&gt;&lt;td&gt;&lt;/td&gt;&lt;/tr&gt;&lt;tr&gt;&lt;td&gt;肆&lt;/td&gt;&lt;td&gt;營業稅(5%)&lt;/td&gt;&lt;td&gt;式&lt;/td&gt;&lt;td&gt;1.00&lt;/td&gt;&lt;td&gt;1,150,346&lt;/td&gt;&lt;td&gt;1,150,346&lt;/td&gt;&lt;td&gt;&lt;/td&gt;&lt;/tr&gt;&lt;tr&gt;&lt;td&gt;&lt;/td&gt;&lt;td&gt;總計&lt;/td&gt;&lt;td&gt;&lt;/td&gt;&lt;td&gt;&lt;/td&gt;&lt;td&gt;&lt;/td&gt;&lt;td&gt;24,157,257&lt;/td&gt;&lt;td&gt;62,697&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價說明:&lt;/td&gt;&lt;td&gt;&lt;/td&gt;&lt;td&gt;&lt;/td&gt;&lt;td&gt;&lt;/td&gt;&lt;td&gt;&lt;/td&gt;&lt;td&gt;&lt;/td&gt;&lt;td&gt;&lt;/td&gt;&lt;/tr&gt;&lt;tr&gt;&lt;td colspan="7"&gt;依112/10/30提供圖說進行報價評估。&lt;/td&gt;&lt;/tr&gt;&lt;tr&gt;&lt;td colspan="7"&gt;機電圖說尚未齊全,本次暫不估價。&lt;/td&gt;&lt;/tr&gt;&lt;tr&gt;&lt;td colspan="7"&gt;本次報價不含消防系統、弱電設備及電梯費用。&lt;/td&gt;&lt;/tr&gt;&lt;tr&gt;&lt;td colspan="7"&gt;不含二次施工。&lt;/td&gt;&lt;/tr&gt;&lt;tr&gt;&lt;td colspan="7"&gt;代辦水電、瓦斯、電信、汙水管申請,申辦規費依機關實報實銷。&lt;/td&gt;&lt;/tr&gt;&lt;tr&gt;&lt;td colspan="7"&gt;本次報價內容依製表日期30日內有效,實際以簽約為準。&lt;/td&gt;&lt;/tr&gt;&lt;/table&gt;
## 工程預算書
工程名稱：向上龍富段新建工程 估算明細
製表日期：2023/12/1
&lt;table&gt;&lt;tr&gt;&lt;td&gt;項次&lt;/td&gt;&lt;td&gt;名稱及規格&lt;/td&gt;&lt;td&gt;單位&lt;/td&gt;&lt;td&gt;數量&lt;/td&gt;&lt;td&gt;單價&lt;/td&gt;&lt;td&gt;總價&lt;/td&gt;&lt;td&gt;備註&lt;/td&gt;&lt;/tr&gt;&lt;tr&gt;&lt;td&gt;壹&lt;/td&gt;&lt;td&gt;假設工程&lt;/td&gt;&lt;td&gt;&lt;/td&gt;&lt;td&gt;&lt;/td&gt;&lt;td&gt;&lt;/td&gt;&lt;td&gt;&lt;/td&gt;&lt;td&gt;&lt;/td&gt;&lt;/tr&gt;&lt;tr&gt;&lt;td&gt;1&lt;/td&gt;&lt;td&gt;施工圍籬,h=180cm(含止水敦)&lt;/td&gt;&lt;td&gt;M&lt;/td&gt;&lt;td&gt;80&lt;/td&gt;&lt;td&gt;2,000&lt;/td&gt;&lt;td&gt;$160,000&lt;/td&gt;&lt;td&gt;舊品更新&lt;/td&gt;&lt;/tr&gt;&lt;tr&gt;&lt;td&gt;2&lt;/td&gt;&lt;td&gt;8M施工大門&lt;/td&gt;&lt;td&gt;座&lt;/td&gt;&lt;td&gt;&lt;/td&gt;&lt;td&gt;-&lt;/td&gt;&lt;td&gt;$0&lt;/td&gt;&lt;td&gt;業主已設置&lt;/td&gt;&lt;/tr&gt;&lt;tr&gt;&lt;td&gt;3&lt;/td&gt;&lt;td&gt;臨時水、臨時電申請工程費(線補費+保證金)&lt;/td&gt;&lt;td&gt;式&lt;/td&gt;&lt;td&gt;&lt;/td&gt;&lt;td&gt;&lt;/td&gt;&lt;td&gt;$0&lt;/td&gt;&lt;td&gt;業主發包&lt;/td&gt;&lt;/tr&gt;&lt;tr&gt;&lt;td&gt;4&lt;/td&gt;&lt;td&gt;臨時水、臨時電使用費&lt;/td&gt;&lt;td&gt;月&lt;/td&gt;&lt;td&gt;&lt;/td&gt;&lt;td&gt;&lt;/td&gt;&lt;td&gt;$0&lt;/td&gt;&lt;td&gt;業主發包&lt;/td&gt;&lt;/tr&gt;&lt;tr&gt;&lt;td&gt;5&lt;/td&gt;&lt;td&gt;流動廁所1座&lt;/td&gt;&lt;td&gt;月&lt;/td&gt;&lt;td&gt;&lt;/td&gt;&lt;td&gt;&lt;/td&gt;&lt;td&gt;$0&lt;/td&gt;&lt;td&gt;業主發包&lt;/td&gt;&lt;/tr&gt;&lt;tr&gt;&lt;td&gt;6&lt;/td&gt;&lt;td&gt;民生垃圾處理費(每周1次)&lt;/td&gt;&lt;td&gt;月&lt;/td&gt;&lt;td&gt;&lt;/td&gt;&lt;td&gt;&lt;/td&gt;&lt;td&gt;$0&lt;/td&gt;&lt;td&gt;業主發包&lt;/td&gt;&lt;/tr&gt;&lt;tr&gt;&lt;td&gt;7&lt;/td&gt;&lt;td&gt;營建廢棄物處理&lt;/td&gt;&lt;td&gt;式&lt;/td&gt;&lt;td&gt;-&lt;/td&gt;&lt;td&gt;-&lt;/td&gt;&lt;td&gt;$0&lt;/td&gt;&lt;td&gt;業主發包&lt;/td&gt;&lt;/tr&gt;&lt;tr&gt;&lt;td&gt;8&lt;/td&gt;&lt;td&gt;申報環保局空汙費&lt;/td&gt;&lt;td&gt;式&lt;/td&gt;&lt;td&gt;-&lt;/td&gt;&lt;td&gt;-&lt;/td&gt;&lt;td&gt;$0&lt;/td&gt;&lt;td&gt;業主發包&lt;/td&gt;&lt;/tr&gt;&lt;tr&gt;&lt;td&gt;9&lt;/td&gt;&lt;td&gt;公共排水溝清淤費&lt;/td&gt;&lt;td&gt;式&lt;/td&gt;&lt;td&gt;-&lt;/td&gt;&lt;td&gt;-&lt;/td&gt;&lt;td&gt;$0&lt;/td&gt;&lt;td&gt;另估於裝修工程&lt;/td&gt;&lt;/tr&gt;&lt;tr&gt;&lt;td&gt;10&lt;/td&gt;&lt;td&gt;半面道路AC半面刨鋪復原費&lt;/td&gt;&lt;td&gt;式&lt;/td&gt;&lt;td&gt;-&lt;/td&gt;&lt;td&gt;-&lt;/td&gt;&lt;td&gt;$0&lt;/td&gt;&lt;td&gt;另估於裝修工程&lt;/td&gt;&lt;/tr&gt;&lt;tr&gt;&lt;td&gt;11&lt;/td&gt;&lt;td&gt;外部施工架,符合CNS4750&lt;/td&gt;&lt;td&gt; $M^{2}$ &lt;/td&gt;&lt;td&gt;1,350&lt;/td&gt;&lt;td&gt;580&lt;/td&gt;&lt;td&gt;$783,000&lt;/td&gt;&lt;td&gt;單邊水平、交叉及尼龍綢&lt;/td&gt;&lt;/tr&gt;&lt;tr&gt;&lt;td&gt;12&lt;/td&gt;&lt;td&gt;內部施工架,符合CNS4750&lt;/td&gt;&lt;td&gt; $M^{2}$ &lt;/td&gt;&lt;td&gt;780&lt;/td&gt;&lt;td&gt;350&lt;/td&gt;&lt;td&gt;$273,000&lt;/td&gt;&lt;td&gt;單邊水平、交叉&lt;/td&gt;&lt;/tr&gt;&lt;tr&gt;&lt;td&gt;&lt;/td&gt;&lt;td&gt;小計&lt;/td&gt;&lt;td&gt;&lt;/td&gt;&lt;td&gt;&lt;/td&gt;&lt;td&gt;&lt;/td&gt;&lt;td&gt;$1,216,000&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 rowspan="2"&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工程預算書
工程名稱：向上龍富段新建工程 估算明細
製表日期：2023/12/1
&lt;table&gt;&lt;tr&gt;&lt;td&gt;項次&lt;/td&gt;&lt;td&gt;名稱及規格&lt;/td&gt;&lt;td&gt;單位&lt;/td&gt;&lt;td&gt;數量&lt;/td&gt;&lt;td&gt;單價&lt;/td&gt;&lt;td&gt;總價&lt;/td&gt;&lt;td&gt;備註&lt;/td&gt;&lt;/tr&gt;&lt;tr&gt;&lt;td&gt;貳&lt;/td&gt;&lt;td&gt;土方工程&lt;/td&gt;&lt;td&gt;&lt;/td&gt;&lt;td&gt;&lt;/td&gt;&lt;td&gt;&lt;/td&gt;&lt;td&gt;&lt;/td&gt;&lt;td&gt;&lt;/td&gt;&lt;/tr&gt;&lt;tr&gt;&lt;td&gt;1&lt;/td&gt;&lt;td&gt;土方開挖&lt;/td&gt;&lt;td&gt; $M^{3}$ &lt;/td&gt;&lt;td&gt;863&lt;/td&gt;&lt;td&gt;150&lt;/td&gt;&lt;td&gt;$129,450&lt;/td&gt;&lt;td&gt;&lt;/td&gt;&lt;/tr&gt;&lt;tr&gt;&lt;td&gt;2&lt;/td&gt;&lt;td&gt;土方運棄,乾土&lt;/td&gt;&lt;td&gt; $M^{3}$ &lt;/td&gt;&lt;td&gt;413&lt;/td&gt;&lt;td&gt;700&lt;/td&gt;&lt;td&gt;$289,100&lt;/td&gt;&lt;td&gt;&lt;/td&gt;&lt;/tr&gt;&lt;tr&gt;&lt;td&gt;3&lt;/td&gt;&lt;td&gt;土方運棄,濕土/廢棄物磚塊類&lt;/td&gt;&lt;td&gt; $M^{3}$ &lt;/td&gt;&lt;td&gt;450&lt;/td&gt;&lt;td&gt;1,300&lt;/td&gt;&lt;td&gt;$585,000&lt;/td&gt;&lt;td&gt;面層0m-1.2m紅磚廢棄物&lt;/td&gt;&lt;/tr&gt;&lt;tr&gt;&lt;td&gt;4&lt;/td&gt;&lt;td&gt;回填土方&lt;/td&gt;&lt;td&gt; $M^{3}$ &lt;/td&gt;&lt;td&gt;225&lt;/td&gt;&lt;td&gt;300&lt;/td&gt;&lt;td&gt;$67,500&lt;/td&gt;&lt;td&gt;&lt;/td&gt;&lt;/tr&gt;&lt;tr&gt;&lt;td&gt;5&lt;/td&gt;&lt;td&gt;土方零星工程(水車、鐵板...等)&lt;/td&gt;&lt;td&gt;式&lt;/td&gt;&lt;td&gt;1&lt;/td&gt;&lt;td&gt;50,000&lt;/td&gt;&lt;td&gt;$50,000&lt;/td&gt;&lt;td&gt;&lt;/td&gt;&lt;/tr&gt;&lt;tr&gt;&lt;td&gt;6&lt;/td&gt;&lt;td&gt;碎石級配回填&lt;/td&gt;&lt;td&gt; $M^{3}$ &lt;/td&gt;&lt;td&gt;23&lt;/td&gt;&lt;td&gt;-&lt;/td&gt;&lt;td&gt;$0&lt;/td&gt;&lt;td&gt;業主自理.暫不估價&lt;/td&gt;&lt;/tr&gt;&lt;tr&gt;&lt;td&gt;7&lt;/td&gt;&lt;td&gt;50kg/m鋼軌樁,L=5.05M&lt;/td&gt;&lt;td&gt;支&lt;/td&gt;&lt;td&gt;71&lt;/td&gt;&lt;td&gt;-&lt;/td&gt;&lt;td&gt;$0&lt;/td&gt;&lt;td&gt;業主自理.暫不估價&lt;/td&gt;&lt;/tr&gt;&lt;tr&gt;&lt;td&gt;8&lt;/td&gt;&lt;td&gt;木襯板&lt;/td&gt;&lt;td&gt; $M^{2}$ &lt;/td&gt;&lt;td&gt;72&lt;/td&gt;&lt;td&gt;-&lt;/td&gt;&lt;td&gt;</x:v>
      </x:c>
    </x:row>
    <x:row r="99">
      <x:c r="A99" s="69" t="str">
        <x:v>SRC082</x:v>
      </x:c>
      <x:c r="B99" s="69" t="str">
        <x:v>原文3</x:v>
      </x:c>
      <x:c r="C99" s="69" t="str">
        <x:v>markdown_fulltext</x:v>
      </x:c>
      <x:c r="D99" s="69" t="str">
        <x:v>16000–24000</x:v>
      </x:c>
      <x:c r="E99" s="71" t="str">
        <x:v>$0&lt;/td&gt;&lt;td&gt;業主自理.暫不估價&lt;/td&gt;&lt;/tr&gt;&lt;tr&gt;&lt;td&gt;&lt;/td&gt;&lt;td&gt;小計&lt;/td&gt;&lt;td&gt;&lt;/td&gt;&lt;td&gt;&lt;/td&gt;&lt;td&gt;&lt;/td&gt;&lt;td&gt;$1,121,050&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 rowspan="10"&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r&gt;&lt;/table&gt;
## 工程預算書
工程名稱：向上龍富段新建工程 估算明細
製表日期：2023/12/1
&lt;table&gt;&lt;tr&gt;&lt;td&gt;項次&lt;/td&gt;&lt;td&gt;名稱及規格&lt;/td&gt;&lt;td&gt;單位&lt;/td&gt;&lt;td&gt;數量&lt;/td&gt;&lt;td&gt;單價&lt;/td&gt;&lt;td&gt;總價&lt;/td&gt;&lt;td&gt;備註&lt;/td&gt;&lt;/tr&gt;&lt;tr&gt;&lt;td&gt;參&lt;/td&gt;&lt;td&gt;結構體工程&lt;/td&gt;&lt;td&gt;&lt;/td&gt;&lt;td&gt;&lt;/td&gt;&lt;td&gt;&lt;/td&gt;&lt;td&gt;&lt;/td&gt;&lt;td&gt;&lt;/td&gt;&lt;/tr&gt;&lt;tr&gt;&lt;td&gt;1&lt;/td&gt;&lt;td&gt;放樣工程&lt;/td&gt;&lt;td&gt;M2&lt;/td&gt;&lt;td&gt;1,272&lt;/td&gt;&lt;td&gt;200&lt;/td&gt;&lt;td&gt;$254,400&lt;/td&gt;&lt;td&gt;&lt;/td&gt;&lt;/tr&gt;&lt;tr&gt;&lt;td&gt;2&lt;/td&gt;&lt;td&gt;鋼筋材料Fy&amp;#x27;=4200高拉力鋼筋(含#6以上)&lt;/td&gt;&lt;td&gt;噸&lt;/td&gt;&lt;td&gt;152&lt;/td&gt;&lt;td&gt;22,500&lt;/td&gt;&lt;td&gt;$3,420,000&lt;/td&gt;&lt;td&gt;依當週時價簽訂&lt;/td&gt;&lt;/tr&gt;&lt;tr&gt;&lt;td&gt;3&lt;/td&gt;&lt;td&gt;鋼筋材料Fy&amp;#x27;=2800中拉力鋼筋(含#5以下)&lt;/td&gt;&lt;td&gt;噸&lt;/td&gt;&lt;td&gt;110.94&lt;/td&gt;&lt;td&gt;21,500&lt;/td&gt;&lt;td&gt;$2,385,210&lt;/td&gt;&lt;td&gt;依當週時價簽訂(扣除隔間牆)&lt;/td&gt;&lt;/tr&gt;&lt;tr&gt;&lt;td&gt;4&lt;/td&gt;&lt;td&gt;鋼筋綁紮、加工裁切及運送&lt;/td&gt;&lt;td&gt;噸&lt;/td&gt;&lt;td&gt;262.94&lt;/td&gt;&lt;td&gt;8,000&lt;/td&gt;&lt;td&gt;$2,103,520&lt;/td&gt;&lt;td&gt;扣除隔間牆&lt;/td&gt;&lt;/tr&gt;&lt;tr&gt;&lt;td&gt;5&lt;/td&gt;&lt;td&gt;2000PSI預拌混凝土&lt;/td&gt;&lt;td&gt;M3&lt;/td&gt;&lt;td&gt;28&lt;/td&gt;&lt;td&gt;2,700&lt;/td&gt;&lt;td&gt;$75,600&lt;/td&gt;&lt;td&gt;&lt;/td&gt;&lt;/tr&gt;&lt;tr&gt;&lt;td&gt;6&lt;/td&gt;&lt;td&gt;4000PSI預拌混凝土&lt;/td&gt;&lt;td&gt;M3&lt;/td&gt;&lt;td&gt;1,358&lt;/td&gt;&lt;td&gt;2,800&lt;/td&gt;&lt;td&gt;$3,802,120&lt;/td&gt;&lt;td&gt;扣除隔間牆&lt;/td&gt;&lt;/tr&gt;&lt;tr&gt;&lt;td&gt;7&lt;/td&gt;&lt;td&gt;混凝土壓送費&lt;/td&gt;&lt;td&gt;M3&lt;/td&gt;&lt;td&gt;1,386&lt;/td&gt;&lt;td&gt;350&lt;/td&gt;&lt;td&gt;$485,065&lt;/td&gt;&lt;td&gt;扣除隔間牆&lt;/td&gt;&lt;/tr&gt;&lt;tr&gt;&lt;td&gt;8&lt;/td&gt;&lt;td&gt;一般模板組立及消耗&lt;/td&gt;&lt;td&gt;M2&lt;/td&gt;&lt;td&gt;6,618&lt;/td&gt;&lt;td&gt;850&lt;/td&gt;&lt;td&gt;$5,625,130&lt;/td&gt;&lt;td&gt;扣除隔間牆&lt;/td&gt;&lt;/tr&gt;&lt;tr&gt;&lt;td&gt;9&lt;/td&gt;&lt;td&gt;Φ=60cm,L=2.15m空打+2.5m攪拌樁施工費&lt;/td&gt;&lt;td&gt;支&lt;/td&gt;&lt;td&gt;24&lt;/td&gt;&lt;td&gt;12,000&lt;/td&gt;&lt;td&gt;$288,000&lt;/td&gt;&lt;td&gt;&lt;/td&gt;&lt;/tr&gt;&lt;tr&gt;&lt;td&gt;10&lt;/td&gt;&lt;td&gt;攪拌樁機具動員費&lt;/td&gt;&lt;td&gt;式&lt;/td&gt;&lt;td&gt;1&lt;/td&gt;&lt;td&gt;165,000&lt;/td&gt;&lt;td&gt;$165,000&lt;/td&gt;&lt;td&gt;&lt;/td&gt;&lt;/tr&gt;&lt;tr&gt;&lt;td&gt;11&lt;/td&gt;&lt;td&gt;攪拌樁水泥(40kg裝)&lt;/td&gt;&lt;td&gt;包&lt;/td&gt;&lt;td&gt;1,280&lt;/td&gt;&lt;td&gt;170&lt;/td&gt;&lt;td&gt;$217,600&lt;/td&gt;&lt;td&gt;&lt;/td&gt;&lt;/tr&gt;&lt;tr&gt;&lt;td&gt;&lt;/td&gt;&lt;td&gt;小計&lt;/td&gt;&lt;td&gt;&lt;/td&gt;&lt;td&gt;&lt;/td&gt;&lt;td&gt;&lt;/td&gt;&lt;td&gt;$18,821,645&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 rowspan="2"&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 工程預算書
工程名稱：向上龍富段新建工程 估算明細
製表日期：2023/12/1
&lt;table&gt;&lt;tr&gt;&lt;td&gt;項次&lt;/td&gt;&lt;td&gt;名稱及規格&lt;/td&gt;&lt;td&gt;單位&lt;/td&gt;&lt;td&gt;數量&lt;/td&gt;&lt;td&gt;單價&lt;/td&gt;&lt;td&gt;總價&lt;/td&gt;&lt;td&gt;備註&lt;/td&gt;&lt;/tr&gt;&lt;tr&gt;&lt;td&gt;伍&lt;/td&gt;&lt;td&gt;水電工程&lt;/td&gt;&lt;td&gt;&lt;/td&gt;&lt;td&gt;&lt;/td&gt;&lt;td&gt;&lt;/td&gt;&lt;td&gt;&lt;/td&gt;&lt;td&gt;&lt;/td&gt;&lt;/tr&gt;&lt;tr&gt;&lt;td&gt;1&lt;/td&gt;&lt;td&gt;水電工程&lt;/td&gt;&lt;td&gt;坪&lt;/td&gt;&lt;td&gt;385&lt;/td&gt;&lt;td&gt;&lt;/td&gt;&lt;td&gt;$0&lt;/td&gt;&lt;td&gt;&lt;/td&gt;&lt;/tr&gt;&lt;tr&gt;&lt;td&gt;2&lt;/td&gt;&lt;td&gt;化糞池(10人份)&lt;/td&gt;&lt;td&gt;座&lt;/td&gt;&lt;td&gt;3&lt;/td&gt;&lt;td&gt;48,000&lt;/td&gt;&lt;td&gt;$144,000&lt;/td&gt;&lt;td&gt;&lt;/td&gt;&lt;/tr&gt;&lt;tr&gt;&lt;td&gt;3&lt;/td&gt;&lt;td&gt;衛浴設備&lt;/td&gt;&lt;td&gt;套&lt;/td&gt;&lt;td&gt;22&lt;/td&gt;&lt;td&gt;-&lt;/td&gt;&lt;td&gt;$0&lt;/td&gt;&lt;td&gt;另估於裝修工程&lt;/td&gt;&lt;/tr&gt;&lt;tr&gt;&lt;td&gt;&lt;/td&gt;&lt;td&gt;a.馬桶&lt;/td&gt;&lt;td&gt;&lt;/td&gt;&lt;td&gt;&lt;/td&gt;&lt;td&gt;&lt;/td&gt;&lt;td&gt;&lt;/td&gt;&lt;td&gt;&lt;/td&gt;&lt;/tr&gt;&lt;tr&gt;&lt;td&gt;&lt;/td&gt;&lt;td&gt;b.單槍龍頭+面盆&lt;/td&gt;&lt;td&gt;&lt;/td&gt;&lt;td&gt;&lt;/td&gt;&lt;td&gt;&lt;/td&gt;&lt;td&gt;&lt;/td&gt;&lt;td&gt;&lt;/td&gt;&lt;/tr&gt;&lt;tr&gt;&lt;td&gt;&lt;/td&gt;&lt;td&gt;c.淋浴龍頭&lt;/td&gt;&lt;td&gt;&lt;/td&gt;&lt;td&gt;&lt;/td&gt;&lt;td&gt;&lt;/td&gt;&lt;td&gt;&lt;/td&gt;&lt;td&gt;&lt;/td&gt;&lt;/tr&gt;&lt;tr&gt;&lt;td&gt;&lt;/td&gt;&lt;td&gt;d.明鏡&lt;/td&gt;&lt;td&gt;&lt;/td&gt;&lt;td&gt;&lt;/td&gt;&lt;td&gt;&lt;/td&gt;&lt;td&gt;&lt;/td&gt;&lt;td&gt;&lt;/td&gt;&lt;/tr&gt;&lt;tr&gt;&lt;td&gt;&lt;/td&gt;&lt;td&gt;e.PVC乾溼分離&lt;/td&gt;&lt;td&gt;&lt;/td&gt;&lt;td&gt;&lt;/td&gt;&lt;td&gt;&lt;/td&gt;&lt;td&gt;&lt;/td&gt;&lt;td&gt;&lt;/td&gt;&lt;/tr&gt;&lt;tr&gt;&lt;td&gt;&lt;/td&gt;&lt;td&gt;※消防圖說尚未詳盡,未含於本次估價內容&lt;/td&gt;&lt;td&gt;&lt;/td&gt;&lt;td&gt;&lt;/td&gt;&lt;td&gt;&lt;/td&gt;&lt;td&gt;&lt;/td&gt;&lt;td&gt;&lt;/td&gt;&lt;/tr&gt;&lt;tr&gt;&lt;td&gt;&lt;/td&gt;&lt;td&gt;小計&lt;/td&gt;&lt;td&gt;&lt;/td&gt;&lt;td&gt;&lt;/td&gt;&lt;td&gt;&lt;/td&gt;&lt;td&gt;$144,000&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 rowspan="2"&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向上建設龍富段新建工程-付款比例表
&lt;table&gt;&lt;tr&gt;&lt;td&gt;期別&lt;/td&gt;&lt;td&gt;工程進度&lt;/td&gt;&lt;td&gt;百分比&lt;/td&gt;&lt;td&gt;累計百分比&lt;/td&gt;&lt;td&gt;備註&lt;/td&gt;&lt;td&gt;24,150,000&lt;/td&gt;&lt;/tr&gt;&lt;tr&gt;&lt;td&gt;1&lt;/td&gt;&lt;td&gt;簽約完成&lt;/td&gt;&lt;td&gt;10.00%&lt;/td&gt;&lt;td&gt;10.00%&lt;/td&gt;&lt;td&gt;2,415,000&lt;/td&gt;&lt;td&gt;假設、基礎工程&lt;/td&gt;&lt;/tr&gt;&lt;tr&gt;&lt;td&gt;2&lt;/td&gt;&lt;td&gt;基礎版 RC 澾置完成&lt;/td&gt;&lt;td&gt;10.00%&lt;/td&gt;&lt;td&gt;20.00%&lt;/td&gt;&lt;td&gt;2,415,000&lt;/td&gt;&lt;td&gt;結構工程&lt;/td&gt;&lt;/tr&gt;&lt;tr&gt;&lt;td&gt;3&lt;/td&gt;&lt;td&gt;一樓版 RC 澾置完成&lt;/td&gt;&lt;td&gt;5.00%&lt;/td&gt;&lt;td&gt;25.00%&lt;/td&gt;&lt;td&gt;1,207,500&lt;/td&gt;&lt;td&gt;結構工程&lt;/td&gt;&lt;/tr&gt;&lt;tr&gt;&lt;td&gt;4&lt;/td&gt;&lt;td&gt;二樓版 RC 澾置完成&lt;/td&gt;&lt;td&gt;10.00%&lt;/td&gt;&lt;td&gt;35.00%&lt;/td&gt;&lt;td&gt;2,415,000&lt;/td&gt;&lt;td&gt;結構工程&lt;/td&gt;&lt;/tr&gt;&lt;tr&gt;&lt;td&gt;5&lt;/td&gt;&lt;td&gt;三樓版 RC 澾置完成&lt;/td&gt;&lt;td&gt;10.00%&lt;/td&gt;&lt;td&gt;45.00%&lt;/td&gt;&lt;td&gt;2,415,000&lt;/td&gt;&lt;td&gt;結構工程&lt;/td&gt;&lt;/tr&gt;&lt;tr&gt;&lt;td&gt;6&lt;/td&gt;&lt;td&gt;四樓版 RC 澾置完成&lt;/td&gt;&lt;td&gt;10.00%&lt;/td&gt;&lt;td&gt;55.00%&lt;/td&gt;&lt;td&gt;2,415,000&lt;/td&gt;&lt;td&gt;結構工程&lt;/td&gt;&lt;/tr&gt;&lt;tr&gt;&lt;td&gt;7&lt;/td&gt;&lt;td&gt;五樓版 RC 澾置完成&lt;/td&gt;&lt;td&gt;10.00%&lt;/td&gt;&lt;td&gt;65.00%&lt;/td&gt;&lt;td&gt;2,415,000&lt;/td&gt;&lt;td&gt;結構工程&lt;/td&gt;&lt;/tr&gt;&lt;tr&gt;&lt;td&gt;8&lt;/td&gt;&lt;td&gt;六樓版 RC 澾置完成&lt;/td&gt;&lt;td&gt;10.00%&lt;/td&gt;&lt;td&gt;75.00%&lt;/td&gt;&lt;td&gt;2,415,000&lt;/td&gt;&lt;td&gt;結構工程&lt;/td&gt;&lt;/tr&gt;&lt;tr&gt;&lt;td&gt;9&lt;/td&gt;&lt;td&gt;七樓版 RC 澾置完成&lt;/td&gt;&lt;td&gt;10.00%&lt;/td&gt;&lt;td&gt;85.00%&lt;/td&gt;&lt;td&gt;2,415,000&lt;/td&gt;&lt;td&gt;結構工程&lt;/td&gt;&lt;/tr&gt;&lt;tr&gt;&lt;td&gt;10&lt;/td&gt;&lt;td&gt;屋頂版 RC 澾置完成&lt;/td&gt;&lt;td&gt;10.00%&lt;/td&gt;&lt;td&gt;95.00%&lt;/td&gt;&lt;td&gt;2,415,000&lt;/td&gt;&lt;td&gt;結構工程&lt;/td&gt;&lt;/tr&gt;&lt;tr&gt;&lt;td&gt;11&lt;/td&gt;&lt;td&gt;屋頂突出物 RC 澾置完成&lt;/td&gt;&lt;td&gt;5.00%&lt;/td&gt;&lt;td&gt;100.00%&lt;/td&gt;&lt;td&gt;1,207,500&lt;/td&gt;&lt;td&gt;結構工程&lt;/td&gt;&lt;/tr&gt;&lt;tr&gt;&lt;td&gt;&lt;/td&gt;&lt;td&gt;小計&lt;/td&gt;&lt;td&gt;100.00%&lt;/td&gt;&lt;td&gt;&lt;/td&gt;&lt;td&gt;24,150,000&lt;/td&gt;&lt;td&gt;&lt;/td&gt;&lt;/tr&gt;&lt;/table&gt;
龍富段集合住宅新建工程-結構預定進度表
## 向上建設股份有限公司
&lt;table&gt;&lt;tr&gt;&lt;td&gt;項次&lt;/td&gt;&lt;td&gt;任務名稱&lt;/td&gt;&lt;td&gt;工期&lt;/td&gt;&lt;td&gt;開始時間&lt;/td&gt;&lt;td&gt;完成時間&lt;/td&gt;&lt;td&gt;備註&lt;/td&gt;&lt;/tr&gt;&lt;tr&gt;&lt;td&gt;&lt;/td&gt;&lt;td&gt;開工準備至</x:v>
      </x:c>
    </x:row>
    <x:row r="100">
      <x:c r="A100" s="69" t="str">
        <x:v>SRC082</x:v>
      </x:c>
      <x:c r="B100" s="69" t="str">
        <x:v>原文4</x:v>
      </x:c>
      <x:c r="C100" s="69" t="str">
        <x:v>markdown_fulltext</x:v>
      </x:c>
      <x:c r="D100" s="69" t="str">
        <x:v>24000–32000</x:v>
      </x:c>
      <x:c r="E100" s="71" t="str">
        <x:v>結構體完成&lt;/td&gt;&lt;td&gt;200&lt;/td&gt;&lt;td&gt;112/11/1&lt;/td&gt;&lt;td&gt;113/5/19&lt;/td&gt;&lt;td&gt;6.7 個月&lt;/td&gt;&lt;/tr&gt;&lt;tr&gt;&lt;td&gt;壹&lt;/td&gt;&lt;td&gt;行政程序&lt;/td&gt;&lt;td&gt;44&lt;/td&gt;&lt;td&gt;112/11/1&lt;/td&gt;&lt;td&gt;112/12/15&lt;/td&gt;&lt;td&gt;&lt;/td&gt;&lt;/tr&gt;&lt;tr&gt;&lt;td&gt;1&lt;/td&gt;&lt;td&gt;開工準備作業(含開工典禮、空汙費繳納、逕流廢水削減計畫、鄰房鑑定、臨時水電)&lt;/td&gt;&lt;td&gt;30&lt;/td&gt;&lt;td&gt;112/11/1&lt;/td&gt;&lt;td&gt;112/11/30&lt;/td&gt;&lt;td&gt;&lt;/td&gt;&lt;/tr&gt;&lt;tr&gt;&lt;td&gt;2&lt;/td&gt;&lt;td&gt;施工計畫製作&lt;/td&gt;&lt;td&gt;5&lt;/td&gt;&lt;td&gt;112/12/1&lt;/td&gt;&lt;td&gt;112/12/5&lt;/td&gt;&lt;td&gt;&lt;/td&gt;&lt;/tr&gt;&lt;tr&gt;&lt;td&gt;3&lt;/td&gt;&lt;td&gt;申報開工&lt;/td&gt;&lt;td&gt;5&lt;/td&gt;&lt;td&gt;112/12/6&lt;/td&gt;&lt;td&gt;112/12/10&lt;/td&gt;&lt;td&gt;&lt;/td&gt;&lt;/tr&gt;&lt;tr&gt;&lt;td&gt;4&lt;/td&gt;&lt;td&gt;放樣勘驗核定&lt;/td&gt;&lt;td&gt;5&lt;/td&gt;&lt;td&gt;112/12/11&lt;/td&gt;&lt;td&gt;112/12/15&lt;/td&gt;&lt;td&gt;&lt;/td&gt;&lt;/tr&gt;&lt;tr&gt;&lt;td&gt;貳&lt;/td&gt;&lt;td&gt;龍富段新建工程施工總體預定工期(放勘完成後開始計算工期)&lt;/td&gt;&lt;td&gt;156&lt;/td&gt;&lt;td&gt;112/12/16&lt;/td&gt;&lt;td&gt;113/5/19&lt;/td&gt;&lt;td&gt;5.2 個月&lt;/td&gt;&lt;/tr&gt;&lt;tr&gt;&lt;td&gt;一&lt;/td&gt;&lt;td&gt;基礎工程&lt;/td&gt;&lt;td&gt;17&lt;/td&gt;&lt;td&gt;112/12/16&lt;/td&gt;&lt;td&gt;113/1/1&lt;/td&gt;&lt;td&gt;&lt;/td&gt;&lt;/tr&gt;&lt;tr&gt;&lt;td&gt;1&lt;/td&gt;&lt;td&gt;基地整地&lt;/td&gt;&lt;td&gt;2&lt;/td&gt;&lt;td&gt;112/12/16&lt;/td&gt;&lt;td&gt;112/12/17&lt;/td&gt;&lt;td&gt;&lt;/td&gt;&lt;/tr&gt;&lt;tr&gt;&lt;td&gt;2&lt;/td&gt;&lt;td&gt;地質改良樁工程&lt;/td&gt;&lt;td&gt;10&lt;/td&gt;&lt;td&gt;112/12/18&lt;/td&gt;&lt;td&gt;112/12/27&lt;/td&gt;&lt;td&gt;&lt;/td&gt;&lt;/tr&gt;&lt;tr&gt;&lt;td&gt;3&lt;/td&gt;&lt;td&gt;土方挖運&lt;/td&gt;&lt;td&gt;5&lt;/td&gt;&lt;td&gt;112/12/28&lt;/td&gt;&lt;td&gt;113/1/1&lt;/td&gt;&lt;td&gt;&lt;/td&gt;&lt;/tr&gt;&lt;tr&gt;&lt;td&gt;二&lt;/td&gt;&lt;td&gt;結構體工程&lt;/td&gt;&lt;td&gt;139&lt;/td&gt;&lt;td&gt;113/1/2&lt;/td&gt;&lt;td&gt;113/5/19&lt;/td&gt;&lt;td&gt;&lt;/td&gt;&lt;/tr&gt;&lt;tr&gt;&lt;td&gt;1&lt;/td&gt;&lt;td&gt;接地、筏基PC及放樣&lt;/td&gt;&lt;td&gt;2&lt;/td&gt;&lt;td&gt;113/1/2&lt;/td&gt;&lt;td&gt;113/1/3&lt;/td&gt;&lt;td&gt;&lt;/td&gt;&lt;/tr&gt;&lt;tr&gt;&lt;td&gt;2&lt;/td&gt;&lt;td&gt;筏基底版鋼筋吊運組立及灌漿&lt;/td&gt;&lt;td&gt;4&lt;/td&gt;&lt;td&gt;113/1/4&lt;/td&gt;&lt;td&gt;113/1/7&lt;/td&gt;&lt;td&gt;&lt;/td&gt;&lt;/tr&gt;&lt;tr&gt;&lt;td&gt;3&lt;/td&gt;&lt;td&gt;筏基地樑、牆鋼筋模板組立及灌漿&lt;/td&gt;&lt;td&gt;6&lt;/td&gt;&lt;td&gt;113/1/8&lt;/td&gt;&lt;td&gt;113/1/13&lt;/td&gt;&lt;td&gt;&lt;/td&gt;&lt;/tr&gt;&lt;tr&gt;&lt;td&gt;4&lt;/td&gt;&lt;td&gt;1FL鋼筋模板組立及灌漿(含養護)&lt;/td&gt;&lt;td&gt;7&lt;/td&gt;&lt;td&gt;113/1/14&lt;/td&gt;&lt;td&gt;113/1/20&lt;/td&gt;&lt;td&gt;&lt;/td&gt;&lt;/tr&gt;&lt;tr&gt;&lt;td&gt;5&lt;/td&gt;&lt;td&gt;2FL工程〈含放樣〉&lt;/td&gt;&lt;td&gt;20&lt;/td&gt;&lt;td&gt;113/1/21&lt;/td&gt;&lt;td&gt;113/2/9&lt;/td&gt;&lt;td&gt;&lt;/td&gt;&lt;/tr&gt;&lt;tr&gt;&lt;td&gt;6&lt;/td&gt;&lt;td&gt;3FL工程〈含放樣〉&lt;/td&gt;&lt;td&gt;15&lt;/td&gt;&lt;td&gt;113/2/10&lt;/td&gt;&lt;td&gt;113/2/24&lt;/td&gt;&lt;td&gt;&lt;/td&gt;&lt;/tr&gt;&lt;tr&gt;&lt;td&gt;7&lt;/td&gt;&lt;td&gt;4FL工程〈含放樣〉&lt;/td&gt;&lt;td&gt;15&lt;/td&gt;&lt;td&gt;113/2/25&lt;/td&gt;&lt;td&gt;113/3/10&lt;/td&gt;&lt;td&gt;&lt;/td&gt;&lt;/tr&gt;&lt;tr&gt;&lt;td&gt;8&lt;/td&gt;&lt;td&gt;5FL工程〈含放樣〉&lt;/td&gt;&lt;td&gt;15&lt;/td&gt;&lt;td&gt;113/3/11&lt;/td&gt;&lt;td&gt;113/3/25&lt;/td&gt;&lt;td&gt;&lt;/td&gt;&lt;/tr&gt;&lt;tr&gt;&lt;td&gt;9&lt;/td&gt;&lt;td&gt;6FL工程〈含放樣〉&lt;/td&gt;&lt;td&gt;15&lt;/td&gt;&lt;td&gt;113/3/26&lt;/td&gt;&lt;td&gt;113/4/9&lt;/td&gt;&lt;td&gt;&lt;/td&gt;&lt;/tr&gt;&lt;tr&gt;&lt;td&gt;10&lt;/td&gt;&lt;td&gt;7FL工程〈含放樣〉&lt;/td&gt;&lt;td&gt;15&lt;/td&gt;&lt;td&gt;113/4/10&lt;/td&gt;&lt;td&gt;113/4/24&lt;/td&gt;&lt;td&gt;&lt;/td&gt;&lt;/tr&gt;&lt;tr&gt;&lt;td&gt;11&lt;/td&gt;&lt;td&gt;PRFL水箱工程〈含放樣〉&lt;/td&gt;&lt;td&gt;15&lt;/td&gt;&lt;td&gt;113/4/25&lt;/td&gt;&lt;td&gt;113/5/9&lt;/td&gt;&lt;td&gt;&lt;/td&gt;&lt;/tr&gt;&lt;tr&gt;&lt;td&gt;12&lt;/td&gt;&lt;td&gt;屋突工程〈含放樣〉&lt;/td&gt;&lt;td&gt;10&lt;/td&gt;&lt;td&gt;113/5/10&lt;/td&gt;&lt;td&gt;113/5/19&lt;/td&gt;&lt;td&gt;&lt;/td&gt;&lt;/tr&gt;&lt;/table&gt;
![](images/a0651ff7ca7216264b2a5199c3648b791a25be0f97254745c4bac9d79f9be05b.jpg)
&lt;table&gt;&lt;tr&gt;&lt;td colspan="4"&gt;注意事項:1.本套圖說經政府核准有案,起造人,承造人必須按圖施工,並提請查驗,否則其後果由起造人,承造人負全責.2.建物興建前,起造人應指界,無法指界時起造人應請地政單位指界倘核准圖面與實地不盡相符時,須依照實際基地範圍內建築,並辦理變更設計,不得越界佔鄰地,一切指界糾紛概由起造人負責.3.建造房屋必須委請合法且無欠稅之營造廠商承建.模板製作,由承造人繪模板支撐結構及大樓圖經主任核師核算無誤後施工.4.必須確實按照核准圖樣施工,如有未盡事宜或未瞭解圖貌之情形,營造廠應先徵詢建築師再行施工,如原計劃有未盡理想之處,欲予變更原設計時,務須事先辦理變更手續,經核准後再行施工,以符合法令,切勿擅自更改.5.必須注意鄰居房屋之安全,及道路行人,車輛之安全,並不可將建築材料堆置於道路上妨礙交通.6.施工中主要結構部份,應按照規定逐步由承造廠提出部份查驗及開工報告,展期等手續,以備竣工請領使用執照.&lt;/td&gt;&lt;/tr&gt;&lt;tr&gt;&lt;td&gt;修正REVISION&lt;/td&gt;&lt;td&gt;日期DATE&lt;/td&gt;&lt;td&gt;說明DESCRIPTION&lt;/td&gt;&lt;td&gt;核準APPROVED BY&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 colspan="4"&gt;葉富傑建築師事務所所址:苗栗騧竹南鎮中港里八德街一之一號電話:(037)469000傳真:(037)480533送照圖&lt;/td&gt;&lt;/tr&gt;&lt;tr&gt;&lt;td colspan="4"&gt;簽章&lt;/td&gt;&lt;/tr&gt;&lt;tr&gt;&lt;td colspan="4"&gt;審核&lt;/td&gt;&lt;/tr&gt;&lt;tr&gt;&lt;td colspan="4"&gt;工程名稱PROJECT TITLE向上建設集合住宅等11戶新建工程後龍鎮龍富段614地號送照圖&lt;/td&gt;&lt;/tr&gt;&lt;tr&gt;&lt;td colspan="4"&gt;圖名DRAWING NAME索引表,面積計算表,地籍圖&lt;/td&gt;&lt;/tr&gt;&lt;tr&gt;&lt;td colspan="2"&gt;張號SHEET NO.[IMAGE]&lt;/td&gt;&lt;td colspan="2"&gt;圖號DRAWING NO.A1-1&lt;/td&gt;&lt;/tr&gt;&lt;tr&gt;&lt;td colspan="2"&gt;核準APPROVED BY&lt;/td&gt;&lt;td colspan="2"&gt;比例SCALE&lt;/td&gt;&lt;/tr&gt;&lt;tr&gt;&lt;td colspan="2"&gt;設計DESIGN BY&lt;/td&gt;&lt;td colspan="2"&gt;日期DATE&lt;/td&gt;&lt;/tr&gt;&lt;tr&gt;&lt;td colspan="2"&gt;繪圖DRAWN BY&lt;/td&gt;&lt;td colspan="2"&gt;核對CHECKED BY&lt;/td&gt;&lt;/tr&gt;&lt;tr&gt;&lt;td colspan="4"&gt;業務號PROJECT NO.&lt;/td&gt;&lt;/tr&gt;&lt;/table&gt;
&lt;table&gt;&lt;tr&gt;&lt;td&gt;座落&lt;/td&gt;&lt;td colspan="10"&gt;後龍鎮龍富段614地號(第二種住宅區:建蔽率50%,容積率180%)&lt;/td&gt;&lt;/tr&gt;&lt;tr&gt;&lt;td&gt;面積&lt;/td&gt;&lt;td colspan="10"&gt;土地謄本面積=406.88( $m^{2}$ )&lt;/td&gt;&lt;/tr&gt;&lt;tr&gt;&lt;td&gt;管道面積&lt;/td&gt;&lt;td colspan="10"&gt;詳A2-1面積計算=75.11( $m^{2}$ )(當空地)&lt;/td&gt;&lt;/tr&gt;&lt;tr&gt;&lt;td&gt;面積&lt;/td&gt;&lt;td colspan="10"&gt;406.88( $m^{2}$ )&lt;/td&gt;&lt;/tr&gt;&lt;tr&gt;&lt;td&gt;面數&lt;/td&gt;&lt;td colspan="10"&gt;壹幢壹棟地上柒層共拾壹戶,RC造&lt;/td&gt;&lt;/tr&gt;&lt;tr&gt;&lt;td rowspan="2"&gt;&lt;/td&gt;&lt;td colspan="8"&gt;(計算式詳各層平面圖)&lt;/td&gt;&lt;td colspan="2"&gt;&lt;/td&gt;&lt;/tr&gt;&lt;tr&gt;&lt;td&gt;樓地板面積( $m^{2}$ )&lt;/td&gt;&lt;td&gt;陽台面積( $m^{2}$ )&lt;/td&gt;&lt;td&gt;停車空間( $m^{2}$ )&lt;/td&gt;&lt;td&gt;梯廳&amp;gt;2M( $m^{2}$ )&lt;/td&gt;&lt;td&gt;安全梯( $m^{2}$ )&lt;/td&gt;&lt;td&gt;機電空間( $m^{2}$ )&lt;/td&gt;&lt;td&gt;陽台&amp;gt;10\%( $m^{2}$ )&lt;/td&gt;&lt;td&gt;容積面積( $m^{2}$ )&lt;/td&gt;&lt;td&gt;樓高&lt;/td&gt;&lt;td&gt;用途&lt;/td&gt;&lt;/tr&gt;&lt;tr&gt;&lt;td&gt;面積&lt;/td&gt;&lt;td&gt;197.87&lt;/td&gt;&lt;td&gt;--&lt;/td&gt;&lt;td&gt;176.04&lt;/td&gt;&lt;td&gt;5.8&lt;/td&gt;&lt;td&gt;11.41&lt;/td&gt;&lt;td&gt;--&lt;/td&gt;&lt;td&gt;--&lt;/td&gt;&lt;td&gt;197.87-176.04-5.8-11.41=4.62&lt;/td&gt;&lt;td&gt;4.3M&lt;/td&gt;&lt;td&gt;停車空間&lt;/td&gt;&lt;/tr&gt;&lt;tr&gt;&lt;td&gt;面積&lt;/td&gt;&lt;td&gt;165.33&lt;/td&gt;&lt;td&gt;21.97&lt;/td&gt;&lt;td&gt;--&lt;/td&gt;&lt;td&gt;5.67&lt;/td&gt;&lt;td&gt;11.04&lt;/td&gt;&lt;td&gt;--&lt;/td&gt;&lt;td&gt;5.44&lt;/td&gt;&lt;td&gt;165.33-5.67-11.04+5.44=154.06&lt;/td&gt;&lt;td&gt;3.4M&lt;/td&gt;&lt;td&gt;集合住宅&lt;/td&gt;&lt;/tr&gt;&lt;tr&gt;&lt;td&gt;面積&lt;/td&gt;&lt;td&gt;165.33&lt;/td&gt;&lt;td&gt;21.97&lt;/td&gt;&lt;td&gt;--&lt;/td&gt;&lt;td&gt;5.67&lt;/td&gt;&lt;td&gt;11.04&lt;/td&gt;&lt;td&gt;--&lt;/td&gt;&lt;td&gt;5.44&lt;/td&gt;&lt;td&gt;165.33-5.67-11.04+5.44=154.06&lt;/td&gt;&lt;td&gt;3.4M&lt;/td&gt;&lt;td&gt;集合住宅&lt;/td&gt;&lt;/tr&gt;&lt;tr&gt;&lt;td&gt;面積&lt;/td&gt;&lt;td&gt;165.33&lt;/td&gt;&lt;td&gt;21.97&lt;/td&gt;&lt;td&gt;--&lt;/td&gt;&lt;td&gt;5.57&lt;/td&gt;&lt;td&gt;11.04&lt;/td&gt;&lt;td&gt;--&lt;/td&gt;&lt;td&gt;5.44&lt;/td&gt;&lt;td&gt;165.33-5.67-11.04+5.44=154.06&lt;/td&gt;&lt;td&gt;3.4M&lt;/td&gt;&lt;td&gt;集合住宅&lt;/td&gt;&lt;/tr&gt;&lt;tr&gt;&lt;td&gt;面積&lt;/td&gt;&lt;td&gt;165.33&lt;/td&gt;&lt;td&gt;21.97&lt;/td&gt;&lt;td&gt;--&lt;/td&gt;&lt;td&gt;5.67&lt;/td&gt;&lt;td&gt;11.04&lt;/td&gt;&lt;td&gt;--&lt;/td&gt;&lt;td&gt;5.44&lt;/td&gt;&lt;td&gt;165.33-5,67-11.04+5.44=154.06&lt;/td&gt;&lt;td&gt;3.4M&lt;/td&gt;&lt;td&gt;集合住宅&lt;/td&gt;&lt;/tr&gt;&lt;tr&gt;&lt;td&gt;面積&lt;/td&gt;&lt;td&gt;113.88&lt;/td&gt;&lt;td&gt;14.37&lt;/td&gt;&lt;td&gt;--&lt;/td&gt;&lt;td&gt;5.67&lt;/td&gt;&lt;td&gt;11.04&lt;/td&gt;&lt;td&gt;12.06&lt;/td&gt;&lt;td&gt;2.98&lt;/td&gt;&lt;td&gt;113.88-5.67-11.04-12.06+2.98=88.09&lt;/td&gt;&lt;td&gt;3.4M&lt;/td&gt;&lt;td&gt;集合住宅&lt;/td&gt;&lt;/tr&gt;&lt;tr&gt;&lt;td&gt;面積&lt;/td&gt;&lt;td&gt;21.11&lt;/td&gt;&lt;td&gt;--&lt;/td&gt;&lt;td&gt;--&lt;/td&gt;&lt;td&gt;--&lt;/td&gt;&lt;td&gt;--&lt;/td&gt;&lt;td&gt;--&lt;/td&gt;&lt;td&gt;--&lt;/td&gt;&lt;td&gt;--&lt;/td&gt;&lt;td&gt;3.4M&lt;/td&gt;&lt;td&gt;樓梯間&lt;/td&gt;&lt;/tr&gt;&lt;tr&gt;&lt;td&gt;計&lt;/td&gt;&lt;td&gt;1159.51&lt;/td&gt;&lt;td&gt;124.22&lt;/td&gt;&lt;td&gt;176.04&lt;/td&gt;&lt;td&gt;39.82&lt;/td&gt;&lt;td&gt;77.65&lt;/td&gt;&lt;td&gt;12.06&lt;/td&gt;&lt;td&gt;30.18&lt;/td&gt;&lt;td&gt;4.62+154.06*5+88.09=863.01&lt;/td&gt;&lt;td colspan="2"&gt;建物高度=24.80M建物簷高=24.65M&lt;/td&gt;&lt;/tr&gt;&lt;tr&gt;&lt;td&gt;面積&lt;/td&gt;&lt;td colspan="10"&gt;詳A2-1面積計算=200.65( $m^{2}$ )&lt;/td&gt;&lt;/tr&gt;&lt;tr&gt;&lt;td&gt;室&lt;/td&gt;&lt;td colspan="10"&gt;200.65/406.88=0.495±100%=49.31%&amp;lt;50%....OK&lt;/td&gt;&lt;/tr&gt;&lt;tr&gt;&lt;td&gt;室地&lt;/td&gt;&lt;td colspan="10"&gt;200.65*5/5=200.65°&lt;/td&gt;&lt;/tr&gt;&lt;tr&gt;&lt;td&gt;室間10%&lt;/td&gt;&lt;td colspan="10"&gt;77.65+12.06=89.7(°)&amp;gt;(406.88*1.8+146.48)*10%=87.6989.71-87.89=1.82)(計入容積)&lt;/td&gt;&lt;/tr&gt;&lt;tr&gt;&lt;td&gt;室&lt;/td&gt;&lt;td colspan="10"&gt;(863.01+1.82)/406.88=2.125±0%=212.55%&amp;lt;(406.88*1.8+146.48)/406.88=2.11±0%=216%基準容積(沿街步道空間獎勵75.11*2=150.22&amp;gt;406.88*180%*20%=146.48,取獎勵146.48)&lt;/td&gt;&lt;/tr&gt;&lt;tr&gt;&lt;td&gt;室價&lt;/td&gt;&lt;td colspan="10"&gt;建物造價=6,000*(1159.51+124.22)=7,702.5±80樓地板 陽台雜項造價=(屋頂造型框架)6,000*6.33=37,980合計造價=7,702,380+37,980=7,740,3±0&lt;/td&gt;&lt;/tr&gt;&lt;tr&gt;&lt;td&gt;室間&lt;/td&gt;&lt;td colspan="10"&gt;&lt;/td&gt;&lt;/tr&gt;&lt;tr&gt;&lt;td colspan="11"&gt;區住宅樓地板面積250平方公尺以下需設一部停車位,而每超過150平方公尺則需增設一部停車位,且每一居住單元應留設一部停車位9.51-21.11-176.04-250)/150=4.75輛 需設5輛,本案11戶應設11輛,實設11輛屋突 停車空間平面車位:行動不便車位350*600=1輛,250*550=2輛機械車位:250*550=8輛合計車位:3+8=11輛&lt;/td&gt;&lt;/tr&gt;&lt;/table&gt;
面積計算表  
![](images/ffd3c28666b62b06ed99db9cf2111ddfa74a7fcb0a4e608797384af2a86be117.jpg)
圖例
&lt;table&gt;&lt;tr&gt;&lt;td&gt;圖號&lt;/td&gt;&lt;td&gt;圖名&lt;/td&gt;&lt;td&gt;圖號&lt;/td&gt;&lt;td&gt;圖名&lt;/td&gt;&lt;/tr&gt;&lt;tr&gt;&lt;td&gt;A1-1&lt;/td&gt;&lt;td&gt;索引表,面積計算表,地籍圖&lt;/td&gt;&lt;td&gt;A5-1&lt;/td&gt;&lt;td&gt;電梯詳圖&lt;/td&gt;&lt;/tr&gt;&lt;tr&gt;&lt;td&gt;AA-1&lt;/td&gt;&lt;td&gt;無障礙設施檢討圖&lt;/td&gt;&lt;td&gt;&lt;/td&gt;&lt;td&gt;&lt;/td&gt;&lt;/tr&gt;&lt;tr&gt;&lt;td&gt;&lt;/td&gt;&lt;td&gt;&lt;/td&gt;&lt;td&gt;A5-2&lt;/td&gt;&lt;td&gt;避雷針詳圖&lt;/td&gt;&lt;/tr&gt;&lt;tr&gt;&lt;td&gt;A2-1&lt;/td&gt;&lt;td&gt;一二層平面圖&lt;/td&gt;&lt;td&gt;A5-3&lt;/td&gt;&lt;td&gt;機械停車設備大樣圖&lt;/td&gt;&lt;/tr&gt;&lt;tr&gt;&lt;td&gt;A2-2&lt;/td&gt;&lt;td&gt;三層至屋頂層平面圖&lt;/td&gt;&lt;td&gt;&lt;/td&gt;&lt;td&gt;&lt;/td&gt;&lt;/tr&gt;&lt;tr&gt;&lt;td&gt;A3-1&lt;/td&gt;&lt;td&gt;背向及右側立面圖及日照檢討&lt;/td&gt;&lt;td&gt;A7-1&lt;/td&gt;&lt;td&gt;建築物安全維護設計圖&lt;/td&gt;&lt;/tr&gt;&lt;tr&gt;&lt;td&gt;A3-2&lt;/td&gt;&lt;td&gt;正向及左側立面圖&lt;/td&gt;&lt;td&gt;&lt;/td&gt;&lt;td&gt;&lt;/td&gt;&lt;/tr&gt;&lt;tr&gt;&lt;td&gt;&lt;/td&gt;&lt;td&gt;&lt;/td&gt;&lt;td&gt;&lt;/td&gt;&lt;td&gt;&lt;/td&gt;&lt;/tr&gt;&lt;tr&gt;&lt;td&gt;A4-1&lt;/td&gt;&lt;td&gt;橫向陽台剖面圖&lt;/td&gt;&lt;td&gt;S1-1~2&lt;/td&gt;&lt;td&gt;各層結構平面圖&lt;/td&gt;&lt;/tr&gt;&lt;tr&gt;&lt;td&gt;A4-2&lt;/td&gt;&lt;td&gt;縱向樓梯剖面圖&lt;/td&gt;&lt;td&gt;S2-1&lt;/td&gt;&lt;td&gt;配筋圖&lt;/td&gt;&lt;/tr&gt;&lt;tr&gt;&lt;td&gt;A4-3&lt;/td&gt;&lt;td&gt;縱向電梯剖面圖&lt;/td&gt;&lt;td&gt;S2-2~7&lt;/td&gt;&lt;td&gt;樑配筋圖&lt;/td&gt;&lt;/tr&gt;&lt;tr&gt;&lt;td&gt;A4-4&lt;/td&gt;&lt;td&gt;橫向電梯樓梯剖面圖及門窗圖&lt;/td&gt;&lt;td&gt;S7-1~2&lt;/td&gt;&lt;td&gt;標準配筋圖&lt;/td&gt;&lt;/tr&gt;&lt;tr&gt;&lt;td&gt;&lt;/td&gt;&lt;td&gt;&lt;</x:v>
      </x:c>
    </x:row>
    <x:row r="101">
      <x:c r="A101" s="69" t="str">
        <x:v>SRC082</x:v>
      </x:c>
      <x:c r="B101" s="69" t="str">
        <x:v>原文5</x:v>
      </x:c>
      <x:c r="C101" s="69" t="str">
        <x:v>markdown_fulltext</x:v>
      </x:c>
      <x:c r="D101" s="69" t="str">
        <x:v>32000–40000</x:v>
      </x:c>
      <x:c r="E101" s="71" t="str">
        <x:v>/td&gt;&lt;td&gt;&lt;/td&gt;&lt;td&gt;&lt;/td&gt;&lt;/tr&gt;&lt;/table&gt;
![](images/da921c80b97b369ae0726eab2d5b4042aa7dd116fdd21f1da9081670bf9ba152.jpg)
地籍圖 S:1/500  
![](images/9cb3488d16cfd036a0296779cf705d793bffe7f8e2963b92b7b2bd1a65537ab1.jpg)
![](images/e2e8d197d0aa99d5d6107bfe8d85b2e116834e8147804019b2094ee15bc9c2cc.jpg)
&lt;table&gt;&lt;tr&gt;&lt;td rowspan="4"&gt;公設&lt;/td&gt;&lt;td&gt;停車空間&lt;/td&gt;&lt;td&gt;7.13*3.04+9.82*1.75+10.485*3.36+9.62*0.475*2+10.485*8.65+4.235*0.5=176.040*6=240&lt;/td&gt;&lt;/tr&gt;&lt;tr&gt;&lt;td&gt;安全梯&lt;/td&gt;&lt;td&gt;5.185*2.2=11.41&lt;/td&gt;&lt;/tr&gt;&lt;tr&gt;&lt;td&gt;梯廊&amp;gt;2M&lt;/td&gt;&lt;td&gt;2.635*2.2=5.8(梯廊&amp;gt;2M扣容積)&lt;/td&gt;&lt;/tr&gt;&lt;tr&gt;&lt;td&gt;電梯&lt;/td&gt;&lt;td&gt;2.1*2.2=4.62&lt;/td&gt;&lt;/tr&gt;&lt;tr&gt;&lt;td colspan="2"&gt;樓地板面積合計&lt;/td&gt;&lt;td&gt;176.04+11.41+5.8+4.62=197.87&lt;/td&gt;&lt;/tr&gt;&lt;tr&gt;&lt;td colspan="2"&gt;陽台面積10%檢討&lt;/td&gt;&lt;td&gt;陽台投影面積=0&lt;/td&gt;&lt;/tr&gt;&lt;tr&gt;&lt;td colspan="2"&gt;當層容積面積&lt;/td&gt;&lt;td&gt;197.87-176.04-11.41-5.8=4.62停車空間安全機梯廊&lt;/td&gt;&lt;/tr&gt;&lt;tr&gt;&lt;td colspan="2"&gt;建築面積&lt;/td&gt;&lt;td&gt;197.87+2.765*0.65+0.4*2.465=200.65過程計入建築面積&lt;/td&gt;&lt;/tr&gt;&lt;/table&gt;
&lt;table&gt;&lt;tr&gt;&lt;td colspan="3"&gt;2F採光通風面積檢討 (單位:m2)&lt;/td&gt;&lt;/tr&gt;&lt;tr&gt;&lt;td rowspan="3"&gt;A户&lt;/td&gt;&lt;td&gt;居室面積&lt;/td&gt;&lt;td&gt;80.7-1.53*2.535-2.425*1.52=73.14&lt;/td&gt;&lt;/tr&gt;&lt;tr&gt;&lt;td&gt;採光面積&lt;/td&gt;&lt;td&gt;DW1+DW2+W1*2+W2a*2=(2.2+1.6)*(2.6-0.65)+1.4*1.6*2+0.6*1.1*2=1.3/2.14/8=9.14&lt;/td&gt;&lt;/tr&gt;&lt;tr&gt;&lt;td&gt;通風面積&lt;/td&gt;&lt;td&gt;0.8*2.6+1.6*2.6/2+1.4*1.6/2*2+0.6*1.1/2*2⇒7.08.14*0.05=3.66&lt;/td&gt;&lt;/tr&gt;&lt;tr&gt;&lt;td rowspan="3"&gt;B户&lt;/td&gt;&lt;td&gt;居室面積&lt;/td&gt;&lt;td&gt;63.51-1.535*2.54-2.425*1.52=55.93&lt;/td&gt;&lt;/tr&gt;&lt;tr&gt;&lt;td&gt;採光面積&lt;/td&gt;&lt;td&gt;DW1+W1*2+W2b*3+W4=2.2*(2.6-0.65)+1.4*1.6*2+0.6*1.1*3+1.0*0.6=1.5/3.93/8=6.99&lt;/td&gt;&lt;/tr&gt;&lt;tr&gt;&lt;td&gt;通風面積&lt;/td&gt;&lt;td&gt;0.8*2.6+1.4*1.6/2*2+0.6*1.1/2*3+1.0*0.6/2⇒5.5/3.93*0.05=2.8&lt;/td&gt;&lt;/tr&gt;&lt;/table&gt;
&lt;table&gt;&lt;tr&gt;&lt;td rowspan="2"&gt;A戶&lt;/td&gt;&lt;td&gt;室內面積&lt;/td&gt;&lt;td&gt;8.82*9.15=80.7&lt;/td&gt;&lt;/tr&gt;&lt;tr&gt;&lt;td&gt;陽台面積&lt;/td&gt;&lt;td&gt;1.165*8.65+3.735*1.15=14.37&lt;/td&gt;&lt;/tr&gt;&lt;tr&gt;&lt;td rowspan="2"&gt;B戶&lt;/td&gt;&lt;td&gt;室內面積&lt;/td&gt;&lt;td&gt;5.18*2.54+9.32*1.75+8.82*3.86=63.51&lt;/td&gt;&lt;/tr&gt;&lt;tr&gt;&lt;td&gt;陽台面積&lt;/td&gt;&lt;td&gt;1.165*3.36+1.45*2.54=7.6&lt;/td&gt;&lt;/tr&gt;&lt;tr&gt;&lt;td rowspan="3"&gt;公設&lt;/td&gt;&lt;td&gt;安全梯&lt;/td&gt;&lt;td&gt;5.135*2.15=11.04&lt;/td&gt;&lt;/tr&gt;&lt;tr&gt;&lt;td&gt;梯廳&lt;/td&gt;&lt;td&gt;2.635*2.15=5.67 (梯廳&amp;gt;2M扣容積)&lt;/td&gt;&lt;/tr&gt;&lt;tr&gt;&lt;td&gt;電梯&lt;/td&gt;&lt;td&gt;2.05*2.15=4.41&lt;/td&gt;&lt;/tr&gt;&lt;tr&gt;&lt;td colspan="2"&gt;樓地板面積合計&lt;/td&gt;&lt;td&gt;80.7+63.51+11.04+5.67+4.41=165.33&lt;/td&gt;&lt;/tr&gt;&lt;tr&gt;&lt;td colspan="2"&gt;陽台面積合計&lt;/td&gt;&lt;td&gt;14.37+7.6=21.97&lt;/td&gt;&lt;/tr&gt;&lt;tr&gt;&lt;td colspan="2"&gt;陽台面積10%檢討&lt;/td&gt;&lt;td&gt;21.97 &amp;gt; 165.33*10%=16.53 21.97-16.53=5.44 計入樓地板&lt;/td&gt;&lt;/tr&gt;&lt;tr&gt;&lt;td colspan="2"&gt;梯廳面積10%檢討&lt;/td&gt;&lt;td&gt;5.67 &amp;lt; 165.33*10%=16.53 免計入樓地板&lt;/td&gt;&lt;/tr&gt;&lt;tr&gt;&lt;td colspan="2"&gt;陽台+梯廳面積15%檢討&lt;/td&gt;&lt;td&gt;21.97-5.44+5.67=22.2 22.2 &amp;lt; 165.33*15%=24.80 免計入樓地板&lt;/td&gt;&lt;/tr&gt;&lt;tr&gt;&lt;td colspan="2"&gt;當層容積面積&lt;/td&gt;&lt;td&gt;165.33-11.04-5.67+5.44=154.06 安全梯 楊廳 陽台&amp;gt;10%&lt;/td&gt;&lt;/tr&gt;&lt;/table&gt;
![](images/a52aa668c049a68c0a7427a81b473fa795bf8d7d152fd609102ec72e78c73b58.jpg)
&lt;table&gt;&lt;tr&gt;&lt;td rowspan="3"&gt;A户&lt;/td&gt;&lt;td&gt;居室面積&lt;/td&gt;&lt;td&gt;80.7-1.53*2.535-2.425*1.52=73.14&lt;/td&gt;&lt;/tr&gt;&lt;tr&gt;&lt;td&gt;探光面積&lt;/td&gt;&lt;td&gt;DW1+DW2+W1*2+W2*2=(2.2+1.6)*(2.6-0.65)+1.4*1.6*2+0.6*1.1*2=13.21&amp;gt;73.14/8=9.14&lt;/td&gt;&lt;/tr&gt;&lt;tr&gt;&lt;td&gt;通風面積&lt;/td&gt;&lt;td&gt;0.8*2.6+1.6*2.6/2+1.4*1.6/2*2+0.6*1.1/2*2≈0.08.14*0.05=3.66&lt;/td&gt;&lt;/tr&gt;&lt;tr&gt;&lt;td rowspan="3"&gt;B户&lt;/td&gt;&lt;td&gt;居室面積&lt;/td&gt;&lt;td&gt;63.51-1.535*2.54-2.425*1.52=55.93&lt;/td&gt;&lt;/tr&gt;&lt;tr&gt;&lt;td&gt;探光面積&lt;/td&gt;&lt;td&gt;DW1+W1*2+W2*3+W4=2.2*(2.6-0.65)+1.4*1.6*2+0.6*1.1*3+1.0*0.6=11.35.93/8=6.99&lt;/td&gt;&lt;/tr&gt;&lt;tr&gt;&lt;td&gt;通風面積&lt;/td&gt;&lt;td&gt;0.8*2.6+1.4*1.6/2*2+0.6*1.1/2*3+1.0*0.6/2=5.65.93*0.05=2.8&lt;/td&gt;&lt;/tr&gt;&lt;/table&gt;
&lt;table&gt;&lt;tr&gt;&lt;td rowspan="2"&gt;A戶&lt;/td&gt;&lt;td&gt;室內面積&lt;/td&gt;&lt;td&gt;8.82*9.15=80.7&lt;/td&gt;&lt;/tr&gt;&lt;tr&gt;&lt;td&gt;陽台面積&lt;/td&gt;&lt;td&gt;1.165*8.65+3.735*1.15=14.37&lt;/td&gt;&lt;/tr&gt;&lt;tr&gt;&lt;td rowspan="2"&gt;B戶&lt;/td&gt;&lt;td&gt;室內面積&lt;/td&gt;&lt;td&gt;5.18*2.54+9.32*1.75+8.82*3.86=63.51&lt;/td&gt;&lt;/tr&gt;&lt;tr&gt;&lt;td&gt;陽台面積&lt;/td&gt;&lt;td&gt;1.165*3.36+1.45*2.54=7.6&lt;/td&gt;&lt;/tr&gt;&lt;tr&gt;&lt;td rowspan="3"&gt;公設&lt;/td&gt;&lt;td&gt;安全梯&lt;/td&gt;&lt;td&gt;5.135*2.15=11.04&lt;/td&gt;&lt;/tr&gt;&lt;tr&gt;&lt;td&gt;梯廊&lt;/td&gt;&lt;td&gt;2.635*2.15=5.67 (梯廊&amp;gt;2M扣容積)&lt;/td&gt;&lt;/tr&gt;&lt;tr&gt;&lt;td&gt;電梯&lt;/td&gt;&lt;td&gt;2.05*2.15=4.41&lt;/td&gt;&lt;/tr&gt;&lt;tr&gt;&lt;td colspan="2"&gt;樓地板面積合計&lt;/td&gt;&lt;td&gt;80.7+63.51+11.04+5.67+4.41=165.33&lt;/td&gt;&lt;/tr&gt;&lt;tr&gt;&lt;td colspan="2"&gt;陽台面積合計&lt;/td&gt;&lt;td&gt;14.37+7.6=21.97&lt;/td&gt;&lt;/tr&gt;&lt;tr&gt;&lt;td colspan="2"&gt;陽台面積10%檢討&lt;/td&gt;&lt;td&gt;21.97 &amp;gt; 165.33*10%=16.5321.97-16.53=5.44 計入樓地板&lt;/td&gt;&lt;/tr&gt;&lt;tr&gt;&lt;td colspan="2"&gt;梯廊面積10%檢討&lt;/td&gt;&lt;td&gt;5.67 &amp;lt; 165.33*10%=16.免計入樓地板&lt;/td&gt;&lt;/tr&gt;&lt;tr&gt;&lt;td colspan="2"&gt;陽台+梯廊面積15%檢討&lt;/td&gt;&lt;td&gt;21.97-5.44+5.67=22.222.2 &amp;lt; 165.33*15%=24.8免計入樓地板&lt;/td&gt;&lt;/tr&gt;&lt;tr&gt;&lt;td colspan="2"&gt;當層容積面積&lt;/td&gt;&lt;td&gt;165.33-11.04-5.67+5.44=154.06安全梯 梯潭 隰台&amp;gt;10%&lt;/td&gt;&lt;/tr&gt;&lt;/table&gt;
&lt;table&gt;&lt;tr&gt;&lt;td&gt;張號SHEET NO.&lt;/td&gt;&lt;td&gt;&lt;/td&gt;&lt;td&gt;圖號DRAWING NO.A3-1&lt;/td&gt;&lt;/tr&gt;&lt;tr&gt;&lt;td colspan="2"&gt;核準APPROVED BY&lt;/td&gt;&lt;td&gt;比例SCALE&lt;/td&gt;&lt;/tr&gt;&lt;tr&gt;&lt;td colspan="2"&gt;設計DESIGN BY&lt;/td&gt;&lt;td&gt;日期DATE&lt;/td&gt;&lt;/tr&gt;&lt;tr&gt;&lt;td colspan="2"&gt;繪圖DRAWN BY&lt;/td&gt;&lt;td&gt;核對CHECKED BY&lt;/td&gt;&lt;/tr&gt;&lt;tr&gt;&lt;td colspan="3"&gt;業務號PROJECT NO.&lt;/td&gt;&lt;/tr&gt;&lt;/table&gt;
&lt;table&gt;&lt;tr&gt;&lt;td colspan="2"&gt;容積管制地區建築物高度限制檢討&lt;/td&gt;&lt;td&gt;As&lt;/td&gt;&lt;td&gt;L&lt;/td&gt;&lt;td&gt;Sw&lt;/td&gt;&lt;td&gt;H&lt;/td&gt;&lt;td&gt;D&lt;/td&gt;&lt;/tr&gt;&lt;tr&gt;&lt;td rowspan="2"&gt;&lt;/td&gt;&lt;td rowspan="2"&gt;道路陰影面積As: 建築物以三六比一之斜率,依垂直建築線方向,投影於面前道路之陰影面積.L: 基地臨接面前道路之長度SW: 面前道路寬度H: 建築物各部份高度D: 建築物各部份至建築線之水平距離&lt;/td&gt;&lt;td&gt; $6.2m^{2}$ &lt;/td&gt;&lt;td&gt;15.02M&lt;/td&gt;&lt;td&gt;30M&lt;/td&gt;&lt;td&gt;24.80M&lt;/td&gt;&lt;td&gt;5.985M&lt;/td&gt;&lt;/tr&gt;&lt;tr&gt;&lt;td colspan="5"&gt;陰影及高度檢討AS $&lt; (L*Sw)/2$ As=  $(0.9+0.505)*8.82/2=6.2$  $&lt; 15.02*30/2=225.3$ H&amp;lt;3.6x(Sw+D)24.8M&amp;lt;3.6*(30+5.985)=129.55&lt;/td&gt;&lt;/tr&gt;&lt;/table&gt;
![](images/d1a57bbf2bf5fc5ba9203abc40fdeda9256a8ceb66ef76e4c0b69dd5cd6d907c.jpg)
工程名稱
PROJECT TITLE
&lt;table&gt;&lt;tr&gt;&lt;td rowspan="30" colspan="101"&gt;正面立面圖 SCALE 空心號&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x:v>
      </x:c>
    </x:row>
    <x:row r="102">
      <x:c r="A102" s="69" t="str">
        <x:v>SRC082</x:v>
      </x:c>
      <x:c r="B102" s="69" t="str">
        <x:v>原文6</x:v>
      </x:c>
      <x:c r="C102" s="69" t="str">
        <x:v>markdown_fulltext</x:v>
      </x:c>
      <x:c r="D102" s="69" t="str">
        <x:v>40000–48000</x:v>
      </x:c>
      <x:c r="E102" s="71" t="str">
        <x:v>&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colspan="68"&gt;地面層:  ${dT} = {30}{\mu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colspan="41"&gt;地面層:  ${dT} = {30}{\mu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colspan="61"&gt;地面層:  ${dT} = {30}{\mu }\mathrm{s}$ 深度半径  $- {150}{\mu }\mathrm{s}$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colspan="62"&gt;地面層:  ${dT} = {20}{\mu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colspan="61"&gt;地面層:  ${dT} = 20{\mu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colspan="59"&gt;地面層:  ${dT}_{1} = {20}{\mu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x:v>
      </x:c>
    </x:row>
    <x:row r="103">
      <x:c r="A103" s="69" t="str">
        <x:v>SRC082</x:v>
      </x:c>
      <x:c r="B103" s="69" t="str">
        <x:v>原文7</x:v>
      </x:c>
      <x:c r="C103" s="69" t="str">
        <x:v>markdown_fulltext</x:v>
      </x:c>
      <x:c r="D103" s="69" t="str">
        <x:v>48000–56000</x:v>
      </x:c>
      <x:c r="E103" s="71" t="str">
        <x:v>&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colspan="58"&gt;地面層:  ${dT}_{1} = {10}{\mu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colspan="57"&gt;地面層:  ${dT}_{1} = {15}{\mu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colspan="54"&gt;地面層:  ${dT}_{1} = {20}\mu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colspan="51"&gt;地面層:  ${dT}_{1} = {30}\mu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colspan="47"&gt;地面層:  ${dT}_{1} = {40}\mu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colspan="44"&gt;地面層:  ${dT}_{1} = {60}\mu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colspan="40"&gt;地面層:  ${dT}_{1} = {80}\mu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x:v>
      </x:c>
    </x:row>
    <x:row r="104">
      <x:c r="A104" s="69" t="str">
        <x:v>SRC082</x:v>
      </x:c>
      <x:c r="B104" s="69" t="str">
        <x:v>原文8</x:v>
      </x:c>
      <x:c r="C104" s="69" t="str">
        <x:v>markdown_fulltext</x:v>
      </x:c>
      <x:c r="D104" s="69" t="str">
        <x:v>56000–64000</x:v>
      </x:c>
      <x:c r="E104" s="71" t="str">
        <x:v>&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colspan="37"&gt;地面層:  ${dT}_{1} = {100}\mu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colspan="34"&gt;地面層:  ${dT}_{1} = {120}\mu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colspan="25"&gt;地面層:  ${dT}_{1} = {150}\mu \mathrm{s}$ 深度半径  $- {150}\mathrm{\;m}$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colspan="8"&gt;地面層:  ${dT}_{1} = {20}\mu \mathrm{s}$ 深度半径  $- {150}\mathrm{\;m}$ &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rowspan="5"&gt;&lt;/td&gt;&lt;td rowspan="5"&gt;&lt;/td&gt;&lt;td rowspan="5"&gt;&lt;/td&gt;&lt;td rowspan="5"&gt;&lt;/td&gt;&lt;td rowspan="5"&gt;&lt;/td&gt;&lt;td rowspan="5"&gt;&lt;/td&gt;&lt;td rowspan="5"&gt;&lt;/td&gt;&lt;td rowspan="5"&gt;&lt;/td&gt;&lt;td rowspan="5"&gt;&lt;/td&gt;&lt;td rowspan="5"&gt;&lt;/td&gt;&lt;td rowspan="5"&gt;&lt;/td&gt;&lt;td rowspan="5"&gt;&lt;/td&gt;&lt;td rowspan="5"&gt;&lt;/td&gt;&lt;td rowspan="5"&gt;&lt;/td&gt;&lt;td rowspan="5"&gt;&lt;/td&gt;&lt;td rowspan="5"&gt;&lt;/td&gt;&lt;td rowspan="4"&gt;&lt;/td&gt;&lt;td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rowspan="3"&gt;&lt;/td&gt;&lt;td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rowspan="2"&gt;&lt;/td&gt;&lt;/tr&gt;&lt;tr&gt;&lt;td&gt;地面積&lt;/td&gt;&lt;td colspan="8"&gt;地面層:  ${dT}_{1} = {30}\mu \mathrm{s}$ 深度半径  $- {150}\mathrm{\;m}$ &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colspan="4"&gt;地面層:  ${dT}_{1} = {60}\mu \mathrm{s}$ 深度半径  $- {150}\mathrm{\;m}$ &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x:v>
      </x:c>
    </x:row>
    <x:row r="105">
      <x:c r="A105" s="69" t="str">
        <x:v>SRC082</x:v>
      </x:c>
      <x:c r="B105" s="69" t="str">
        <x:v>原文9</x:v>
      </x:c>
      <x:c r="C105" s="69" t="str">
        <x:v>markdown_fulltext</x:v>
      </x:c>
      <x:c r="D105" s="69" t="str">
        <x:v>64000–72000</x:v>
      </x:c>
      <x:c r="E105" s="71" t="str">
        <x:v>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colspan="3"&gt;地面層:  ${dT}_{1} = {80}\mu \mathrm{s}$ 深度半径  $- {150}\mathrm{\;m}$ &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colspan="3"&gt;地面層:  ${dT}_{1} = {100}\mu \mathrm{s}$ 深度半径  $- {150}\mathrm{\;m}$ &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colspan="3"&gt;地面層:  ${dT}_{1} = {120}\mu \mathrm{s}$ 深度半径  $- {150}\mathrm{\;m}$ &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地面積&lt;/td&gt;&lt;td colspan="3"&gt;地面層:  ${dT}_{1} = {150}\mu \mathrm{s}$ 深度半径  $- {150}\mathrm{\;m}$ &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地界底&lt;/td&gt;&lt;td&gt;地界底土建建使用规范。&lt;/td&gt;&lt;td&gt;&lt;/td&gt;&lt;td&gt;&lt;/td&gt;&lt;td&gt;&lt;/td&gt;&lt;td&gt;&lt;/td&gt;&lt;td&gt;&lt;/td&gt;&lt;td&gt;&lt;/td&gt;&lt;td&gt;&lt;/td&gt;&lt;td&gt;&lt;/td&gt;&lt;td&gt;&lt;/td&gt;&lt;td&gt;&lt;/td&gt;&lt;td&gt;地界底&lt;/td&gt;&lt;td&gt;地界底土建建使用规范。&lt;/td&gt;&lt;td&gt;&lt;/td&gt;&lt;td&gt;&lt;/td&gt;&lt;td&gt;&lt;/td&gt;&lt;td&gt;&lt;/td&gt;&lt;td&gt;&lt;/td&gt;&lt;td&gt;&lt;/td&gt;&lt;td&gt;&lt;/td&gt;&lt;td&gt;&lt;/td&gt;&lt;td&gt;&lt;/td&gt;&lt;td&gt;&lt;/td&gt;&lt;td&gt;&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面積&lt;/td&gt;&lt;td colspan="3"&gt;面層:  ${dT}_{1} = {100}\mu \mathrm{s}$ 深度半径  $- {150}\mathrm{\;m}$ &lt;/td&gt;&lt;td&gt;地界底&lt;/td&gt;&lt;td&gt;地界底土建建使用规范。&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地界底&lt;/td&gt;&lt;td&gt;地界底土建建使用规范。&lt;/td&gt;&lt;td&gt;&lt;/td&gt;&lt;td&gt;&lt;/td&gt;&lt;td&gt;&lt;/td&gt;&lt;td&gt;&lt;/td&gt;&lt;td&gt;&lt;/td&gt;&lt;td&gt;&lt;/td&gt;&lt;td&gt;&lt;/td&gt;&lt;td&gt;地界底&lt;/td&gt;&lt;td&gt;地界底土建建使用规范。&lt;/td&gt;&lt;td&gt;&lt;/td&gt;&lt;td&gt;&lt;/td&gt;&lt;td&gt;&lt;/td&gt;&lt;td&gt;&lt;/td&gt;&lt;td&gt;&lt;/td&gt;&lt;td&gt;&lt;/td&gt;&lt;td&gt;&lt;/td&gt;&lt;td&gt;地界底&lt;/td&gt;&lt;td&gt;地界底土建建使用规范。&lt;/td&gt;&lt;td&gt;&lt;/td&gt;&lt;td&gt;&lt;/td&gt;&lt;td&gt;&lt;/td&gt;&lt;td&gt;&lt;/td&gt;&lt;td&gt;&lt;/td&gt;&lt;td&gt;地界底&lt;/td&gt;&lt;td&gt;地界底土建建使用规范。&lt;/td&gt;&lt;td&gt;&lt;/td&gt;&lt;td&gt;&lt;/td&gt;&lt;td&gt;&lt;/td&gt;&lt;td&gt;&lt;/td&gt;&lt;td&gt;&lt;/td&gt;&lt;td&gt;&lt;/td&gt;&lt;td&gt;&lt;/td&gt;&lt;td&gt;地界底&lt;/td&gt;&lt;td&gt;地界底土建建使用规范。&lt;/td&gt;&lt;td&gt;&lt;/td&gt;&lt;td&gt;&lt;/td&gt;&lt;td&gt;&lt;/td&gt;&lt;td&gt;&lt;/td&gt;&lt;td&gt;&lt;/td&gt;&lt;td&gt;&lt;/td&gt;&lt;td&gt;地界底&lt;/td&gt;&lt;td&gt;地界底土建建使用规范。&lt;/td&gt;&lt;td&gt;&lt;/td&gt;&lt;td&gt;&lt;/td&gt;&lt;td&gt;&lt;/td&gt;&lt;td&gt;&lt;/td&gt;&lt;td&gt;&lt;/td&gt;&lt;td&gt;地界底&lt;/td&gt;&lt;td&gt;地界底土建建使用规范。&lt;/td&gt;&lt;td&gt;&lt;/td&gt;&lt;td&gt;&lt;/td&gt;&lt;td&gt;&lt;/td&gt;&lt;td&gt;&lt;/td&gt;&lt;td&gt;地界底&lt;/td&gt;&lt;td&gt;地界底土建建使用规范。&lt;/td&gt;&lt;td&gt;&lt;/td&gt;&lt;td&gt;&lt;/td&gt;&lt;td&gt;&lt;/td&gt;&lt;td&gt;&lt;/td&gt;&lt;td&gt;地界底&lt;/td&gt;&lt;td&gt;地界底土建建使用规范。&lt;/td&gt;&lt;td&gt;&lt;/td&gt;&lt;td&gt;&lt;/td&gt;&lt;td&gt;&lt;/td&gt;&lt;td&gt;地界底&lt;/td&gt;&lt;td&gt;地界底土建建使用规范。&lt;/td&gt;&lt;td&gt;&lt;/td&gt;&lt;td&gt;&lt;/td&gt;&lt;td&gt;&lt;/td&gt;&lt;td&gt;地界底&lt;/td&gt;&lt;td&gt;地界底土建建使用规范。&lt;/td&gt;&lt;td&gt;&lt;/td&gt;&lt;td&gt;&lt;/td&gt;&lt;td&gt;地界底&lt;/td&gt;&lt;td&gt;地界底土建建使用规范。&lt;/td&gt;&lt;td&gt;&lt;/td&gt;&lt;td&gt;&lt;/td&gt;&lt;td&gt;地界底&lt;/td&gt;&lt;td&gt;地界底土建建使用规范。&lt;/td&gt;&lt;td&gt;&lt;/td&gt;&lt;td&gt;</x:v>
      </x:c>
    </x:row>
    <x:row r="106">
      <x:c r="A106" s="69" t="str">
        <x:v>SRC082</x:v>
      </x:c>
      <x:c r="B106" s="69" t="str">
        <x:v>原文10</x:v>
      </x:c>
      <x:c r="C106" s="69" t="str">
        <x:v>markdown_fulltext</x:v>
      </x:c>
      <x:c r="D106" s="69" t="str">
        <x:v>72000–80000</x:v>
      </x:c>
      <x:c r="E106" s="71" t="str">
        <x:v>&lt;/td&gt;&lt;td&gt;地界底&lt;/td&gt;&lt;td&gt;地界底土建建使用规范。&lt;/td&gt;&lt;td&gt;&lt;/td&gt;&lt;td&gt;&lt;/td&gt;&lt;td&gt;地界底&lt;/td&gt;&lt;td&gt;地界底土建建使用规范。&lt;/td&gt;&lt;td&gt;&lt;/td&gt;&lt;td&gt;&lt;/td&gt;&lt;td&gt;地界底&lt;/td&gt;&lt;td&gt;地界底土建建使用规范。&lt;/td&gt;&lt;td&gt;&lt;/td&gt;&lt;td&gt;&lt;/td&gt;&lt;td&gt;地界底&lt;/td&gt;&lt;td&gt;地界底土建建使用规范。&lt;/td&gt;&lt;td&gt;&lt;/td&gt;&lt;td&gt;&lt;/td&gt;&lt;td&gt;地质名: 正向及左侧立面图 A4-2 地级A4-2 地级A4-2 地级A4-2 地级A4-2 地级A4-2 地级A4-2 地级A4-2 地级A4-2 地级A4-2 地级A4-2 地级A4-2 地级A4-2 地级A4-2 地级A4-2 地级A4, 地级A4-2 地级A4-2 地级A4-2 地级A4-2 地级A4-2 地级A4-2 地级A4-2 地级A4-2 地级A4-2 地级A4-2 地级A4-2 地级A4-2 地级A4-2 地级A4-2 國级A4-2 國级A4-2 國级A4-2 國级A4-2 國级A4-2 國级A4-2 國级A4-2 國级A4-2 國级A4-2 國级A4-2 國级A4-2 國级A4-2 國级A4-2 國级A4-2 國级B4-2 國级A4-2 國级A4-2 國级A4-2 國级A4-2 國级A4-2 國级A4-2 國级A4-2 國级A4-2 國级A4-2 國级A4-2 國级A4-2 國级A4-2 國级A4-2 國级A4, 國级A4-2 國级A4-2 國级A4-2 國级A4-2 國级A4-2 國级A4-2 國级A4-2 國级A4-2 國级A4-2 國级A4-2 國级A4-2 國级A4-2 國级A4-2 國级A4-2 圉级A4-2 國级A4-2 國级A4-2 國级A4-2 國级A4-2 國级A4-2 國级A4-2 國级A4-2 國级A4-2 國级A4-2 國级A4-2 國级A4-2 國级A4-2 國级A4-2 國级 A4-2 國级A4-2 國级A4-2 國级A4-2 國级A4-2 國级A4-2 國级A4-2 國级A4-2 國级A4-2 國级A4-2 國级A4-2 國级A4-2 國级A4-2 國级A4-2 國级A4 - 國级A4-2 國级A4-2 國级A4-2 國级A4-2 國级A4-2 國级A4-2 國级A4-2 國级A4-2 國级A4-2 國级A4-2 國级A4-2 國级A4-2 國级A4-2 國级A4-2 圁级A4-2 國级A4-2 國级A4-2 國级A4-2 國级A4-2 國级A4-2 國级A4-2 國级A4-2 國级A4-2 國级A4-2 國级A4-2 國级A4-2 國级A4-2 國级A4-2 國级&lt;/td&gt;&lt;td&gt;正面立面圖 SCALE 空心號&lt;/td&gt;&lt;td&gt;正向及左侧立面圖 A4-2 地级A4-2 地级A4-2 地级A4-2 地级A4-2 地级A4-2 地级A4-2 地级A4-2 地级A4-2 地级A4-2 地级A4-2 地级A4-2 地级A4-2 地级A4-2 地级A5-2 國级A5-2 國级A5-2 國级A5-2 國级A5-2 國级A5-2 國级A5-2 國级A5-2 國级A5-2 國级A5-2 國级A5-2 國级A5-2 國级A5-2 國级A5-2 國级A5-2 國级&lt;/td&gt;&lt;td&gt;正面立面圖 SCALE 空心號&lt;/td&gt;&lt;td&gt;正向及左侧立面圖 A4-2 地级A4-2 國级A4-2 國级A4-2 國级A4-2 國级A4-2 國级A4-2 國级A4-2 國级A4-2 國级A4-2 國级A4-2 國级A4-2 國级A4-2 國级A4-2 國级A4 - 國级A5-2 國级A5-2 國级A5-2 國级A5-2 國级A5-2 國级A5-2 國级A5-2 國级A5-2 國级A5-2 國级A5-2 國级A5-2 國级A5-2 國级A5-2 國级A5-2 圉级A5-2 國级A5-2 國级A5-2 國级A5-2 國级A5-2 國级A5-2 國级A5-2 國级A5-2 國级A5-2 國级A5-2 國级A5-2 國级A5-2 國级A5-2 國级A5-2 國级B4-2 國级A4-2 國级A4-2 國级A4-2 國级A4-2 國级A4-2 國级A4-2 國级A4-2 國级A4-2 國级A4-2 國级A4-2 國级A4-2 國级A4-2 國级A4-1 國级A5-2 國级A5-2 國级A5-2 國级A5-2 國级A5-2 國级A5-2 國级A5-2 國级A5-2 國级A5-2 國级A5-2 國级A5-2 國级A5-2 國级A5-2 國级A5-2 圮级A5-2 國级A5-2 國级A5-2 國级A5-2 國级A5-2 國级A5-2 國级A5-2 國级A5-2 國级A5-2 國级A5-2&lt;/td&gt;&lt;td&gt;&lt;/td&gt;&lt;td&gt;&lt;/td&gt;&lt;td&gt;&lt;/td&gt;&lt;td&gt;&lt;/td&gt;&lt;td&gt;&lt;/td&gt;&lt;td&gt;&lt;/td&gt;&lt;td&gt;&lt;/td&gt;&lt;td&gt;&lt;/td&gt;&lt;td&gt;&lt;/td&gt;&lt;/tr&gt;&lt;/table&gt;
1 A戶橫向陽台剖面圖 SCALE: A1=1/50 A3=1/100
圖例:
15cmRC牆(外牆)
1/2B磚牆(隔間牆)
註：1.結構尺寸請詳結構圖面
2.室內外裝修材質僅供參考
由業主或建築師指定
3.樓梯扶手業主另訂
4.浴廁牆面防水層施作天花板下
![](images/1939c1c32bc5b348a1aed61af19025475966c224dbec35dec455067d61e8368c.jpg)
1.2500psi以上粉光混凝土(5cm)
2.硬質聚酯防濕板PU板(2.5cm)
3.PU(0.5cm)
4.水泥砂浆(1.5cm)
5.鋼筋混凝土(15cm)
6.水泥砂浆(1.5cm)
屋頂隔熱施工大樣圖
&lt;table&gt;&lt;tr&gt;&lt;td colspan="4"&gt;注意事項:1.本套圖說經政府核准有案,起造人,承造人必須按圖施工,並提請查驗,否則其後果由起造人,承造人負全責.2.建物興建前,起造人應指界,無法指界時,起造人應請地政單位指界倘核准圖面與實地不盡相符時,須依照實際基地範圍內建築,並辦理變更設計,不得越界佔鄰地,一切指界糾紛概由起造人負責.3.建造房屋必須要請合法且無欠稅之營造廠商承建,槨板製作,由承造人檜模板支撐結構及大標圖經主任技師核算無誤後施工.4.必須確實按照核准圖樣施工,如有未盡事宜或未諒解圖說之情形,營造廠應先徵詢建築師再行施工,如原計劃有未盡理想之處,欲予變更原設計時,務須事先辦理變更手續,經核准後再行施工,以符合法令,切勿擅自更改.5.必須注意鄰居房屋之安全,及道路行人,車輛之安全,並不可將建築材料堆置於道路上妨礙交通.6.施工中主要結構部份,應按照規定逐步由承造廠提出部份查驗及開工報告,展期等手續,以備竣工請領使用執照.&lt;/td&gt;&lt;/tr&gt;&lt;tr&gt;&lt;td&gt;修正REVISION&lt;/td&gt;&lt;td&gt;日期DATE&lt;/td&gt;&lt;td&gt;說明DESCRIPTION&lt;/td&gt;&lt;td&gt;核準JPROVEDBY&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 colspan="4"&gt;葉富傑建築師事務所所址:苗栗縣竹南鎮中港里八德街一之一號電話:(037)469000傳真:(037)480533&lt;/td&gt;&lt;/tr&gt;&lt;tr&gt;&lt;td colspan="4"&gt;簽章&lt;/td&gt;&lt;/tr&gt;&lt;tr&gt;&lt;td colspan="4"&gt;審核&lt;/td&gt;&lt;/tr&gt;&lt;tr&gt;&lt;td colspan="4"&gt;工程名稱PROJECT TITLE向上建設集合住宅等11戶新建工程後龍鎮龍富段614地號送照圖&lt;/td&gt;&lt;/tr&gt;&lt;tr&gt;&lt;td colspan="4"&gt;圖名DRAWING NAME橫向陽台剖面圖&lt;/td&gt;&lt;/tr&gt;&lt;tr&gt;&lt;td colspan="2"&gt;張號SHEET NO.[IMAGE]&lt;/td&gt;&lt;td colspan="2"&gt;圖號DRAWING NO.A4-1&lt;/td&gt;&lt;/tr&gt;&lt;tr&gt;&lt;td colspan="2"&gt;核準APPROVED BY&lt;/td&gt;&lt;td colspan="2"&gt;比例SCALE&lt;/td&gt;&lt;/tr&gt;&lt;tr&gt;&lt;td colspan="2"&gt;設計DESIGN BY&lt;/td&gt;&lt;td colspan="2"&gt;日期DATE&lt;/td&gt;&lt;/tr&gt;&lt;tr&gt;&lt;td colspan="2"&gt;繪圖DRAWN BY&lt;/td&gt;&lt;td colspan="2"&gt;核對CHECKED BY&lt;/td&gt;&lt;/tr&gt;&lt;tr&gt;&lt;td colspan="4"&gt;業務號PROJECT NO.&lt;/td&gt;&lt;/tr&gt;&lt;/table&gt;
2 B戶橫向陽台剖面圖 SCALE: A1=1/50 A3=1/100
1 縱向樓梯剖面圖 SCALE: A1=1/50 A3=1/100註: 1. 結構尺寸請詳結構圖面
2. 室內外裝修材質僅供參考
由業主或建築師指定
3. 樓梯扶手業主另訂
4. 浴廁牆面防水層施作天花板下
![](images/1cfe5c34d40d2d4399800fc3129da0487c462e4b263da0c4cd5db64b426c4a4d.jpg)
1.2500psi以上粉光混凝土(5cm)
2.硬質聚島保温板PU板(2.5cm)
3.PU(0.5cm)
4.水泥砂浆(1.5cm)
5.鋼筋混凝土(15cm)
6.水泥砂浆(1.5cm)
屋頂隔熱施工大樣圖
&lt;table&gt;&lt;tr&gt;&lt;td colspan="4"&gt;注意事項:1.本套圖說經政府核准有案,起造人,承造人必須按圖施工,並提請查驗,否則其後果由起造人,承造人負全責.2.建物與建前,起造人應指界,無法指界時,起造人應請地政單位指界倘核准圖面與實地不盡相符時,須依照實際基地範圍內建築,並辦理變更設計,不得越界佔鄰地,一切指界糾紛概由起造人負責.3.建造房屋必須委情合法且無欠稅之營造廠商承建,模板製作,由承造人繪模板支撐結構及大樣圖經主任技師核算無誤後施工.4.必須確實按照核准圖樣施工,如有未盡事宜或未瞭解圖說之情形,營造廠應先微詢建築師再行施工,如原計劃有未盡理想之處,欲予變更原設計時,務須事先辦理變更手續,經核准後再行施工,以符合法令,切勿擅自更改.5.必須注意鄰居房屋之安全,及道路行人,車輛之安全,並不可將建築材料堆置於道路上妨礙交通.6.施工中主要結構部份,應按照規定逐步由承造廠提出部份查驗及開工報告,展期等手續,以備竣工請領使用執照.&lt;/td&gt;&lt;/tr&gt;&lt;tr&gt;&lt;td&gt;修正REVISION&lt;/td&gt;&lt;td&gt;日期DATE&lt;/td&gt;&lt;td&gt;說明DESCRIPTION&lt;/td&gt;&lt;td&gt;核準APPROVED BY&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 colspan="4"&gt;葉富傑建築師事務所所址:苗栗縣竹南鎮中港里八德街一之一號電話:(037)469000傳真:(037)480533簽章&lt;/td&gt;&lt;/tr&gt;&lt;tr&gt;&lt;td colspan="4"&gt;審核&lt;/td&gt;&lt;/tr&gt;&lt;tr&gt;&lt;td colspan="4"&gt;工程名稱PROJECT TITLE向上建設集合住宅等11戶新建工程後龍鎮龍富段614地號送照圖&lt;/td&gt;&lt;/tr&gt;&lt;tr&gt;&lt;td colspan="4"&gt;圖名DRAWING NAME縱向樓梯剖面圖&lt;/td&gt;&lt;/tr&gt;&lt;tr&gt;&lt;td colspan="2"&gt;張號SHEET NO.[IMAGE]&lt;/td&gt;&lt;td colspan="2"&gt;圖號DRAWING NO.A4-2&lt;/td&gt;&lt;/tr&gt;&lt;tr&gt;&lt;td colspan="2"&gt;核準APPROVED BY&lt;/td&gt;&lt;td colspan="2"&gt;比例SCALE&lt;/td&gt;&lt;/tr&gt;&lt;tr&gt;&lt;td colspan="2"&gt;設計DESIGN BY&lt;/td&gt;&lt;td colspan="2"&gt;日期DATE&lt;/td&gt;&lt;/tr&gt;&lt;tr&gt;&lt;td colspan="2"&gt;繪圖DRAWN BY&lt;/td&gt;&lt;td colspan="2"&gt;核對CHECKED BY&lt;/td&gt;&lt;/tr&gt;&lt;tr&gt;&lt;td colspan="4"&gt;業務號PROJECT NO.&lt;/td&gt;&lt;/tr&gt;&lt;/table&gt;
![](images/197d499eb0eefae12a499d08358fdce3487950bf56d63ad727b32ec86cb918cb.jpg)
1 縱向電梯剖面圖 SCALE: A1=1/50 A3=1/100圖例:
15cmRC牆(外牆)
1/2B磚牆(隔間牆)
![](images/25e7308d2da99cf979a95944f7db4311c9a6d84899c44ce8e346cbb02cd231b5.jpg)
註：1.結構尺寸請詳結構圖面
2.室內外裝修材質僅供參考
由業主或建築師指定
3.樓梯扶手業主另訂
4.浴廁牆面防水層施作天花板下
1.2500psi以上粉光混凝土(5cm)
2.硬質聚弱保温板PU板(2.5cm)
3.PU(0.5cm)
4.水泥砂浆(1.5cm)
5.鋼筋混凝土(15cm)
6.水泥砂浆(1.5cm)
屋頂隔熱施工大樣圖
![](images/97c9d46df51a7b2bc6072a65d9d3994ab06595223dcf7e8486ef1f4eb914fad2.jpg)
&lt;table&gt;&lt;tr&gt;&lt;td colspan="4"&gt;注意事項:1.本套圖說經政府核准有案,起造人,承造人必須按圖施工,並提請查驗,否則其後果由起造人,承造人負全責.2.建物興建前,起造人應指界,無法指界時,起造人應請地政單位指界倘核准圖面與實地不盡相符時,須依照實際基地範圍內建築,並辦理變更設計,不得越界佔鄰地,一切指界糾紛概由起造人負責.3.建造房屋必須委請合法且無欠稅之營造廠商承建.模板製作,由承造人繪模板支撐結構及大樣圖經主任技師核算無縫後施工.4.必須確實按照核准圖樣施工,如有未盡事宜或未瞭解圖說之情形,營造廠應先徵詢建築師再行施工,如原計劃有未盡理想之處,欲予變更原設計時,務須事先辦理變更手續,經核准後再行施工,以符合法令,切勿擅自更改.5.必須注意鄰居房屋之安全,及道路行人,車輛之安全,並不可將建築材料堆置於道路上妨礙交通.6.施工中主要結構部份,應按照規定逐步由承造廠提出部份查驗及開工報告,展期等手續,以備竣工請領使用執照.&lt;/td&gt;&lt;/tr&gt;&lt;tr&gt;&lt;td&gt;修正REVISION&lt;/td&gt;&lt;td&gt;日期DATE&lt;/td&gt;&lt;td&gt;說明DESCRIPTION&lt;/td&gt;&lt;td&gt;核準APPROVEDBY&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 colspan="4"&gt;葉富傑建築師事務所所址:苗栗縣竹南鎮中港里八德街一之一號電話:(037)469000傳真:(037)480533簽章&lt;/td&gt;&lt;/tr&gt;&lt;tr&gt;&lt;td colspan="4"&gt;審核&lt;/td&gt;&lt;/tr&gt;&lt;tr&gt;&lt;td colspan="4"&gt;工程名稱PROJECT TITLE向上建設集合住宅等11戶新建工程後龍鎮龍富段614地號</x:v>
      </x:c>
    </x:row>
    <x:row r="107">
      <x:c r="A107" s="69" t="str">
        <x:v>SRC082</x:v>
      </x:c>
      <x:c r="B107" s="69" t="str">
        <x:v>原文11</x:v>
      </x:c>
      <x:c r="C107" s="69" t="str">
        <x:v>markdown_fulltext</x:v>
      </x:c>
      <x:c r="D107" s="69" t="str">
        <x:v>80000–88000</x:v>
      </x:c>
      <x:c r="E107" s="71" t="str">
        <x:v>送照圖&lt;/td&gt;&lt;/tr&gt;&lt;tr&gt;&lt;td colspan="4"&gt;圖名DRAWING NAME縱向電梯剖面圖&lt;/td&gt;&lt;/tr&gt;&lt;tr&gt;&lt;td colspan="2"&gt;張號SHEET NO.[IMAGE]&lt;/td&gt;&lt;td colspan="2"&gt;圖號DRAWING NO.A4-3&lt;/td&gt;&lt;/tr&gt;&lt;tr&gt;&lt;td colspan="2"&gt;核準APPROVED BY&lt;/td&gt;&lt;td colspan="2"&gt;比例SCALE&lt;/td&gt;&lt;/tr&gt;&lt;tr&gt;&lt;td colspan="2"&gt;設計DESIGN BY&lt;/td&gt;&lt;td colspan="2"&gt;日期DATE&lt;/td&gt;&lt;/tr&gt;&lt;tr&gt;&lt;td colspan="2"&gt;繪圖DRAWN BY&lt;/td&gt;&lt;td colspan="2"&gt;核對CHECKED BY&lt;/td&gt;&lt;/tr&gt;&lt;tr&gt;&lt;td colspan="4"&gt;業務號PROJECT NO.&lt;/td&gt;&lt;/tr&gt;&lt;/table&gt;
15cmRC牆(外牆)
1/2B磚牆(隔間牆)
尺寸請詳結構圖面
外裝修材質僅供參考，
主或建築師指定
扶手業主另訂
牆面防水層施作天花板下
&lt;table&gt;&lt;tr&gt;&lt;td&gt;150&lt;/td&gt;&lt;td&gt;35&lt;/td&gt;&lt;td&gt;190&lt;/td&gt;&lt;td&gt;762&lt;/td&gt;&lt;td&gt;15&lt;/td&gt;&lt;td&gt;35&lt;/td&gt;&lt;/tr&gt;&lt;tr&gt;&lt;td&gt;RFL&lt;/td&gt;&lt;td rowspan="2"&gt;15cmRC&lt;/td&gt;&lt;td rowspan="2"&gt;4/5&lt;/td&gt;&lt;td rowspan="2"&gt;15cmRC&lt;/td&gt;&lt;td rowspan="2"&gt;B/2&lt;/td&gt;&lt;td rowspan="2"&gt;15cmRC&lt;/td&gt;&lt;/tr&gt;&lt;tr&gt;&lt;td&gt;50&lt;/td&gt;&lt;/tr&gt;&lt;tr&gt;&lt;td&gt;340&lt;/td&gt;&lt;td rowspan="2"&gt;35&lt;/td&gt;&lt;td rowspan="2"&gt;190&lt;/td&gt;&lt;td rowspan="2"&gt;250&lt;/td&gt;&lt;td rowspan="2"&gt;184&lt;/td&gt;&lt;td rowspan="2"&gt;316&lt;/td&gt;&lt;/tr&gt;&lt;tr&gt;&lt;td&gt;290&lt;/td&gt;&lt;/tr&gt;&lt;tr&gt;&lt;td&gt;R1FL&lt;/td&gt;&lt;td rowspan="2"&gt;35&lt;/td&gt;&lt;td rowspan="2"&gt;190&lt;/td&gt;&lt;td rowspan="2"&gt;250&lt;/td&gt;&lt;td rowspan="2"&gt;184&lt;/td&gt;&lt;td rowspan="2"&gt;316&lt;/td&gt;&lt;/tr&gt;&lt;tr&gt;&lt;td&gt;50&lt;/td&gt;&lt;/tr&gt;&lt;tr&gt;&lt;td&gt;340&lt;/td&gt;&lt;td rowspan="2"&gt;35&lt;/td&gt;&lt;td rowspan="2"&gt;190&lt;/td&gt;&lt;td rowspan="2"&gt;250&lt;/td&gt;&lt;td rowspan="2"&gt;184&lt;/td&gt;&lt;td rowspan="2"&gt;316&lt;/td&gt;&lt;/tr&gt;&lt;tr&gt;&lt;td&gt;290&lt;/td&gt;&lt;/tr&gt;&lt;tr&gt;&lt;td&gt;7FL&lt;/td&gt;&lt;td rowspan="2"&gt;35&lt;/td&gt;&lt;td rowspan="2"&gt;190&lt;/td&gt;&lt;td rowspan="2"&gt;250&lt;/td&gt;&lt;td rowspan="2"&gt;184&lt;/td&gt;&lt;td rowspan="2"&gt;316&lt;/td&gt;&lt;/tr&gt;&lt;tr&gt;&lt;td&gt;50&lt;/td&gt;&lt;/tr&gt;&lt;tr&gt;&lt;td&gt;340&lt;/td&gt;&lt;td rowspan="2"&gt;35&lt;/td&gt;&lt;td rowspan="2"&gt;190&lt;/td&gt;&lt;td rowspan="2"&gt;250&lt;/td&gt;&lt;td rowspan="2"&gt;184&lt;/td&gt;&lt;td rowspan="2"&gt;316&lt;/td&gt;&lt;/tr&gt;&lt;tr&gt;&lt;td&gt;290&lt;/td&gt;&lt;/tr&gt;&lt;tr&gt;&lt;td&gt;4~6FL&lt;/td&gt;&lt;td rowspan="2"&gt;35&lt;/td&gt;&lt;td rowspan="2"&gt;190&lt;/td&gt;&lt;td rowspan="2"&gt;250&lt;/td&gt;&lt;td rowspan="2"&gt;184&lt;/td&gt;&lt;td rowspan="2"&gt;316&lt;/td&gt;&lt;/tr&gt;&lt;tr&gt;&lt;td&gt;50&lt;/td&gt;&lt;/tr&gt;&lt;tr&gt;&lt;td&gt;340&lt;/td&gt;&lt;td rowspan="2"&gt;35&lt;/td&gt;&lt;td rowspan="2"&gt;190&lt;/td&gt;&lt;td rowspan="2"&gt;250&lt;/td&gt;&lt;td rowspan="2"&gt;184&lt;/td&gt;&lt;td rowspan="2"&gt;316&lt;/td&gt;&lt;/tr&gt;&lt;tr&gt;&lt;td&gt;290&lt;/td&gt;&lt;/tr&gt;&lt;tr&gt;&lt;td&gt;3FL&lt;/td&gt;&lt;td rowspan="2"&gt;35&lt;/td&gt;&lt;td rowspan="2"&gt;190&lt;/td&gt;&lt;td rowspan="2"&gt;250&lt;/td&gt;&lt;td rowspan="2"&gt;184&lt;/td&gt;&lt;td rowspan="2"&gt;316&lt;/td&gt;&lt;/tr&gt;&lt;tr&gt;&lt;td&gt;50&lt;/td&gt;&lt;/tr&gt;&lt;tr&gt;&lt;td&gt;340&lt;/td&gt;&lt;td rowspan="2"&gt;35&lt;/td&gt;&lt;td rowspan="2"&gt;190&lt;/td&gt;&lt;td rowspan="2"&gt;250&lt;/td&gt;&lt;td rowspan="2"&gt;184&lt;/td&gt;&lt;td rowspan="2"&gt;316&lt;/td&gt;&lt;/tr&gt;&lt;tr&gt;&lt;td&gt;290&lt;/td&gt;&lt;/tr&gt;&lt;tr&gt;&lt;td&gt;2FL&lt;/td&gt;&lt;td rowspan="2"&gt;35&lt;/td&gt;&lt;td rowspan="2"&gt;190&lt;/td&gt;&lt;td rowspan="2"&gt;250&lt;/td&gt;&lt;td rowspan="2"&gt;184&lt;/td&gt;&lt;td rowspan="2"&gt;316&lt;/td&gt;&lt;/tr&gt;&lt;tr&gt;&lt;td&gt;50&lt;/td&gt;&lt;/tr&gt;&lt;tr&gt;&lt;td&gt;430&lt;/td&gt;&lt;td rowspan="3"&gt;35&lt;/td&gt;&lt;td rowspan="3"&gt;190&lt;/td&gt;&lt;td rowspan="3"&gt;250&lt;/td&gt;&lt;td rowspan="3"&gt;184&lt;/td&gt;&lt;td rowspan="3"&gt;316&lt;/td&gt;&lt;/tr&gt;&lt;tr&gt;&lt;td&gt;380&lt;/td&gt;&lt;/tr&gt;&lt;tr&gt;&lt;td&gt;380&lt;/td&gt;&lt;/tr&gt;&lt;tr&gt;&lt;td&gt;GL&lt;/td&gt;&lt;td&gt;25&lt;/td&gt;&lt;td&gt;190&lt;/td&gt;&lt;td&gt;250&lt;/td&gt;&lt;td&gt;184&lt;/td&gt;&lt;td&gt;316&lt;/td&gt;&lt;/tr&gt;&lt;tr&gt;&lt;td&gt;235&lt;/td&gt;&lt;td&gt;25&lt;/td&gt;&lt;td&gt;190&lt;/td&gt;&lt;td&gt;250&lt;/td&gt;&lt;td&gt;184&lt;/td&gt;&lt;td&gt;316&lt;/td&gt;&lt;/tr&gt;&lt;/table&gt;
1 横向電梯樓梯剖面圖 SCALE: A1=1/50 A3=1/100
&lt;table&gt;&lt;tr&gt;&lt;td rowspan="2"&gt;編號
門窗立面
名稱及尺寸&lt;/td&gt;&lt;td colspan="2"&gt;D1&lt;/td&gt;&lt;td colspan="2"&gt;D2&lt;/td&gt;&lt;td colspan="2"&gt;D3&lt;/td&gt;&lt;td colspan="2"&gt;D4&lt;/td&gt;&lt;td&gt;D5&lt;/td&gt;&lt;/tr&gt;&lt;tr&gt;&lt;td&gt;FL&lt;/td&gt;&lt;td&gt;60A(1小時防火時效)
具阻熱性,具遮煙性
90
210&lt;/td&gt;&lt;td&gt;60B(1小時防火時效)
未具阻熱性,具遮煙性
110
230&lt;/td&gt;&lt;td&gt;110
230&lt;/td&gt;&lt;td&gt;110
230&lt;/td&gt;&lt;td&gt;110
230&lt;/td&gt;&lt;td&gt;110
230&lt;/td&gt;&lt;td&gt;110
230&lt;/td&gt;&lt;td&gt;110
230&lt;/td&gt;&lt;/tr&gt;&lt;tr&gt;&lt;td&gt;材料&lt;/td&gt;&lt;td colspan="2"&gt;拉門(樣式另選)&lt;/td&gt;&lt;td colspan="2"&gt;鋼板門(樣式另選)&lt;/td&gt;&lt;td colspan="2"&gt;鋼板門(樣式另選)&lt;/td&gt;&lt;td colspan="2"&gt;三合一通屋門(樣式另選)&lt;/td&gt;&lt;td&gt;寶木門(樣式另選)&lt;/td&gt;&lt;/tr&gt;&lt;tr&gt;&lt;td&gt;尺寸&lt;/td&gt;&lt;td colspan="2"&gt;100*220cm&lt;/td&gt;&lt;td colspan="2"&gt;90*210cm&lt;/td&gt;&lt;td colspan="2"&gt;110*230cm&lt;/td&gt;&lt;td colspan="2"&gt;90*270cm&lt;/td&gt;&lt;td&gt;90*210cm&lt;/td&gt;&lt;/tr&gt;&lt;tr&gt;&lt;td&gt;位置&lt;/td&gt;&lt;td colspan="2"&gt;1F入口&lt;/td&gt;&lt;td colspan="2"&gt;安全梯&lt;/td&gt;&lt;td colspan="2"&gt;各戶大門&lt;/td&gt;&lt;td colspan="2"&gt;陽台&lt;/td&gt;&lt;td&gt;臥室&lt;/td&gt;&lt;/tr&gt;&lt;tr&gt;&lt;td&gt;備註&lt;/td&gt;&lt;td colspan="2"&gt;附相關五金&lt;/td&gt;&lt;td colspan="2"&gt;附相關五金&lt;/td&gt;&lt;td colspan="2"&gt;附相關五金&lt;/td&gt;&lt;td colspan="2"&gt;8mm玻璃附紗窗&lt;/td&gt;&lt;td&gt;附相關五金&lt;/td&gt;&lt;/tr&gt;&lt;tr&gt;&lt;td rowspan="2"&gt;編號
門窗立面
名稱及尺寸&lt;/td&gt;&lt;td colspan="2"&gt;D6&lt;/td&gt;&lt;td colspan="2"&gt;D7&lt;/td&gt;&lt;td colspan="3"&gt;DW1&lt;/td&gt;&lt;td colspan="2"&gt;DW2&lt;/td&gt;&lt;/tr&gt;&lt;tr&gt;&lt;td&gt;FL&lt;/td&gt;&lt;td&gt;75
210&lt;/td&gt;&lt;td&gt;120
210&lt;/td&gt;&lt;td&gt;220
80
140
260
210
FIX&lt;/td&gt;&lt;td colspan="3"&gt;260
210
FIX&lt;/td&gt;&lt;td colspan="2"&gt;160
260
210
FIX&lt;/td&gt;&lt;/tr&gt;&lt;tr&gt;&lt;td&gt;材料&lt;/td&gt;&lt;td colspan="2"&gt;塑廁門(樣式另選)&lt;/td&gt;&lt;td colspan="2"&gt;鋼板門(樣式另選)&lt;/td&gt;&lt;td colspan="3"&gt;氣密鋁門&lt;/td&gt;&lt;td colspan="2"&gt;氣密鋁門&lt;/td&gt;&lt;/tr&gt;&lt;tr&gt;&lt;td&gt;尺寸&lt;/td&gt;&lt;td colspan="2"&gt;75*210cm&lt;/td&gt;&lt;td colspan="2"&gt;120*210cm&lt;/td&gt;&lt;td colspan="3"&gt;220*260cm&lt;/td&gt;&lt;td colspan="2"&gt;160*260cm&lt;/td&gt;&lt;/tr&gt;&lt;tr&gt;&lt;td&gt;位置&lt;/td&gt;&lt;td colspan="2"&gt;浴廁&lt;/td&gt;&lt;td colspan="2"&gt;消防機房&lt;/td&gt;&lt;td colspan="3"&gt;陽台&lt;/td&gt;&lt;td colspan="2"&gt;陽台&lt;/td&gt;&lt;/tr&gt;&lt;tr&gt;&lt;td&gt;備註&lt;/td&gt;&lt;td colspan="2"&gt;附相關五金&lt;/td&gt;&lt;td colspan="2"&gt;附相關五金&lt;/td&gt;&lt;td colspan="3"&gt;10mm強化玻璃,附紗窗&lt;/td&gt;&lt;td colspan="2"&gt;10mm強化玻璃,附紗窗&lt;/td&gt;&lt;/tr&gt;&lt;tr&gt;&lt;td rowspan="2"&gt;編號
門窗立面
名稱及尺寸&lt;/td&gt;&lt;td colspan="2"&gt;W1&lt;/td&gt;&lt;td colspan="2"&gt;W2a&lt;/td&gt;&lt;td colspan="2"&gt;W2b&lt;/td&gt;&lt;td colspan="2"&gt;W3&lt;/td&gt;&lt;td&gt;W4&lt;/td&gt;&lt;/tr&gt;&lt;tr&gt;&lt;td&gt;FL&lt;/td&gt;&lt;td&gt;140
160
110
110
110
110
110
110
110
110
110
110
110
110
110
110
110
110
110
110
110
110
110
110
110
110
110
100
110
110
110
110
110
110
110
110
110
110
110
110
110
110
110
110
110
110
110
110
110
110
110
110
120
120
120
120
120
120
120
120
120
120
120
120
120
120
120
120
120
120
120
120
120
120
120
120
120
110
110
110
110
110
110
110
110
110
110
110
110
110
110
110
110
110
110
110
110
110
110
110
110
130
130
130
130
130
130
130
130
130
130
130
130
130
130
130
130
130
130
130
130
130
130
130
130
130
120
120
120
120
120
120
120
120
120
120
120
120
120
120
120
120
120
120
120
120
120
120
120
120
130
130
130
130
130
130
130
130
130
130
130
130
130
130
130
130
130
130
130
130
130
130
130
130
140
140
140
140
140
140
140
140
140
140
140
140
140
140
140
140
140
140
140
140
140
140
140
140
140
150
150
150
150
150
150
150
150
150
150
150
150
150
150
150
150
150
150
150
150
150
150
150
150
150
160
160
160
160
160
160
160
160
160
160
160
160
160
160
160
160
160
160
160
160
160
160
160
160
160
170
170
170
170
170
170
170
170
170
170
170
170
170
170
170
170
170
170
170
170
170
170
170
170
170
180
180
180
180
180
180
180
180
180
180
180
180
180
180
180
180
180
180
180
180
180
180
180
180
180
190
190
190
190
190
190
190
190
190
190
190
190
190
190
190
190
190
190
190
190
190
190
190
190
190
180
180
180
180
180
180
180
180
180
180
180
180
180
180
180
180
180
180
180
180
180
180
180
180
170
170
170
170
170
170
170
170
170
170
170
170
170
170
170
170
170
170
170
170
170
170
170
170
160
160
160
160
160
160
160
160
160
160
160
160
160
160
160
160
160
160
160
160
160
160
160
160
150
150
150
150
150
150
150
150
150
150
150
150
150
150
150
150
150
150
150
150
150
150
150
150
140
140
140
140
140
140
140
140
140
140
140
140
140
140
140
140
140
140
140
140
140
140
140
140
130
130
130
130
130
130
130
130
130
130
130
130
130
130
130
130
130
130
130
130
130
130
130
130
150
150
150
150
150
150
150
150
150
150
150
150
150
150
150
150
150
150
150
150
150
150
150
150
170
170
170
170
170
170
170
170
170
170
170
170
170
170
170
170
170
170
170
170
170
170
170
170
150
150
150
150
150
150
150
150
150
150
150
150
150
150
150
150
150
150
150
150
150
150
150
150
130
130
130
130
130
130
130
130
130
130
130
130
130
130
130
130
130
130
130
130
130
130
130
130
160
160
160
160
160
160
160
160
160
160
160
160
160
160
160
160
160
160
160
160
160
160
160
160
140
140
140
140
140
140
140
140
140
140
140
140
140
140
140
140
140
140
140
140
140
140
140
140
160
160
160
160
160
160
160
160
160
160
160
160
160
160
160
160
160
160
160
160
160
160
160
160
130
130
130
130
130
130
130
130
130
130
130
130
130
130
130
130
130
130
130
130
130
130
130
130
170
170
170
170
170
170
170
170
170
170
170
170
170
170
170
170
170
170
170
170
170
170
170
170
140
140
140
140
140
140
140
140
140
140
140
140
140
140
140
140
140
140
140
140
140
140
140
140
170
170
170
170
170
170
170
170
170
170
170
170
170
170
170
170
170
170
170
170
170
170
170
170
130
130
130
130
130
130
130
130
130
130
130
130
130
130
130
130
130
130
130
130
130
130
130
130
180
180
180
180
180
180
180
180
180
180
180
180
180
180
180
180
180
180
180
180
180
180
180
180
150
150
150
150
150
150
150
150
150
150
150
150
150
150
150
150
150
150
150
150
150
150
150
150
180
180
180
180
180
180
180
180
180
180
180
180
180
180
180
180
180
180
180
180
280
280
280
280
280
280
280
280
280
280
280
280
280
280
28</x:v>
      </x:c>
    </x:row>
    <x:row r="108">
      <x:c r="A108" s="69" t="str">
        <x:v>SRC082</x:v>
      </x:c>
      <x:c r="B108" s="69" t="str">
        <x:v>原文12</x:v>
      </x:c>
      <x:c r="C108" s="69" t="str">
        <x:v>markdown_fulltext</x:v>
      </x:c>
      <x:c r="D108" s="69" t="str">
        <x:v>88000–96000</x:v>
      </x:c>
      <x:c r="E108" s="71" t="str">
        <x:v>0
280
280
280
280
280
280
280
280
280
280
320
320
320
320
320
320
320
320
320
320
320
320
320
320
320
320
320
320
320
320
320
320
320
320
320
380
380
380
380
380
380
380
380
380
380
380
380
380
380
380
380
380
380
380
380
380
380
380
380
380
360
360
360
360
360
360
360
360
360
360
360
360
360
360
360
360
360
360
360
360
360
360
360
360
360
380
380
380
380
380
380
380
380
380
380
380
380
380
380
380
380
380
380
380
380
380
380
380
380
350
350
350
350
350
350
350
350
350
350
350
350
350
350
350
350
350
350
350
350
350
350
350
350
350
380
380
380
380
380
380
380
380
380
380
380
380
380
380
380
380
380
380
380
380
380
380
380
380
320
320
320
320
320
320
320
320
320
320
320
320
320
320
320
320
320
320
320
320
320
320
320
320
280
280
280
280
280
280
280
280
280
280
280
280
280
280
280
280
280
280
280&amp;lt;|content_end|&amp;gt;&lt;/td&gt;&lt;td&gt;&lt;/td&gt;&lt;td&gt;&lt;/td&gt;&lt;td&gt;&lt;/td&gt;&lt;td&gt;&lt;/td&gt;&lt;td&gt;&lt;/td&gt;&lt;td&gt;&lt;/td&gt;&lt;td&gt;&lt;/td&gt;&lt;/tr&gt;&lt;/table&gt;
工程名稱
PROJECT TITLE
向上建設集合住宅等11戶新建工程
後龍鎮龍富段614地號
送照圖
圖名
DRAWING NAME
横向電梯樓梯剖面圖及門窗圖
&lt;table&gt;&lt;tr&gt;&lt;td&gt;張號SHEET NO.&lt;/td&gt;&lt;td&gt;圖號DRAWING NO.A4-4&lt;/td&gt;&lt;/tr&gt;&lt;tr&gt;&lt;td&gt;核準APPROVED BY&lt;/td&gt;&lt;td&gt;比例SCALE&lt;/td&gt;&lt;/tr&gt;&lt;tr&gt;&lt;td&gt;設計DESIGN BY&lt;/td&gt;&lt;td&gt;日期DATE&lt;/td&gt;&lt;/tr&gt;&lt;tr&gt;&lt;td&gt;繪圖DRAWN BY&lt;/td&gt;&lt;td&gt;核對CHECKED BY&lt;/td&gt;&lt;/tr&gt;&lt;tr&gt;&lt;td colspan="2"&gt;業務號PROJECT NO.&lt;/td&gt;&lt;/tr&gt;&lt;tr&gt;&lt;td colspan="2"&gt;圖名DRAWING NAME無障礙設施檢討圖&lt;/td&gt;&lt;/tr&gt;&lt;tr&gt;&lt;td&gt;張號SHEET NO.&lt;/td&gt;&lt;td&gt;圖號DRAWING NO.AA-1&lt;/td&gt;&lt;/tr&gt;&lt;tr&gt;&lt;td&gt;核準APPROVED BY&lt;/td&gt;&lt;td&gt;比例SCALE&lt;/td&gt;&lt;/tr&gt;&lt;tr&gt;&lt;td&gt;設計DESIGN BY&lt;/td&gt;&lt;td&gt;日期DATE&lt;/td&gt;&lt;/tr&gt;&lt;tr&gt;&lt;td&gt;繪圖DRAWN BY&lt;/td&gt;&lt;td&gt;核對CHECKED BY&lt;/td&gt;&lt;/tr&gt;&lt;tr&gt;&lt;td colspan="2"&gt;業務號PROJECT NO.&lt;/td&gt;&lt;/tr&gt;&lt;/table&gt;
&lt;table&gt;&lt;tr&gt;&lt;td&gt;检测项目&lt;/td&gt;&lt;td&gt;检讨内容&lt;/td&gt;&lt;td&gt;本案设置&lt;/td&gt;&lt;td&gt;结果&lt;/td&gt;&lt;td&gt;检讨项目&lt;/td&gt;&lt;td&gt;检讨内容&lt;/td&gt;&lt;td&gt;本案设置&lt;/td&gt;&lt;td&gt;结果&lt;/td&gt;&lt;td&gt;检讨内容&lt;/td&gt;&lt;td&gt;本案设置&lt;/td&gt;&lt;td&gt;结果&lt;/td&gt;&lt;/tr&gt;&lt;tr&gt;&lt;td rowspan="114"&gt;烟道监测&lt;/td&gt;&lt;td rowspan="2" colspan="2"&gt;2023.2月份,共装后总长=5cm,换行/1次接线型(箱涵&amp;gt;5cm)、换行时总长=2min、&amp;quot;四管通路&amp;quot;,漏档时间=6&lt;/td&gt;&lt;td rowspan="2"&gt;携带或人工连接处&lt;/td&gt;&lt;td rowspan="2"&gt;符合规定&lt;/td&gt;&lt;td&gt;检测项目&lt;/td&gt;&lt;td&gt;5021.1量价以下,不设故障排除与无故障排除现象发生之重压力螺栓。&lt;/td&gt;&lt;td&gt;符合规定&lt;/td&gt;&lt;td&gt;5024周测验&lt;/td&gt;&lt;td&gt;5025.1#螺栓*是6个子内防爆螺栓。&lt;/td&gt;&lt;td&gt;符合规定&lt;/td&gt;&lt;/tr&gt;&lt;tr&gt;&lt;td&gt;标记检测&lt;/td&gt;&lt;td&gt;5022.2处位数,中端部高均内挡面零件&lt;/td&gt;&lt;td&gt;未达到规定&lt;/td&gt;&lt;td&gt;5025.1#螺栓*是8个子内防爆螺栓。&lt;/td&gt;&lt;td&gt;未达到规定&lt;/td&gt;&lt;td&gt;符合规定&lt;/td&gt;&lt;/tr&gt;&lt;tr&gt;&lt;td&gt;2023.1季度,烟道监测报告、图例、图表&lt;/td&gt;&lt;td&gt;符合规定&lt;/td&gt;&lt;td&gt;符合规定&lt;/td&gt;&lt;td&gt;符合规定&lt;/td&gt;&lt;td&gt;&lt;/td&gt;&lt;td&gt;&lt;/td&gt;&lt;td&gt;符合规定&lt;/td&gt;&lt;td&gt;&lt;/td&gt;&lt;td&gt;&lt;/td&gt;&lt;td&gt;&lt;/td&gt;&lt;/tr&gt;&lt;tr&gt;&lt;td rowspan="2"&gt;2023.2.1月度,安全车辆检测的各周期保持在车流量下控制,正常提升至100mm以上,符合规定&lt;/td&gt;&lt;td rowspan="2"&gt;符合规定&lt;/td&gt;&lt;td rowspan="2"&gt;符合规定&lt;/td&gt;&lt;td rowspan="2"&gt;符合规定&lt;/td&gt;&lt;td&gt;303#螺栓标记&lt;/td&gt;&lt;td&gt;5023.1月度测量,户外环境测量应从1座至2座测量,整体测量上3.5m±0.1cm&lt;/td&gt;&lt;td&gt;未达到规定&lt;/td&gt;&lt;td&gt;5026周测验&lt;/td&gt;&lt;td&gt;5027.3#螺栓*是10个子内防爆螺栓。&lt;/td&gt;&lt;td&gt;符合规定&lt;/td&gt;&lt;/tr&gt;&lt;tr&gt;&lt;td&gt;303#螺栓标记&lt;/td&gt;&lt;td&gt;5023.2月测量时,参考线上牢固定位,固定位置距离&lt;/td&gt;&lt;td&gt;未达到规定&lt;/td&gt;&lt;td&gt;5026周测验&lt;/td&gt;&lt;td&gt;5028.1#螺栓*是9个子内防爆螺栓。&lt;/td&gt;&lt;td&gt;符合规定&lt;/td&gt;&lt;/tr&gt;&lt;tr&gt;&lt;td rowspan="2"&gt;2023.2季度,烟道监测出口:1月,自适应非公称100mm固定装置配置,不同二层可观察设备配置设计,可选配比&amp;gt;50%&lt;/td&gt;&lt;td rowspan="2"&gt;符合规定&lt;/td&gt;&lt;td rowspan="2"&gt;符合规定&lt;/td&gt;&lt;td rowspan="2"&gt;符合规定&lt;/td&gt;&lt;td&gt;&lt;/td&gt;&lt;td&gt;&lt;/td&gt;&lt;td&gt;符合规定&lt;/td&gt;&lt;td&gt;&lt;/td&gt;&lt;td&gt;&lt;/td&gt;&lt;td&gt;&lt;/td&gt;&lt;/tr&gt;&lt;tr&gt;&lt;td&gt;304#螺栓&lt;/td&gt;&lt;td&gt;5023.3月测量时,参考线上牢固定位,固定位置距离&lt;/td&gt;&lt;td&gt;未达到规定&lt;/td&gt;&lt;td&gt;5028周测验&lt;/td&gt;&lt;td&gt;5029.1#螺栓*是10个子内防爆螺栓。&lt;/td&gt;&lt;td&gt;符合规定&lt;/td&gt;&lt;/tr&gt;&lt;tr&gt;&lt;td&gt;2023.2月,烟道监测设备配置参考“双层自动翻板器”及水龙头&lt;/td&gt;&lt;td&gt;符合规定&lt;/td&gt;&lt;td&gt;符合规定&lt;/td&gt;&lt;td&gt;符合规定&lt;/td&gt;&lt;td&gt;&lt;/td&gt;&lt;td&gt;&lt;/td&gt;&lt;td&gt;符合规定&lt;/td&gt;&lt;td&gt;&lt;/td&gt;&lt;td&gt;&lt;/td&gt;&lt;td&gt;&lt;/td&gt;&lt;/tr&gt;&lt;tr&gt;&lt;td&gt;2023.3月,烟道监测设备配置参考“双层自动翻板器”及水龙头-1/10&lt;/td&gt;&lt;td&gt;符合规定&lt;/td&gt;&lt;td&gt;符合规定&lt;/td&gt;&lt;td&gt;符合规定&lt;/td&gt;&lt;td&gt;&lt;/td&gt;&lt;td&gt;&lt;/td&gt;&lt;td&gt;符合规定&lt;/td&gt;&lt;td&gt;&lt;/td&gt;&lt;td&gt;&lt;/td&gt;&lt;td&gt;&lt;/td&gt;&lt;/tr&gt;&lt;tr&gt;&lt;td&gt;2023.4季度,烟道监测设备配置参考“双层自动翻板器”及水龙头-1/10&lt;/td&gt;&lt;td&gt;符合规定&lt;/td&gt;&lt;td&gt;符合规定&lt;/td&gt;&lt;td&gt;符合规定&lt;/td&gt;&lt;td&gt;&lt;/td&gt;&lt;td&gt;&lt;/td&gt;&lt;td&gt;符合规定&lt;/td&gt;&lt;td&gt;&lt;/td&gt;&lt;td&gt;&lt;/td&gt;&lt;td&gt;&lt;/td&gt;&lt;/tr&gt;&lt;tr&gt;&lt;td&gt;2023.5季度,烟道监测设备配置参考“双层自动翻板器”及水龙头-1/10&lt;/td&gt;&lt;td&gt;符合规定&lt;/td&gt;&lt;td&gt;符合规定&lt;/td&gt;&lt;td&gt;符合规定&lt;/td&gt;&lt;td&gt;&lt;/td&gt;&lt;td&gt;&lt;/td&gt;&lt;td&gt;符合规定&lt;/td&gt;&lt;td&gt;&lt;/td&gt;&lt;td&gt;&lt;/td&gt;&lt;td&gt;&lt;/td&gt;&lt;/tr&gt;&lt;tr&gt;&lt;td&gt;2023.6季度,烟道监测设备配置参考“双层自动翻板器”及水龙头-1/10&lt;/td&gt;&lt;td&gt;符合规定&lt;/td&gt;&lt;td&gt;符合规定&lt;/td&gt;&lt;td&gt;符合规定&lt;/td&gt;&lt;td&gt;&lt;/td&gt;&lt;td&gt;&lt;/td&gt;&lt;td&gt;符合规定&lt;/td&gt;&lt;td&gt;&lt;/td&gt;&lt;td&gt;&lt;/td&gt;&lt;td&gt;&lt;/td&gt;&lt;/tr&gt;&lt;tr&gt;&lt;td&gt;2023.7季度,烟道监测设备配置参考“双层自动翻板器”及水龙头-1/10&lt;/td&gt;&lt;td&gt;符合规定&lt;/td&gt;&lt;td&gt;符合规定&lt;/td&gt;&lt;td&gt;符合规定&lt;/td&gt;&lt;td&gt;&lt;/td&gt;&lt;td&gt;&lt;/td&gt;&lt;td&gt;符合规定&lt;/td&gt;&lt;td&gt;&lt;/td&gt;&lt;td&gt;&lt;/td&gt;&lt;td&gt;&lt;/td&gt;&lt;/tr&gt;&lt;tr&gt;&lt;td&gt;2023.8季度,烟道监测设备配置参考“双层自动翻板器”及水龙头-1/10&lt;/td&gt;&lt;td&gt;符合规定&lt;/td&gt;&lt;td&gt;符合规定&lt;/td&gt;&lt;td&gt;符合规定&lt;/td&gt;&lt;td&gt;&lt;/td&gt;&lt;td&gt;&lt;/td&gt;&lt;td&gt;符合规定&lt;/td&gt;&lt;td&gt;&lt;/td&gt;&lt;td&gt;&lt;/td&gt;&lt;td&gt;&lt;/td&gt;&lt;/tr&gt;&lt;tr&gt;&lt;td&gt;2023.9季度,烟道监测设备配置参考“双层自动翻板器”及水龙头-1/10&lt;/td&gt;&lt;td&gt;符合规定&lt;/td&gt;&lt;td&gt;符合规定&lt;/td&gt;&lt;td&gt;符合规定&lt;/td&gt;&lt;td&gt;&lt;/td&gt;&lt;td&gt;&lt;/td&gt;&lt;td&gt;符合规定&lt;/td&gt;&lt;td&gt;&lt;/td&gt;&lt;td&gt;&lt;/td&gt;&lt;td&gt;&lt;/td&gt;&lt;/tr&gt;&lt;tr&gt;&lt;td&gt;2023.10季度,烟道监测设备配置参考“双层自动翻板器”及水龙头-1/10&lt;/td&gt;&lt;td&gt;符合规定&lt;/td&gt;&lt;td&gt;符合规定&lt;/td&gt;&lt;td&gt;符合规定&lt;/td&gt;&lt;td&gt;&lt;/td&gt;&lt;td&gt;&lt;/td&gt;&lt;td&gt;符合规定&lt;/td&gt;&lt;td&gt;&lt;/td&gt;&lt;td&gt;&lt;/td&gt;&lt;td&gt;&lt;/td&gt;&lt;/tr&gt;&lt;tr&gt;&lt;td&gt;2023.11季度,烟道监测设备配置参考“双层自动翻板器”及水龙头-1/10&lt;/td&gt;&lt;td&gt;符合规定&lt;/td&gt;&lt;td&gt;符合规定&lt;/td&gt;&lt;td&gt;符合规定&lt;/td&gt;&lt;td&gt;&lt;/td&gt;&lt;td&gt;&lt;/td&gt;&lt;td&gt;符合规定&lt;/td&gt;&lt;td&gt;&lt;/td&gt;&lt;td&gt;&lt;/td&gt;&lt;td&gt;&lt;/td&gt;&lt;/tr&gt;&lt;tr&gt;&lt;td&gt;2023.12季度,烟道监测设备配置参考“双层自动翻板器”及水龙头-1/10&lt;/td&gt;&lt;td&gt;符合规定&lt;/td&gt;&lt;td&gt;符合规定&lt;/td&gt;&lt;td&gt;符合规定&lt;/td&gt;&lt;td&gt;&lt;/td&gt;&lt;td&gt;&lt;/td&gt;&lt;td&gt;符合规定&lt;/td&gt;&lt;td&gt;&lt;/td&gt;&lt;td&gt;&lt;/td&gt;&lt;td&gt;&lt;/td&gt;&lt;/tr&gt;&lt;tr&gt;&lt;td&gt;2023.13季度,烟道监测设备配置参考“双层自动翻板器”及水龙头-1/10&lt;/td&gt;&lt;td&gt;符合规定&lt;/td&gt;&lt;td&gt;符合规定&lt;/td&gt;&lt;td&gt;符合规定&lt;/td&gt;&lt;td&gt;&lt;/td&gt;&lt;td&gt;&lt;/td&gt;&lt;td&gt;符合规定&lt;/td&gt;&lt;td&gt;&lt;/td&gt;&lt;td&gt;&lt;/td&gt;&lt;td&gt;&lt;/td&gt;&lt;/tr&gt;&lt;tr&gt;&lt;td&gt;2023.14季度,烟道监测设备配置参考“双层自动翻板器”及水龙头-1/10&lt;/td&gt;&lt;td&gt;符合规定&lt;/td&gt;&lt;td&gt;符合规定&lt;/td&gt;&lt;td&gt;符合规定&lt;/td&gt;&lt;td&gt;&lt;/td&gt;&lt;td&gt;&lt;/td&gt;&lt;td&gt;符合规定&lt;/td&gt;&lt;td&gt;&lt;/td&gt;&lt;td&gt;&lt;/td&gt;&lt;td&gt;&lt;/td&gt;&lt;/tr&gt;&lt;tr&gt;&lt;td&gt;2023.15季度,烟道监测设备配置参考“双层自动翻板器”及水龙头-1/10&lt;/td&gt;&lt;td&gt;符合规定&lt;/td&gt;&lt;td&gt;符合规定&lt;/td&gt;&lt;td&gt;符合规定&lt;/td&gt;&lt;td&gt;&lt;/td&gt;&lt;td&gt;&lt;/td&gt;&lt;td&gt;符合规定&lt;/td&gt;&lt;td&gt;&lt;/td&gt;&lt;td&gt;&lt;/td&gt;&lt;td&gt;&lt;/td&gt;&lt;/tr&gt;&lt;tr&gt;&lt;td&gt;2023.16季度,烟道监测设备配置参考“双层自动翻板器”及水龙头-1/10&lt;/td&gt;&lt;td&gt;符合规定&lt;/td&gt;&lt;td&gt;符合规定&lt;/td&gt;&lt;td&gt;符合规定&lt;/td&gt;&lt;td&gt;&lt;/td&gt;&lt;td&gt;&lt;/td&gt;&lt;td&gt;符合规定&lt;/td&gt;&lt;td&gt;&lt;/td&gt;&lt;td&gt;&lt;/td&gt;&lt;td&gt;&lt;/td&gt;&lt;/tr&gt;&lt;tr&gt;&lt;td&gt;2023.17季度,烟道监测设备配置参考“双层自动翻板器”及水龙头-1/10&lt;/td&gt;&lt;td&gt;符合规定&lt;/td&gt;&lt;td&gt;符合规定&lt;/td&gt;&lt;td&gt;符合规定&lt;/td&gt;&lt;td&gt;&lt;/td&gt;&lt;td&gt;&lt;/td&gt;&lt;td&gt;符合规定&lt;/td&gt;&lt;td&gt;&lt;/td&gt;&lt;td&gt;&lt;/td&gt;&lt;td&gt;&lt;/td&gt;&lt;/tr&gt;&lt;tr&gt;&lt;td&gt;2023.18季度,烟道监测设备配置参考“双层自动翻板器”及水龙头-1/10&lt;/td&gt;&lt;td&gt;符合规定&lt;/td&gt;&lt;td&gt;符合规定&lt;/td&gt;&lt;td&gt;符合规定&lt;/td&gt;&lt;td&gt;&lt;/td&gt;&lt;td&gt;&lt;/td&gt;&lt;td&gt;符合规定&lt;/td&gt;&lt;td&gt;&lt;/td&gt;&lt;td&gt;&lt;/td&gt;&lt;td&gt;&lt;/td&gt;&lt;/tr&gt;&lt;tr&gt;&lt;td&gt;2023.19季度,烟道监测设备配置参考“双层自动翻板器”及水龙头-1/10&lt;/td&gt;&lt;td&gt;符合规定&lt;/td&gt;&lt;td&gt;符合规定&lt;/td&gt;&lt;td&gt;符合规定&lt;/td&gt;&lt;td&gt;&lt;/td&gt;&lt;td&gt;&lt;/td&gt;&lt;td&gt;符合规定&lt;/td&gt;&lt;td&gt;&lt;/td&gt;&lt;td&gt;&lt;/td&gt;&lt;td&gt;&lt;/td&gt;&lt;/tr&gt;&lt;tr&gt;&lt;td&gt;2023.20季度,烟道监测设备配置参考“双层自动翻板器”及水龙头-1/10&lt;/td&gt;&lt;td&gt;符合规定&lt;/td&gt;&lt;td&gt;符合规定&lt;/td&gt;&lt;td&gt;符合规定&lt;/td&gt;&lt;td&gt;&lt;/td&gt;&lt;td&gt;&lt;/td&gt;&lt;td&gt;符合规定&lt;/td&gt;&lt;td&gt;&lt;/td&gt;&lt;td&gt;&lt;/td&gt;&lt;td&gt;&lt;/td&gt;&lt;/tr&gt;&lt;tr&gt;&lt;td&gt;2023.21季度,烟道监测设备配置参考“双层自动翻板器”及水龙头-1/10&lt;/td&gt;&lt;td&gt;符合规定&lt;/td&gt;&lt;td&gt;符合规定&lt;/td&gt;&lt;td&gt;符合规定&lt;/td&gt;&lt;td&gt;&lt;/td&gt;&lt;td&gt;&lt;/td&gt;&lt;td&gt;符合规定&lt;/td&gt;&lt;td&gt;&lt;/td&gt;&lt;td&gt;&lt;/td&gt;&lt;td&gt;&lt;/td&gt;&lt;/tr&gt;&lt;tr&gt;&lt;td&gt;2023.22季度,烟道监测设备配置参考“双层自动翻板器”及水龙头-1/10&lt;/td&gt;&lt;td&gt;符合规定&lt;/td&gt;&lt;td&gt;符合规定&lt;/td&gt;&lt;td&gt;符合规定&lt;/td&gt;&lt;td&gt;&lt;/td&gt;&lt;td&gt;&lt;/td&gt;&lt;td&gt;符合规定&lt;/td&gt;&lt;td&gt;&lt;/td&gt;&lt;td&gt;&lt;/td&gt;&lt;td&gt;&lt;/td&gt;&lt;/tr&gt;&lt;tr&gt;&lt;td&gt;2023.23季度,烟道监测设备配置参考“双层自动翻板器”及水龙头-1/10&lt;/td&gt;&lt;td&gt;符合规定&lt;/td&gt;&lt;td&gt;符合规定&lt;/td&gt;&lt;td&gt;符合规定&lt;/td&gt;&lt;td&gt;&lt;/td&gt;&lt;td&gt;&lt;/td&gt;&lt;td&gt;符合规定&lt;/td&gt;&lt;td&gt;&lt;/td&gt;&lt;td&gt;&lt;/td&gt;&lt;td&gt;&lt;/td&gt;&lt;/tr&gt;&lt;tr&gt;&lt;td&gt;2023.24季度,烟道监测设备配置参考“双层自动翻板器”及水龙头-1/10&lt;/td&gt;&lt;td&gt;符合规定&lt;/td&gt;&lt;td&gt;符合规定&lt;/td&gt;&lt;td&gt;符合规定&lt;/td&gt;&lt;td&gt;&lt;/td&gt;&lt;td&gt;&lt;/td&gt;&lt;td&gt;符合规定&lt;/td&gt;&lt;td&gt;&lt;/td&gt;&lt;td&gt;&lt;/td&gt;&lt;td&gt;&lt;/td&gt;&lt;/tr&gt;&lt;tr&gt;&lt;td&gt;2023.25季度,烟道监测设备配置参考“双层自动翻板器”及水龙头-1/10&lt;/td&gt;&lt;td&gt;符合规定&lt;/td&gt;&lt;td&gt;符合规定&lt;/td&gt;&lt;td&gt;符合规定&lt;/td&gt;&lt;td&gt;&lt;/td&gt;&lt;td&gt;&lt;/td&gt;&lt;td&gt;符合规定&lt;/td&gt;&lt;td&gt;&lt;/td&gt;&lt;td&gt;&lt;/td&gt;&lt;td&gt;&lt;/td&gt;&lt;/tr&gt;&lt;tr&gt;&lt;td&gt;2023.26季度,烟道监测设备配置参考“双层自动翻板器”及水龙头-1/10&lt;/td&gt;&lt;td&gt;符合规定&lt;/td&gt;&lt;td&gt;符合规定&lt;/td&gt;&lt;td&gt;符合规定&lt;/td&gt;&lt;td&gt;&lt;/td&gt;&lt;td&gt;&lt;/td&gt;&lt;td&gt;符合规定&lt;/td&gt;&lt;td&gt;&lt;/td&gt;&lt;td&gt;&lt;/td&gt;&lt;td&gt;&lt;/td&gt;&lt;/tr&gt;&lt;tr&gt;&lt;td&gt;2023.27季度,烟道监测设备配置参考“双层自动翻板器”及水龙头-1/10&lt;/td&gt;&lt;td&gt;符合规定&lt;/td&gt;&lt;td&gt;符合规定&lt;/td&gt;&lt;td&gt;符合规定&lt;/td&gt;&lt;td&gt;&lt;/td&gt;&lt;td&gt;&lt;/td&gt;&lt;td&gt;符合规定&lt;/td&gt;&lt;td&gt;&lt;/td&gt;&lt;td&gt;&lt;/td&gt;&lt;td&gt;&lt;/td&gt;&lt;/tr&gt;&lt;tr&gt;&lt;td&gt;2023.28季度,烟道监测设备配置参考“双层自动翻板器”及水龙头-1/10&lt;/td&gt;&lt;td&gt;符合规定&lt;/td&gt;&lt;td&gt;符合规定&lt;/td&gt;&lt;td&gt;符合规定&lt;/td&gt;&lt;td&gt;&lt;/td&gt;&lt;td&gt;&lt;/td&gt;&lt;td&gt;符合规定&lt;/td&gt;&lt;td&gt;&lt;/td&gt;&lt;td&gt;&lt;/td&gt;&lt;td&gt;&lt;/td&gt;&lt;/tr&gt;&lt;tr&gt;&lt;td&gt;2023.29季度,烟道监测设备配置参考“双层自动翻板器”及水龙头-1/10&lt;/td&gt;&lt;td&gt;符合规定&lt;/td&gt;&lt;td&gt;符合规定&lt;/td&gt;&lt;td&gt;符合规定&lt;/td&gt;&lt;td&gt;&lt;/td&gt;&lt;td&gt;&lt;/td&gt;&lt;td&gt;符合规定&lt;/td&gt;&lt;td&gt;&lt;/td&gt;&lt;td&gt;&lt;/td&gt;&lt;td&gt;&lt;/td&gt;&lt;/tr&gt;&lt;tr&gt;&lt;td&gt;2023.30季度,烟道监测设备配置参考“双层自动翻板器”及水龙头-1/10&lt;/td&gt;&lt;td&gt;符合规定&lt;/td&gt;&lt;td&gt;符合规定&lt;/td&gt;&lt;td&gt;符合规定&lt;/td&gt;&lt;td&gt;&lt;/td&gt;&lt;td&gt;&lt;/td&gt;&lt;td&gt;符合规定&lt;/td&gt;&lt;td&gt;&lt;/td&gt;&lt;td&gt;&lt;/td&gt;&lt;td&gt;&lt;/td&gt;&lt;/tr&gt;&lt;tr&gt;&lt;td&gt;2023.31季度,烟道监测设备配置参考“双层自动翻板器”及水龙头-1/10&lt;/td&gt;&lt;td&gt;符合规定&lt;/td&gt;&lt;td&gt;符合规定&lt;/td&gt;&lt;td&gt;符合规定&lt;/td&gt;&lt;td&gt;&lt;/td&gt;&lt;td&gt;&lt;/td&gt;&lt;td&gt;符合规定&lt;/td&gt;&lt;td&gt;&lt;/td&gt;&lt;td&gt;&lt;/td&gt;&lt;td&gt;&lt;/td&gt;&lt;/tr&gt;&lt;tr&gt;&lt;td&gt;2023.32季度,烟道监测设备配置参考“双层自动翻板器”及水龙头-1/10&lt;/td&gt;&lt;td&gt;符合规定&lt;/td&gt;&lt;td&gt;符合规定&lt;/td&gt;&lt;td&gt;符合规定&lt;/td&gt;&lt;td&gt;&lt;/td&gt;&lt;td&gt;&lt;/td&gt;&lt;td&gt;符合规定&lt;/td&gt;&lt;td&gt;&lt;/td&gt;&lt;td&gt;&lt;/td&gt;&lt;td&gt;&lt;/td&gt;&lt;/tr&gt;&lt;tr&gt;&lt;td&gt;2023.33季度,烟道监测设备配置参考“双层自动翻板器”及水龙头-1/10&lt;/td&gt;&lt;td&gt;符合规定&lt;/td&gt;&lt;td&gt;符合规定&lt;/td&gt;&lt;td&gt;符合规定&lt;/td&gt;&lt;td&gt;&lt;/td&gt;&lt;td&gt;&lt;/td&gt;&lt;td&gt;符合规定&lt;/td&gt;&lt;td&gt;&lt;/td&gt;&lt;td&gt;&lt;/td&gt;&lt;td&gt;&lt;/td&gt;&lt;/tr&gt;&lt;tr&gt;&lt;td&gt;2023.34季度,烟道监测设备配置参考“双层自动翻板器”及水龙头-1/10&lt;/td&gt;&lt;td&gt;符合规</x:v>
      </x:c>
    </x:row>
    <x:row r="109">
      <x:c r="A109" s="69" t="str">
        <x:v>SRC082</x:v>
      </x:c>
      <x:c r="B109" s="69" t="str">
        <x:v>原文13</x:v>
      </x:c>
      <x:c r="C109" s="69" t="str">
        <x:v>markdown_fulltext</x:v>
      </x:c>
      <x:c r="D109" s="69" t="str">
        <x:v>96000–104000</x:v>
      </x:c>
      <x:c r="E109" s="71" t="str">
        <x:v>定&lt;/td&gt;&lt;td&gt;符合规定&lt;/td&gt;&lt;td&gt;符合规定&lt;/td&gt;&lt;td&gt;&lt;/td&gt;&lt;td&gt;&lt;/td&gt;&lt;td&gt;符合规定&lt;/td&gt;&lt;td&gt;&lt;/td&gt;&lt;td&gt;&lt;/td&gt;&lt;td&gt;&lt;/td&gt;&lt;/tr&gt;&lt;tr&gt;&lt;td&gt;2023.35季度,烟道监测设备配置参考“双层自动翻板器”及水龙头-1/10&lt;/td&gt;&lt;td&gt;符合规定&lt;/td&gt;&lt;td&gt;符合规定&lt;/td&gt;&lt;td&gt;符合规定&lt;/td&gt;&lt;td&gt;&lt;/td&gt;&lt;td&gt;&lt;/td&gt;&lt;td&gt;符合规定&lt;/td&gt;&lt;td&gt;&lt;/td&gt;&lt;td&gt;&lt;/td&gt;&lt;td&gt;&lt;/td&gt;&lt;/tr&gt;&lt;tr&gt;&lt;td&gt;2023.36季度,烟道监测设备配置参考“双层自动翻板器”及水龙头-1/10&lt;/td&gt;&lt;td&gt;符合规定&lt;/td&gt;&lt;td&gt;符合规定&lt;/td&gt;&lt;td&gt;符合规定&lt;/td&gt;&lt;td&gt;&lt;/td&gt;&lt;td&gt;&lt;/td&gt;&lt;td&gt;符合规定&lt;/td&gt;&lt;td&gt;&lt;/td&gt;&lt;td&gt;&lt;/td&gt;&lt;td&gt;&lt;/td&gt;&lt;/tr&gt;&lt;tr&gt;&lt;td&gt;2023.37季度,烟道监测设备配置参考“双层自动翻板器”及水龙头-1/10&lt;/td&gt;&lt;td&gt;符合规定&lt;/td&gt;&lt;td&gt;符合规定&lt;/td&gt;&lt;td&gt;符合规定&lt;/td&gt;&lt;td&gt;&lt;/td&gt;&lt;td&gt;&lt;/td&gt;&lt;td&gt;符合规定&lt;/td&gt;&lt;td&gt;&lt;/td&gt;&lt;td&gt;&lt;/td&gt;&lt;td&gt;&lt;/td&gt;&lt;/tr&gt;&lt;tr&gt;&lt;td&gt;2023.38季度,烟道监测设备配置参考“双层自动翻板器”及水龙头-1/10&lt;/td&gt;&lt;td&gt;符合规定&lt;/td&gt;&lt;td&gt;符合规定&lt;/td&gt;&lt;td&gt;符合规定&lt;/td&gt;&lt;td&gt;&lt;/td&gt;&lt;td&gt;&lt;/td&gt;&lt;td&gt;符合规定&lt;/td&gt;&lt;td&gt;&lt;/td&gt;&lt;td&gt;&lt;/td&gt;&lt;td&gt;&lt;/td&gt;&lt;/tr&gt;&lt;tr&gt;&lt;td&gt;2023.39季度,烟道监测设备配置参考“双层自动翻板器”及水龙头-1/10&lt;/td&gt;&lt;td&gt;符合规定&lt;/td&gt;&lt;td&gt;符合规定&lt;/td&gt;&lt;td&gt;符合规定&lt;/td&gt;&lt;td&gt;&lt;/td&gt;&lt;td&gt;&lt;/td&gt;&lt;td&gt;符合规定&lt;/td&gt;&lt;td&gt;&lt;/td&gt;&lt;td&gt;&lt;/td&gt;&lt;td&gt;&lt;/td&gt;&lt;/tr&gt;&lt;tr&gt;&lt;td&gt;2023.40季度,烟道监测设备配置参考“双层自动翻板器”及水龙头-1/10&lt;/td&gt;&lt;td&gt;符合规定&lt;/td&gt;&lt;td&gt;符合规定&lt;/td&gt;&lt;td&gt;符合规定&lt;/td&gt;&lt;td&gt;&lt;/td&gt;&lt;td&gt;&lt;/td&gt;&lt;td&gt;符合规定&lt;/td&gt;&lt;td&gt;&lt;/td&gt;&lt;td&gt;&lt;/td&gt;&lt;td&gt;&lt;/td&gt;&lt;/tr&gt;&lt;tr&gt;&lt;td&gt;2023.41季度,烟道监测设备配置参考“双层自动翻板器”及水龙头-1/10&lt;/td&gt;&lt;td&gt;符合规定&lt;/td&gt;&lt;td&gt;符合规定&lt;/td&gt;&lt;td&gt;符合规定&lt;/td&gt;&lt;td&gt;&lt;/td&gt;&lt;td&gt;&lt;/td&gt;&lt;td&gt;符合规定&lt;/td&gt;&lt;td&gt;&lt;/td&gt;&lt;td&gt;&lt;/td&gt;&lt;td&gt;&lt;/td&gt;&lt;/tr&gt;&lt;tr&gt;&lt;td&gt;2023.42季度,烟道监测设备配置参考“双层自动翻板器”及水龙头-1/10&lt;/td&gt;&lt;td&gt;符合规定&lt;/td&gt;&lt;td&gt;符合规定&lt;/td&gt;&lt;td&gt;符合规定&lt;/td&gt;&lt;td&gt;&lt;/td&gt;&lt;td&gt;&lt;/td&gt;&lt;td&gt;符合规定&lt;/td&gt;&lt;td&gt;&lt;/td&gt;&lt;td&gt;&lt;/td&gt;&lt;td&gt;&lt;/td&gt;&lt;/tr&gt;&lt;tr&gt;&lt;td&gt;2023.43季度,烟道监测设备配置参考“双层自动翻板器”及水龙头-1/10&lt;/td&gt;&lt;td&gt;符合规定&lt;/td&gt;&lt;td&gt;符合规定&lt;/td&gt;&lt;td&gt;符合规定&lt;/td&gt;&lt;td&gt;&lt;/td&gt;&lt;td&gt;&lt;/td&gt;&lt;td&gt;符合规定&lt;/td&gt;&lt;td&gt;&lt;/td&gt;&lt;td&gt;&lt;/td&gt;&lt;td&gt;&lt;/td&gt;&lt;/tr&gt;&lt;tr&gt;&lt;td&gt;2023.44季度,烟道监测设备配置参考“双层自动翻板器”及水龙头-1/10&lt;/td&gt;&lt;td&gt;符合规定&lt;/td&gt;&lt;td&gt;符合规定&lt;/td&gt;&lt;td&gt;符合规定&lt;/td&gt;&lt;td&gt;&lt;/td&gt;&lt;td&gt;&lt;/td&gt;&lt;td&gt;符合规定&lt;/td&gt;&lt;td&gt;&lt;/td&gt;&lt;td&gt;&lt;/td&gt;&lt;td&gt;&lt;/td&gt;&lt;/tr&gt;&lt;tr&gt;&lt;td&gt;2023.45季度,烟道监测设备配置参考“双层自动翻板器”及水龙头-1/10&lt;/td&gt;&lt;td&gt;符合规定&lt;/td&gt;&lt;td&gt;符合规定&lt;/td&gt;&lt;td&gt;符合规定&lt;/td&gt;&lt;td&gt;&lt;/td&gt;&lt;td&gt;&lt;/td&gt;&lt;td&gt;符合规定&lt;/td&gt;&lt;td&gt;&lt;/td&gt;&lt;td&gt;&lt;/td&gt;&lt;td&gt;&lt;/td&gt;&lt;/tr&gt;&lt;tr&gt;&lt;td&gt;2023.46季度,烟道监测设备配置参考“双层自动翻板器”及水龙头-1/10&lt;/td&gt;&lt;td&gt;符合规定&lt;/td&gt;&lt;td&gt;符合规定&lt;/td&gt;&lt;td&gt;符合规定&lt;/td&gt;&lt;td&gt;&lt;/td&gt;&lt;td&gt;&lt;/td&gt;&lt;td&gt;符合规定&lt;/td&gt;&lt;td&gt;&lt;/td&gt;&lt;td&gt;&lt;/td&gt;&lt;td&gt;&lt;/td&gt;&lt;/tr&gt;&lt;tr&gt;&lt;td&gt;2023.47季度,烟道监测设备配置参考“双层自动翻板器”及水龙头-1/10&lt;/td&gt;&lt;td&gt;符合规定&lt;/td&gt;&lt;td&gt;符合规定&lt;/td&gt;&lt;td&gt;符合规定&lt;/td&gt;&lt;td&gt;&lt;/td&gt;&lt;td&gt;&lt;/td&gt;&lt;td&gt;符合规定&lt;/td&gt;&lt;td&gt;&lt;/td&gt;&lt;td&gt;&lt;/td&gt;&lt;td&gt;&lt;/td&gt;&lt;/tr&gt;&lt;tr&gt;&lt;td&gt;2023.48季度,烟道监测设备配置参考“双层自动翻板器”及水龙头-1/10&lt;/td&gt;&lt;td&gt;符合规定&lt;/td&gt;&lt;td&gt;符合规定&lt;/td&gt;&lt;td&gt;符合规定&lt;/td&gt;&lt;td&gt;&lt;/td&gt;&lt;td&gt;&lt;/td&gt;&lt;td&gt;符合规定&lt;/td&gt;&lt;td&gt;&lt;/td&gt;&lt;td&gt;&lt;/td&gt;&lt;td&gt;&lt;/td&gt;&lt;/tr&gt;&lt;tr&gt;&lt;td&gt;2023.49季度,烟道监测设备配置参考“双层自动翻板器”及水龙头-1/10&lt;/td&gt;&lt;td&gt;符合规定&lt;/td&gt;&lt;td&gt;符合规定&lt;/td&gt;&lt;td&gt;符合规定&lt;/td&gt;&lt;td&gt;&lt;/td&gt;&lt;td&gt;&lt;/td&gt;&lt;td&gt;符合规定&lt;/td&gt;&lt;td&gt;&lt;/td&gt;&lt;td&gt;&lt;/td&gt;&lt;td&gt;&lt;/td&gt;&lt;/tr&gt;&lt;tr&gt;&lt;td&gt;2023.50季度,烟道监测设备配置参考“双层自动翻板器”及水龙头-1/10&lt;/td&gt;&lt;td&gt;符合规定&lt;/td&gt;&lt;td&gt;符合规定&lt;/td&gt;&lt;td&gt;符合规定&lt;/td&gt;&lt;td&gt;&lt;/td&gt;&lt;td&gt;&lt;/td&gt;&lt;td&gt;符合规定&lt;/td&gt;&lt;td&gt;&lt;/td&gt;&lt;td&gt;&lt;/td&gt;&lt;td&gt;&lt;/td&gt;&lt;/tr&gt;&lt;tr&gt;&lt;td&gt;2023.51季度,烟道监测设备配置参考“双层自动翻板器”及水龙头-1/10&lt;/td&gt;&lt;td&gt;符合规定&lt;/td&gt;&lt;td&gt;符合规定&lt;/td&gt;&lt;td&gt;符合规定&lt;/td&gt;&lt;td&gt;&lt;/td&gt;&lt;td&gt;&lt;/td&gt;&lt;td&gt;符合规定&lt;/td&gt;&lt;td&gt;&lt;/td&gt;&lt;td&gt;&lt;/td&gt;&lt;td&gt;&lt;/td&gt;&lt;/tr&gt;&lt;tr&gt;&lt;td&gt;2023.52季度,烟道监测设备配置参考“双层自动翻板器”及水龙头-1/10&lt;/td&gt;&lt;td&gt;符合规定&lt;/td&gt;&lt;td&gt;符合规定&lt;/td&gt;&lt;td&gt;符合规定&lt;/td&gt;&lt;td&gt;&lt;/td&gt;&lt;td&gt;&lt;/td&gt;&lt;td&gt;符合规定&lt;/td&gt;&lt;td&gt;&lt;/td&gt;&lt;td&gt;&lt;/td&gt;&lt;td&gt;&lt;/td&gt;&lt;/tr&gt;&lt;tr&gt;&lt;td&gt;2023.53季度,烟道监测设备配置参考“双层自动翻板器”及水龙头-1/10&lt;/td&gt;&lt;td&gt;符合规定&lt;/td&gt;&lt;td&gt;符合规定&lt;/td&gt;&lt;td&gt;符合规定&lt;/td&gt;&lt;td&gt;&lt;/td&gt;&lt;td&gt;&lt;/td&gt;&lt;td&gt;符合规定&lt;/td&gt;&lt;td&gt;&lt;/td&gt;&lt;td&gt;&lt;/td&gt;&lt;td&gt;&lt;/td&gt;&lt;/tr&gt;&lt;tr&gt;&lt;td&gt;2023.54季度,烟道监测设备配置参考“双层自动翻板器”及水龙头-1/10&lt;/td&gt;&lt;td&gt;符合规定&lt;/td&gt;&lt;td&gt;符合规定&lt;/td&gt;&lt;td&gt;符合规定&lt;/td&gt;&lt;td&gt;&lt;/td&gt;&lt;td&gt;&lt;/td&gt;&lt;td&gt;符合规定&lt;/td&gt;&lt;td&gt;&lt;/td&gt;&lt;td&gt;&lt;/td&gt;&lt;td&gt;&lt;/td&gt;&lt;/tr&gt;&lt;tr&gt;&lt;td&gt;2023.55季度,烟道监测设备配置参考“双层自动翻板器”及水龙头-1/10&lt;/td&gt;&lt;td&gt;符合规定&lt;/td&gt;&lt;td&gt;符合规定&lt;/td&gt;&lt;td&gt;符合规定&lt;/td&gt;&lt;td&gt;&lt;/td&gt;&lt;td&gt;&lt;/td&gt;&lt;td&gt;符合规定&lt;/td&gt;&lt;td&gt;&lt;/td&gt;&lt;td&gt;&lt;/td&gt;&lt;td&gt;&lt;/td&gt;&lt;/tr&gt;&lt;tr&gt;&lt;td&gt;2023.56季度,烟道监测设备配置参考“双层自动翻板器”及水龙头-1/10&lt;/td&gt;&lt;td&gt;符合规定&lt;/td&gt;&lt;td&gt;符合规定&lt;/td&gt;&lt;td&gt;符合规定&lt;/td&gt;&lt;td&gt;&lt;/td&gt;&lt;td&gt;&lt;/td&gt;&lt;td&gt;符合规定&lt;/td&gt;&lt;td&gt;&lt;/td&gt;&lt;td&gt;&lt;/td&gt;&lt;td&gt;&lt;/td&gt;&lt;/tr&gt;&lt;tr&gt;&lt;td&gt;2023.57季度,烟道监测设备配置参考“双层自动翻板器”及水龙头-1/10&lt;/td&gt;&lt;td&gt;符合规定&lt;/td&gt;&lt;td&gt;符合规定&lt;/td&gt;&lt;td&gt;符合规定&lt;/td&gt;&lt;td&gt;&lt;/td&gt;&lt;td&gt;&lt;/td&gt;&lt;td&gt;符合规定&lt;/td&gt;&lt;td&gt;&lt;/td&gt;&lt;td&gt;&lt;/td&gt;&lt;td&gt;&lt;/td&gt;&lt;/tr&gt;&lt;tr&gt;&lt;td&gt;2023.58季度,烟道监测设备配置参考“双层自动翻板器”及水龙头-1/10&lt;/td&gt;&lt;td&gt;符合规定&lt;/td&gt;&lt;td&gt;符合规定&lt;/td&gt;&lt;td&gt;符合规定&lt;/td&gt;&lt;td&gt;&lt;/td&gt;&lt;td&gt;&lt;/td&gt;&lt;td&gt;符合规定&lt;/td&gt;&lt;td&gt;&lt;/td&gt;&lt;td&gt;&lt;/td&gt;&lt;td&gt;&lt;/td&gt;&lt;/tr&gt;&lt;tr&gt;&lt;td&gt;2023.59季度,烟道监测设备配置参考“双层自动翻板器”及水龙头-1/10&lt;/td&gt;&lt;td&gt;符合规定&lt;/td&gt;&lt;td&gt;符合规定&lt;/td&gt;&lt;td&gt;符合规定&lt;/td&gt;&lt;td&gt;&lt;/td&gt;&lt;td&gt;&lt;/td&gt;&lt;td&gt;符合规定&lt;/td&gt;&lt;td&gt;&lt;/td&gt;&lt;td&gt;&lt;/td&gt;&lt;td&gt;&lt;/td&gt;&lt;/tr&gt;&lt;tr&gt;&lt;td&gt;2023.60季度,烟道监测设备配置参考“双层自动翻板器”及水龙头-1/10&lt;/td&gt;&lt;td&gt;符合规定&lt;/td&gt;&lt;td&gt;符合规定&lt;/td&gt;&lt;td&gt;符合规定&lt;/td&gt;&lt;td&gt;&lt;/td&gt;&lt;td&gt;&lt;/td&gt;&lt;td&gt;符合规定&lt;/td&gt;&lt;td&gt;&lt;/td&gt;&lt;td&gt;&lt;/td&gt;&lt;td&gt;&lt;/td&gt;&lt;/tr&gt;&lt;tr&gt;&lt;td&gt;2023.61季度,烟道监测设备配置参考“双层自动翻板器”及水龙头-1/10&lt;/td&gt;&lt;td&gt;符合规定&lt;/td&gt;&lt;td&gt;符合规定&lt;/td&gt;&lt;td&gt;符合规定&lt;/td&gt;&lt;td&gt;&lt;/td&gt;&lt;td&gt;&lt;/td&gt;&lt;td&gt;符合规定&lt;/td&gt;&lt;td&gt;&lt;/td&gt;&lt;td&gt;&lt;/td&gt;&lt;td&gt;&lt;/td&gt;&lt;/tr&gt;&lt;tr&gt;&lt;td&gt;2023.62季度,烟道监测设备配置参考“双层自动翻板器”及水龙头-1/10&lt;/td&gt;&lt;td&gt;符合规定&lt;/td&gt;&lt;td&gt;符合规定&lt;/td&gt;&lt;td&gt;符合规定&lt;/td&gt;&lt;td&gt;&lt;/td&gt;&lt;td&gt;&lt;/td&gt;&lt;td&gt;符合规定&lt;/td&gt;&lt;td&gt;&lt;/td&gt;&lt;td&gt;&lt;/td&gt;&lt;td&gt;&lt;/td&gt;&lt;/tr&gt;&lt;tr&gt;&lt;td&gt;2023.63季度,烟道监测设备配置参考“双层自动翻板器”及水龙头-1/10&lt;/td&gt;&lt;td&gt;符合规定&lt;/td&gt;&lt;td&gt;符合规定&lt;/td&gt;&lt;td&gt;符合规定&lt;/td&gt;&lt;td&gt;&lt;/td&gt;&lt;td&gt;&lt;/td&gt;&lt;td&gt;符合规定&lt;/td&gt;&lt;td&gt;&lt;/td&gt;&lt;td&gt;&lt;/td&gt;&lt;td&gt;&lt;/td&gt;&lt;/tr&gt;&lt;tr&gt;&lt;td&gt;2023.64季度,烟道监测设备配置参考“双层自动翻板器”及水龙头-1/10&lt;/td&gt;&lt;td&gt;符合规定&lt;/td&gt;&lt;td&gt;符合规定&lt;/td&gt;&lt;td&gt;符合规定&lt;/td&gt;&lt;td&gt;&lt;/td&gt;&lt;td&gt;&lt;/td&gt;&lt;td&gt;符合规定&lt;/td&gt;&lt;td&gt;&lt;/td&gt;&lt;td&gt;&lt;/td&gt;&lt;td&gt;&lt;/td&gt;&lt;/tr&gt;&lt;tr&gt;&lt;td&gt;2023.65季度,烟道监测设备配置参考“双层自动翻板器”及水龙头-1/10&lt;/td&gt;&lt;td&gt;符合规定&lt;/td&gt;&lt;td&gt;符合规定&lt;/td&gt;&lt;td&gt;符合规定&lt;/td&gt;&lt;td&gt;&lt;/td&gt;&lt;td&gt;&lt;/td&gt;&lt;td&gt;符合规定&lt;/td&gt;&lt;td&gt;&lt;/td&gt;&lt;td&gt;&lt;/td&gt;&lt;td&gt;&lt;/td&gt;&lt;/tr&gt;&lt;tr&gt;&lt;td&gt;2023.66季度,烟道监测设备配置参考“双层自动翻板器”及水龙头-1/10&lt;/td&gt;&lt;td&gt;符合规定&lt;/td&gt;&lt;td&gt;符合规定&lt;/td&gt;&lt;td&gt;符合规定&lt;/td&gt;&lt;td&gt;&lt;/td&gt;&lt;td&gt;&lt;/td&gt;&lt;td&gt;符合规定&lt;/td&gt;&lt;td&gt;&lt;/td&gt;&lt;td&gt;&lt;/td&gt;&lt;td&gt;&lt;/td&gt;&lt;/tr&gt;&lt;tr&gt;&lt;td&gt;2023.67季度,烟道监测设备配置参考“双层自动翻板器”及水龙头-1/10&lt;/td&gt;&lt;td&gt;符合规定&lt;/td&gt;&lt;td&gt;符合规定&lt;/td&gt;&lt;td&gt;符合规定&lt;/td&gt;&lt;td&gt;&lt;/td&gt;&lt;td&gt;&lt;/td&gt;&lt;td&gt;符合规定&lt;/td&gt;&lt;td&gt;&lt;/td&gt;&lt;td&gt;&lt;/td&gt;&lt;td&gt;&lt;/td&gt;&lt;/tr&gt;&lt;tr&gt;&lt;td&gt;2023.68季度,烟道监测设备配置参考“双层自动翻板器”及水龙头-1/10&lt;/td&gt;&lt;td&gt;符合规定&lt;/td&gt;&lt;td&gt;符合规定&lt;/td&gt;&lt;td&gt;符合规定&lt;/td&gt;&lt;td&gt;&lt;/td&gt;&lt;td&gt;&lt;/td&gt;&lt;td&gt;符合规定&lt;/td&gt;&lt;td&gt;&lt;/td&gt;&lt;td&gt;&lt;/td&gt;&lt;td&gt;&lt;/td&gt;&lt;/tr&gt;&lt;tr&gt;&lt;td&gt;2023.69季度,烟道监测设备配置参考“双层自动翻板器”及水龙头-1/10&lt;/td&gt;&lt;td&gt;符合规定&lt;/td&gt;&lt;td&gt;符合规定&lt;/td&gt;&lt;td&gt;符合规定&lt;/td&gt;&lt;td&gt;&lt;/td&gt;&lt;td&gt;&lt;/td&gt;&lt;td&gt;符合规定&lt;/td&gt;&lt;td&gt;&lt;/td&gt;&lt;td&gt;&lt;/td&gt;&lt;td&gt;&lt;/td&gt;&lt;/tr&gt;&lt;tr&gt;&lt;td&gt;2023.70季度,烟道监测设备配置参考“双层自动翻板器”及水龙头-1/10&lt;/td&gt;&lt;td&gt;符合规定&lt;/td&gt;&lt;td&gt;符合规定&lt;/td&gt;&lt;td&gt;符合规定&lt;/td&gt;&lt;td&gt;&lt;/td&gt;&lt;td&gt;&lt;/td&gt;&lt;td&gt;符合规定&lt;/td&gt;&lt;td&gt;&lt;/td&gt;&lt;td&gt;&lt;/td&gt;&lt;td&gt;&lt;/td&gt;&lt;/tr&gt;&lt;tr&gt;&lt;td&gt;2023.71季度,烟道监测设备配置参考“双层自动翻板器”及水龙头-1/10&lt;/td&gt;&lt;td&gt;符合规定&lt;/td&gt;&lt;td&gt;符合规定&lt;/td&gt;&lt;td&gt;符合规定&lt;/td&gt;&lt;td&gt;&lt;/td&gt;&lt;td&gt;&lt;/td&gt;&lt;td&gt;符合规定&lt;/td&gt;&lt;td&gt;&lt;/td&gt;&lt;td&gt;&lt;/td&gt;&lt;td&gt;&lt;/td&gt;&lt;/tr&gt;&lt;tr&gt;&lt;td&gt;2023.72季度,烟道监测设备配置参考“双层自动翻板器”及水龙头-1/10&lt;/td&gt;&lt;td&gt;符合规定&lt;/td&gt;&lt;td&gt;符合规定&lt;/td&gt;&lt;td&gt;符合规定&lt;/td&gt;&lt;td&gt;&lt;/td&gt;&lt;td&gt;&lt;/td&gt;&lt;td&gt;符合规定&lt;/td&gt;&lt;td&gt;&lt;/td&gt;&lt;td&gt;&lt;/td&gt;&lt;td&gt;&lt;/td&gt;&lt;/tr&gt;&lt;tr&gt;&lt;td&gt;2023.73季度,烟道监测设备配置参考“双层自动翻板器”及水龙头-1/10&lt;/td&gt;&lt;td&gt;符合规定&lt;/td&gt;&lt;td&gt;符合规定&lt;/td&gt;&lt;td&gt;符合规定&lt;/td&gt;&lt;td&gt;&lt;/td&gt;&lt;td&gt;&lt;/td&gt;&lt;td&gt;符合规定&lt;/td&gt;&lt;td&gt;&lt;/td&gt;&lt;td&gt;&lt;/td&gt;&lt;td&gt;&lt;/td&gt;&lt;/tr&gt;&lt;tr&gt;&lt;td&gt;2023.74季度,烟道监测设备配置参考“双层自动翻板器”及水龙头-1/10&lt;/td&gt;&lt;td&gt;符合规定&lt;/td&gt;&lt;td&gt;符合规定&lt;/td&gt;&lt;td&gt;符合规定&lt;/td&gt;&lt;td&gt;&lt;/td&gt;&lt;td&gt;&lt;/td&gt;&lt;td&gt;符合规定&lt;/td&gt;&lt;td&gt;&lt;/td&gt;&lt;td&gt;&lt;/td&gt;&lt;td&gt;&lt;/td&gt;&lt;/tr&gt;&lt;tr&gt;&lt;td&gt;2023.75季度,烟道监测设备配置参考“双层自动翻板器”及水龙头-1/10&lt;/td&gt;&lt;td&gt;符合规定&lt;/td&gt;&lt;td&gt;符合规定&lt;/td&gt;&lt;td&gt;符合规定&lt;/td&gt;&lt;td&gt;&lt;/td&gt;&lt;td&gt;&lt;/td&gt;&lt;td&gt;符合规定&lt;/td&gt;&lt;td&gt;&lt;/td&gt;&lt;td&gt;&lt;/td&gt;&lt;td&gt;&lt;/td&gt;&lt;/tr&gt;&lt;tr&gt;&lt;td&gt;2023.76季度,烟道监测设备配置参考“双层自动翻板器”及水龙头-1/10&lt;/td&gt;&lt;td&gt;符合规定&lt;/td&gt;&lt;td&gt;符合规定&lt;/td&gt;&lt;td&gt;符合规定&lt;/td&gt;&lt;td&gt;&lt;/td&gt;&lt;td&gt;&lt;/td&gt;&lt;td&gt;符合规定&lt;/td&gt;&lt;td&gt;&lt;/td&gt;&lt;td&gt;&lt;/td&gt;&lt;td&gt;&lt;/td&gt;&lt;/tr&gt;&lt;tr&gt;&lt;td&gt;2023.77季度,烟道监测设备配置参考“双层自动翻板器”及水龙头-1/10&lt;/td&gt;&lt;td&gt;符合规定&lt;/td&gt;&lt;td&gt;符合规定&lt;/td&gt;&lt;td&gt;符合规定&lt;/td&gt;&lt;td&gt;&lt;/td&gt;&lt;td&gt;&lt;/td&gt;&lt;td&gt;符合规定&lt;/td&gt;&lt;td&gt;&lt;/td&gt;&lt;td&gt;&lt;/td&gt;&lt;td&gt;&lt;/td&gt;&lt;/tr&gt;&lt;tr&gt;&lt;td&gt;2023.78季度,烟道监测设备配置参考“双层自动翻板器”及水龙头-1/10&lt;/td&gt;&lt;td&gt;符合规定&lt;/td&gt;&lt;td&gt;符合规定&lt;/td&gt;&lt;td&gt;符合规定&lt;/td&gt;&lt;td&gt;&lt;/td&gt;&lt;td&gt;&lt;/td&gt;&lt;td&gt;符合规定&lt;/td&gt;&lt;td&gt;&lt;/td&gt;&lt;td&gt;&lt;/td&gt;&lt;td&gt;&lt;/td&gt;&lt;/tr&gt;&lt;tr&gt;&lt;td&gt;2023.79季度,烟道监测设备配置参考“双层自动翻板器”及水龙头-1/10&lt;/td&gt;&lt;td&gt;符合规定&lt;/td&gt;&lt;td&gt;符合规定&lt;/td&gt;&lt;td&gt;符合规定&lt;/td&gt;&lt;td&gt;&lt;/td&gt;&lt;td&gt;&lt;/td&gt;&lt;td&gt;符合规定&lt;/td&gt;&lt;td&gt;&lt;/td&gt;&lt;td&gt;&lt;/td&gt;&lt;td&gt;&lt;/td&gt;&lt;/tr&gt;&lt;tr&gt;&lt;td&gt;2023.80季度,烟道监测设备配置参考“双层自动翻板器”及水龙头-1/10&lt;/td&gt;&lt;td&gt;符合规定&lt;/td&gt;&lt;td&gt;符合规定&lt;/td&gt;&lt;td&gt;符合规定&lt;/td&gt;&lt;td&gt;&lt;/td&gt;&lt;td&gt;&lt;/td&gt;&lt;td&gt;符合规定&lt;/td&gt;&lt;td&gt;&lt;/td&gt;&lt;td&gt;&lt;/td&gt;&lt;td&gt;&lt;/td&gt;&lt;/tr&gt;&lt;tr&gt;&lt;td&gt;2023.81季度,烟道监测设备配置参考“双层自动翻板器”及水龙头-1/10&lt;/td&gt;&lt;td&gt;符合规定&lt;/td&gt;&lt;td&gt;符合规定&lt;/td&gt;&lt;td&gt;符合规定&lt;/td&gt;&lt;td&gt;&lt;/td&gt;&lt;td&gt;&lt;/td&gt;&lt;td&gt;符合规定&lt;/td&gt;&lt;td&gt;&lt;/td&gt;&lt;td&gt;&lt;/td&gt;&lt;td&gt;&lt;/td&gt;&lt;/tr&gt;&lt;tr&gt;&lt;td&gt;2023.82季度,烟道监测设备配置参考“双层自动翻板器”及水龙头-1/10&lt;/td&gt;&lt;td&gt;符合规定&lt;/td&gt;&lt;td&gt;符合规定&lt;/td&gt;&lt;td&gt;符合规定&lt;/td&gt;&lt;td&gt;&lt;/td&gt;&lt;td&gt;&lt;/td&gt;&lt;td&gt;符合规定&lt;/td&gt;&lt;td&gt;&lt;/td&gt;&lt;td&gt;&lt;/td&gt;&lt;td&gt;&lt;/td&gt;&lt;/tr&gt;&lt;tr&gt;&lt;td&gt;2023.83季度,烟道监测设备配置参考“双层自动翻板器”及水龙头-1/10&lt;/td&gt;&lt;td&gt;符合规定&lt;/td&gt;&lt;td&gt;符合规定&lt;/td&gt;&lt;td&gt;符合规定&lt;/td&gt;&lt;td&gt;&lt;/td&gt;&lt;td&gt;&lt;/td&gt;&lt;td&gt;符合规定&lt;/td&gt;&lt;td&gt;&lt;/td&gt;&lt;td&gt;&lt;/td&gt;&lt;td&gt;&lt;/td&gt;&lt;/tr&gt;&lt;tr&gt;&lt;td&gt;2023.84季度,烟道监测设备配置参考“双层自动翻板器”及水龙头-1/10&lt;/td&gt;&lt;td&gt;符合规定&lt;/td&gt;&lt;td&gt;符合规定&lt;/td&gt;&lt;td&gt;符合规定&lt;/td&gt;&lt;td&gt;&lt;/td&gt;&lt;td&gt;&lt;/td&gt;&lt;td&gt;符合规定&lt;/td&gt;&lt;td&gt;&lt;/td&gt;&lt;td&gt;&lt;/td&gt;&lt;td&gt;&lt;/td&gt;&lt;/tr&gt;&lt;tr&gt;&lt;td&gt;2023.85季度,烟道监测设备配置参考“双层自动翻板器”及水龙头-1/10&lt;/td&gt;&lt;td&gt;符合规定&lt;/td&gt;&lt;td&gt;符合规定&lt;/td&gt;&lt;td&gt;符合规定&lt;/td&gt;&lt;td&gt;&lt;/td&gt;&lt;td&gt;&lt;/td&gt;&lt;td&gt;符合规定&lt;/td&gt;&lt;td&gt;&lt;/td&gt;&lt;td&gt;&lt;/td&gt;&lt;td&gt;&lt;/td&gt;&lt;/tr&gt;&lt;tr&gt;&lt;td&gt;2023.86季度,烟道监测设备配置参考“双层自动翻板器”及水龙头-1/10&lt;/td&gt;&lt;td&gt;符合规定&lt;/td&gt;&lt;td&gt;符合规定&lt;/td&gt;&lt;td&gt;符合规定&lt;/td&gt;&lt;td&gt;&lt;/td&gt;&lt;td</x:v>
      </x:c>
    </x:row>
    <x:row r="110">
      <x:c r="A110" s="69" t="str">
        <x:v>SRC082</x:v>
      </x:c>
      <x:c r="B110" s="69" t="str">
        <x:v>原文14</x:v>
      </x:c>
      <x:c r="C110" s="69" t="str">
        <x:v>markdown_fulltext</x:v>
      </x:c>
      <x:c r="D110" s="69" t="str">
        <x:v>104000–112000</x:v>
      </x:c>
      <x:c r="E110" s="71" t="str">
        <x:v>&gt;&lt;/td&gt;&lt;td&gt;符合规定&lt;/td&gt;&lt;td&gt;&lt;/td&gt;&lt;td&gt;&lt;/td&gt;&lt;td&gt;&lt;/td&gt;&lt;/tr&gt;&lt;tr&gt;&lt;td&gt;2023.87季度,烟道监测设备配置参考“双层自动翻板器”及水龙头-1/10&lt;/td&gt;&lt;td&gt;符合规定&lt;/td&gt;&lt;td&gt;符合规定&lt;/td&gt;&lt;td&gt;符合规定&lt;/td&gt;&lt;td&gt;&lt;/td&gt;&lt;td&gt;&lt;/td&gt;&lt;td&gt;符合规定&lt;/td&gt;&lt;td&gt;&lt;/td&gt;&lt;td&gt;&lt;/td&gt;&lt;td&gt;&lt;/td&gt;&lt;/tr&gt;&lt;tr&gt;&lt;td&gt;2023.88季度,烟道监测设备配置参考“双层自动翻板器”及水龙头-1/10&lt;/td&gt;&lt;td&gt;符合规定&lt;/td&gt;&lt;td&gt;符合规定&lt;/td&gt;&lt;td&gt;符合规定&lt;/td&gt;&lt;td&gt;&lt;/td&gt;&lt;td&gt;&lt;/td&gt;&lt;td&gt;符合规定&lt;/td&gt;&lt;td&gt;&lt;/td&gt;&lt;td&gt;&lt;/td&gt;&lt;td&gt;&lt;/td&gt;&lt;/tr&gt;&lt;tr&gt;&lt;td&gt;2023.89季度,烟道监测设备配置参考“双层自动翻板器”及水龙头-1/10&lt;/td&gt;&lt;td&gt;符合规定&lt;/td&gt;&lt;td&gt;符合规定&lt;/td&gt;&lt;td&gt;符合规定&lt;/td&gt;&lt;td&gt;&lt;/td&gt;&lt;td&gt;&lt;/td&gt;&lt;td&gt;符合规定&lt;/td&gt;&lt;td&gt;&lt;/td&gt;&lt;td&gt;&lt;/td&gt;&lt;td&gt;&lt;/td&gt;&lt;/tr&gt;&lt;tr&gt;&lt;td&gt;2023.90季度,烟道监测设备配置参考“双层自动翻板器”及水龙头-1/10&lt;/td&gt;&lt;td&gt;符合规定&lt;/td&gt;&lt;td&gt;符合规定&lt;/td&gt;&lt;td&gt;符合规定&lt;/td&gt;&lt;td&gt;&lt;/td&gt;&lt;td&gt;&lt;/td&gt;&lt;td&gt;符合规定&lt;/td&gt;&lt;td&gt;&lt;/td&gt;&lt;td&gt;&lt;/td&gt;&lt;td&gt;&lt;/td&gt;&lt;/tr&gt;&lt;tr&gt;&lt;td&gt;2023.91季度,烟道监测设备配置参考“双层自动翻板器”及水龙头-1/10&lt;/td&gt;&lt;td&gt;符合规定&lt;/td&gt;&lt;td&gt;符合规定&lt;/td&gt;&lt;td&gt;符合规定&lt;/td&gt;&lt;td&gt;&lt;/td&gt;&lt;td&gt;&lt;/td&gt;&lt;td&gt;符合规定&lt;/td&gt;&lt;td&gt;&lt;/td&gt;&lt;td&gt;&lt;/td&gt;&lt;td&gt;&lt;/td&gt;&lt;/tr&gt;&lt;tr&gt;&lt;td&gt;2023.92季度,烟道监测设备配置参考“双层自动翻板器”及水龙头-1/10&lt;/td&gt;&lt;td&gt;符合规定&lt;/td&gt;&lt;td&gt;符合规定&lt;/td&gt;&lt;td&gt;符合规定&lt;/td&gt;&lt;td&gt;&lt;/td&gt;&lt;td&gt;&lt;/td&gt;&lt;td&gt;符合规定&lt;/td&gt;&lt;td&gt;&lt;/td&gt;&lt;td&gt;&lt;/td&gt;&lt;td&gt;&lt;/td&gt;&lt;/tr&gt;&lt;tr&gt;&lt;td&gt;2023.93季度,烟道监测设备配置参考“双层自动翻板器”及水龙头-1/10&lt;/td&gt;&lt;td&gt;符合规定&lt;/td&gt;&lt;td&gt;符合规定&lt;/td&gt;&lt;td&gt;符合规定&lt;/td&gt;&lt;td&gt;&lt;/td&gt;&lt;td&gt;&lt;/td&gt;&lt;td&gt;符合规定&lt;/td&gt;&lt;td&gt;&lt;/td&gt;&lt;td&gt;&lt;/td&gt;&lt;td&gt;&lt;/td&gt;&lt;/tr&gt;&lt;tr&gt;&lt;td&gt;2023.94季度,烟道监测设备配置参考“双层自动翻板器”及水龙头-1/10&lt;/td&gt;&lt;td&gt;符合规定&lt;/td&gt;&lt;td&gt;符合规定&lt;/td&gt;&lt;td&gt;符合规定&lt;/td&gt;&lt;td&gt;&lt;/td&gt;&lt;td&gt;&lt;/td&gt;&lt;td&gt;符合规定&lt;/td&gt;&lt;td&gt;&lt;/td&gt;&lt;td&gt;&lt;/td&gt;&lt;td&gt;&lt;/td&gt;&lt;/tr&gt;&lt;tr&gt;&lt;td&gt;2023.95季度,烟道监测设备配置参考“双层自动翻板器”及水龙头-1/10&lt;/td&gt;&lt;td&gt;符合规定&lt;/td&gt;&lt;td&gt;符合规定&lt;/td&gt;&lt;td&gt;符合规定&lt;/td&gt;&lt;td&gt;&lt;/td&gt;&lt;td&gt;&lt;/td&gt;&lt;td&gt;符合规定&lt;/td&gt;&lt;td&gt;&lt;/td&gt;&lt;td&gt;&lt;/td&gt;&lt;td&gt;&lt;/td&gt;&lt;/tr&gt;&lt;tr&gt;&lt;td&gt;2023.96季度,烟道监测设备配置参考“双层自动翻板器”及水龙头-1/10&lt;/td&gt;&lt;td&gt;符合规定&lt;/td&gt;&lt;td&gt;符合规定&lt;/td&gt;&lt;td&gt;符合规定&lt;/td&gt;&lt;td&gt;&lt;/td&gt;&lt;td&gt;&lt;/td&gt;&lt;td&gt;符合规定&lt;/td&gt;&lt;td&gt;&lt;/td&gt;&lt;td&gt;&lt;/td&gt;&lt;td&gt;&lt;/td&gt;&lt;/tr&gt;&lt;tr&gt;&lt;td&gt;2023.97季度,烟道监测设备配置参考“双层自动翻板器”及水龙头-1/10&lt;/td&gt;&lt;td&gt;符合规定&lt;/td&gt;&lt;td&gt;符合规定&lt;/td&gt;&lt;td&gt;符合规定&lt;/td&gt;&lt;td&gt;&lt;/td&gt;&lt;td&gt;&lt;/td&gt;&lt;td&gt;符合规定&lt;/td&gt;&lt;td&gt;&lt;/td&gt;&lt;td&gt;&lt;/td&gt;&lt;td&gt;&lt;/td&gt;&lt;/tr&gt;&lt;tr&gt;&lt;td&gt;2023.98季度,烟道监测设备配置参考“双层自动翻板器”及水龙头-1/10&lt;/td&gt;&lt;td&gt;符合规定&lt;/td&gt;&lt;td&gt;符合规定&lt;/td&gt;&lt;td&gt;符合规定&lt;/td&gt;&lt;td&gt;&lt;/td&gt;&lt;td&gt;&lt;/td&gt;&lt;td&gt;符合规定&lt;/td&gt;&lt;td&gt;&lt;/td&gt;&lt;td&gt;&lt;/td&gt;&lt;td&gt;&lt;/td&gt;&lt;/tr&gt;&lt;tr&gt;&lt;td&gt;2023.99季度,烟道监测设备配置参考“双层自动翻板器”及水龙头-1/10&lt;/td&gt;&lt;td&gt;符合规定&lt;/td&gt;&lt;td&gt;符合规定&lt;/td&gt;&lt;td&gt;符合规定&lt;/td&gt;&lt;td&gt;&lt;/td&gt;&lt;td&gt;&lt;/td&gt;&lt;td&gt;符合规定&lt;/td&gt;&lt;td&gt;&lt;/td&gt;&lt;td&gt;&lt;/td&gt;&lt;td&gt;&lt;/td&gt;&lt;/tr&gt;&lt;tr&gt;&lt;td&gt;2024.00季度,烟道监测设备配置参考“双层自动翻板器”及水龙头-1/10&lt;/td&gt;&lt;td&gt;符合规定&lt;/td&gt;&lt;td&gt;符合规定&lt;/td&gt;&lt;td&gt;符合规定&lt;/td&gt;&lt;td&gt;&lt;/td&gt;&lt;td&gt;&lt;/td&gt;&lt;td&gt;符合规定&lt;/td&gt;&lt;td&gt;&lt;/td&gt;&lt;td&gt;&lt;/td&gt;&lt;td&gt;&lt;/td&gt;&lt;/tr&gt;&lt;tr&gt;&lt;td&gt;2024.01季度,烟道监测设备配置参考“双层自动翻板器”及水龙头-1/10&lt;/td&gt;&lt;td&gt;符合规定&lt;/td&gt;&lt;td&gt;符合规定&lt;/td&gt;&lt;td&gt;符合规定&lt;/td&gt;&lt;td&gt;&lt;/td&gt;&lt;td&gt;&lt;/td&gt;&lt;td&gt;符合规定&lt;/td&gt;&lt;td&gt;&lt;/td&gt;&lt;td&gt;&lt;/td&gt;&lt;td&gt;&lt;/td&gt;&lt;/tr&gt;&lt;tr&gt;&lt;td&gt;2024.02季度,烟道监测设备配置参考“双层自动翻板器”及水龙头-1/10&lt;/td&gt;&lt;td&gt;符合规定&lt;/td&gt;&lt;td&gt;符合规定&lt;/td&gt;&lt;td&gt;符合规定&lt;/td&gt;&lt;td&gt;&lt;/td&gt;&lt;td&gt;&lt;/td&gt;&lt;td&gt;符合规定&lt;/td&gt;&lt;td&gt;&lt;/td&gt;&lt;td&gt;&lt;/td&gt;&lt;td&gt;&lt;/td&gt;&lt;/tr&gt;&lt;tr&gt;&lt;td&gt;2024.03季度,烟道监测设备配置参考“双层自动翻板器”及水龙头-1/10&lt;/td&gt;&lt;td&gt;符合规定&lt;/td&gt;&lt;td&gt;符合规定&lt;/td&gt;&lt;td&gt;符合规定&lt;/td&gt;&lt;td&gt;&lt;/td&gt;&lt;td&gt;&lt;/td&gt;&lt;td&gt;符合规定&lt;/td&gt;&lt;td&gt;&lt;/td&gt;&lt;td&gt;&lt;/td&gt;&lt;td&gt;&lt;/td&gt;&lt;/tr&gt;&lt;tr&gt;&lt;td&gt;2024.04季度,烟道监测设备配置参考“双层自动翻板器”及水龙头-1/10&lt;/td&gt;&lt;td&gt;符合规定&lt;/td&gt;&lt;td&gt;符合规定&lt;/td&gt;&lt;td&gt;符合规定&lt;/td&gt;&lt;td&gt;&lt;/td&gt;&lt;td&gt;&lt;/td&gt;&lt;td&gt;符合规定&lt;/td&gt;&lt;td&gt;&lt;/td&gt;&lt;td&gt;&lt;/td&gt;&lt;td&gt;&lt;/td&gt;&lt;/tr&gt;&lt;tr&gt;&lt;td&gt;2024.05季度,烟道监测设备配置参考“双层自动翻板器”及水龙头-1/10&lt;/td&gt;&lt;td&gt;符合规定&lt;/td&gt;&lt;td&gt;符合规定&lt;/td&gt;&lt;td&gt;符合规定&lt;/td&gt;&lt;td&gt;&lt;/td&gt;&lt;td&gt;&lt;/td&gt;&lt;td&gt;符合规定&lt;/td&gt;&lt;td&gt;&lt;/td&gt;&lt;td&gt;&lt;/td&gt;&lt;td&gt;&lt;/td&gt;&lt;/tr&gt;&lt;tr&gt;&lt;td&gt;2024.06季度,烟道监测设备配置参考“双层自动翻板器”及水龙头-1/10&lt;/td&gt;&lt;td&gt;符合规定&lt;/td&gt;&lt;td&gt;符合规定&lt;/td&gt;&lt;td&gt;符合规定&lt;/td&gt;&lt;td&gt;&lt;/td&gt;&lt;td&gt;&lt;/td&gt;&lt;td&gt;符合规定&lt;/td&gt;&lt;td&gt;&lt;/td&gt;&lt;td&gt;&lt;/td&gt;&lt;td&gt;&lt;/td&gt;&lt;/tr&gt;&lt;tr&gt;&lt;td&gt;2024.07季度,烟道监测设备配置参考“双层自动翻板器”及水龙头-1/10&lt;/td&gt;&lt;td&gt;符合规定&lt;/td&gt;&lt;td&gt;符合规定&lt;/td&gt;&lt;td&gt;符合规定&lt;/td&gt;&lt;td&gt;&lt;/td&gt;&lt;td&gt;&lt;/td&gt;&lt;td&gt;符合规定&lt;/td&gt;&lt;td&gt;&lt;/td&gt;&lt;td&gt;&lt;/td&gt;&lt;td&gt;&lt;/td&gt;&lt;/tr&gt;&lt;tr&gt;&lt;td&gt;2024.08季度,烟道监测设备配置参考“双层自动翻板器”及水龙头-1&lt;/td&gt;&lt;td&gt;&lt;/td&gt;&lt;td&gt;&lt;/td&gt;&lt;td&gt;&lt;/td&gt;&lt;td&gt;&lt;/td&gt;&lt;td&gt;&lt;/td&gt;&lt;td&gt;&lt;/td&gt;&lt;td&gt;&lt;/td&gt;&lt;td&gt;&lt;/td&gt;&lt;td&gt;&lt;/td&gt;&lt;/tr&gt;&lt;/table&gt;
工程名稱
PROJECT TITLE
向上建設集合住宅等11戶新建工程
後龍鎮龍富段614地號
&lt;table&gt;&lt;tr&gt;&lt;td rowspan="19"&gt;&lt;img src="images/3d86b8c6220821796439e6748a9a59f3ac27186c7ba774dea98865277ef65845.jpg"/&gt;&lt;/td&gt;&lt;td rowspan="2"&gt;攪拌格施工規施:1.以水发比1.0之水混凝土,故於200kgf/cm2,壓力填覆操作。2.采用P60攪拌格作地質改良,使土壤之平均有效承重压力或20t/m2。3.攪拌格檢測方法:於攪拌格操作格在周處2卷之直管聽圈內,作地質較短至少三點,由被混合土壤之粘張力與周邊敷土壙視能力平均值限大放20t/m2。&lt;/td&gt;&lt;td rowspan="2"&gt;&lt;img src="images/402ef5582ac18cc8b6a5394e5e4c3a9d2bcf68b5116885de394e322d61a1adbd.jpg"/&gt;&lt;/td&gt;&lt;td rowspan="2"&gt;&lt;img src="images/9a80bf69e848eae23abb8c8db9f4dd153c68a714dac6ae602cb1f70c355b2a5f.jpg"/&gt;&lt;/td&gt;&lt;td rowspan="2"&gt;注:1.除給欄圍上特別顯示之標準及振序外,其餘尺寸以建築圖為主。2.FCS,CS版由相關振鋼節直接延伸。材料應先&amp;lt;-&amp;gt;顯刻 #6(含)以上 Fy=4200kgf/cm(SD420W)#5(含)以下 Fy=2800kgf/cm2(FC)=245kgf/cm3FL版以下 Fc&amp;#x27;=280kgf/cm&lt;/td&gt;&lt;td colspan="8"&gt;編號 斷面&lt;/td&gt;&lt;/tr&gt;&lt;tr&gt;&lt;td colspan="8"&gt;1FC1,C2,C4 95x652FL+FC1,C2,C4 65x651FC3 105x652FL+FC3 75x65C5 125x65F1~FB4,FC1~FC3,FC7~FC9 40x220FC4~FC6,FB3A 50x220F1 30x220F2,F3 40x220B1~B4,G1,G3,G4,G6,G7,G9 40x70G2,G5,G8 50x50B1 25x45B2 30x50B3 30x55FS1~FS3 I=50CMS0,S1~S4,CS1 I=150CP1 D=60CM, L=2.5M&lt;/td&gt;&lt;/tr&gt;&lt;tr&gt;&lt;td&gt;攪拌格剖面示意圖 SCALE=1/50&lt;/td&gt;&lt;td&gt;攪土措施(1)白立式鋼軌格剖面圖 SCALE=1/50&lt;/td&gt;&lt;td&gt;&lt;/td&gt;&lt;td&gt;&lt;img src="images/94bdf821f43f05215153c0bdbf44172ab5d007c96a54d6df9f8eef87c42a5586.jpg"/&gt;機坑剖面示意圖 SCALE=1/50&lt;/td&gt;&lt;td colspan="8"&gt;&lt;img src="images/19fdfc23afa9e3e4480bfc2184ebf92f220743fd681a023e91afe5c6fd33523e.jpg"/&gt;地樑預留補強筋示意圖&lt;/td&gt;&lt;/tr&gt;&lt;tr&gt;&lt;td rowspan="14"&gt;&lt;img src="images/cf5da3e4439df0f09530c63fd11d10c0a7343c092079e0cb3377b3542dce0e25.jpg"/&gt;&lt;/td&gt;&lt;td rowspan="14"&gt;立式鋼絲&lt;/td&gt;&lt;td rowspan="14"&gt;&lt;img src="images/77238c867facbdf8f8a263b1929dd25774fdfadd576dc703dcecddf60f19a3e3.jpg"/&gt;&lt;/td&gt;&lt;td rowspan="14"&gt;&lt;img src="images/8f713b719abc8fd65c59849adfb6c33bc7d7f5882132b69a29e2d317f9cb30e1.jpg"/&gt;&lt;/td&gt;&lt;td colspan="8"&gt;5&lt;/td&gt;&lt;/tr&gt;&lt;tr&gt;&lt;td colspan="8"&gt;5&lt;/td&gt;&lt;/tr&gt;&lt;tr&gt;&lt;td colspan="8"&gt;5&lt;/td&gt;&lt;/tr&gt;&lt;tr&gt;&lt;td colspan="8"&gt;5&lt;/td&gt;&lt;/tr&gt;&lt;tr&gt;&lt;td colspan="8"&gt;5&lt;/td&gt;&lt;/tr&gt;&lt;tr&gt;&lt;td colspan="8"&gt;5&lt;/td&gt;&lt;/tr&gt;&lt;tr&gt;&lt;td colspan="8"&gt;5&lt;/td&gt;&lt;/tr&gt;&lt;tr&gt;&lt;td colspan="2"&gt;5&lt;/td&gt;&lt;td&gt;&lt;/td&gt;&lt;td&gt;&lt;/td&gt;&lt;td&gt;&lt;/td&gt;&lt;td&gt;&lt;/td&gt;&lt;td&gt;&lt;/td&gt;&lt;td&gt;&lt;/td&gt;&lt;/tr&gt;&lt;tr&gt;&lt;td colspan="2"&gt;5&lt;/td&gt;&lt;td&gt;&lt;/td&gt;&lt;td&gt;&lt;/td&gt;&lt;td&gt;&lt;/td&gt;&lt;td&gt;&lt;/td&gt;&lt;td&gt;&lt;/td&gt;&lt;td&gt;&lt;/td&gt;&lt;/tr&gt;&lt;tr&gt;&lt;td colspan="2"&gt;5&lt;/td&gt;&lt;td&gt;&lt;/td&gt;&lt;td&gt;&lt;/td&gt;&lt;td&gt;&lt;/td&gt;&lt;td&gt;&lt;/td&gt;&lt;td&gt;&lt;/td&gt;&lt;td&gt;&lt;/td&gt;&lt;/tr&gt;&lt;tr&gt;&lt;td colspan="2"&gt;5&lt;/td&gt;&lt;td&gt;&lt;/td&gt;&lt;td&gt;&lt;/td&gt;&lt;td&gt;&lt;/td&gt;&lt;td&gt;&lt;/td&gt;&lt;td&gt;&lt;/td&gt;&lt;td&gt;&lt;/td&gt;&lt;/tr&gt;&lt;tr&gt;&lt;td colspan="2"&gt;5&lt;/td&gt;&lt;td&gt;&lt;/td&gt;&lt;td&gt;&lt;/td&gt;&lt;td&gt;&lt;/td&gt;&lt;td&gt;&lt;/td&gt;&lt;td&gt;&lt;/td&gt;&lt;td&gt;&lt;/td&gt;&lt;/tr&gt;&lt;tr&gt;&lt;td colspan="2"&gt;5&lt;/td&gt;&lt;td&gt;&lt;/td&gt;&lt;td&gt;&lt;/td&gt;&lt;td&gt;&lt;/td&gt;&lt;td&gt;&lt;/td&gt;&lt;td&gt;&lt;/td&gt;&lt;td&gt;&lt;/td&gt;&lt;/tr&gt;&lt;tr&gt;&lt;td colspan="2"&gt;5&lt;/td&gt;&lt;td&gt;&lt;/td&gt;&lt;td&gt;&lt;/td&gt;&lt;td&gt;&lt;/td&gt;&lt;td&gt;&lt;/td&gt;&lt;td&gt;&lt;/td&gt;&lt;td&gt;&lt;/td&gt;&lt;/tr&gt;&lt;tr&gt;&lt;td rowspan="2"&gt;壹層結構平面圖 SCALE=1/100&lt;/td&gt;&lt;td rowspan="2"&gt;貳層結構平面圖 SCALE=1/100&lt;/td&gt;&lt;td rowspan="2"&gt;&lt;/td&gt;&lt;td rowspan="2"&gt;參-陸層結構平面圖 SCALE=1/100&lt;/td&gt;&lt;td&gt;&lt;/td&gt;&lt;td&gt;&lt;/td&gt;&lt;td&gt;&lt;/td&gt;&lt;td&gt;&lt;/td&gt;&lt;td&gt;&lt;/td&gt;&lt;td&gt;&lt;/td&gt;&lt;td&gt;&lt;/td&gt;&lt;td&gt;&lt;/td&gt;&lt;/tr&gt;&lt;tr&gt;&lt;td colspan="8"&gt;X&lt;/td&gt;&lt;/tr&gt;&lt;/table&gt;
柒層結構平面圖 SCALE=1/100
&lt;table&gt;&lt;tr&gt;&lt;td colspan="3"&gt;註&lt;/td&gt;&lt;/tr&gt;&lt;tr&gt;&lt;td colspan="3"&gt;1.除結構圖上特別標示之牆厚及版厚外，
其餘尺寸以建築圖為主.&lt;/td&gt;&lt;/tr&gt;&lt;tr&gt;&lt;td colspan="3"&gt;2.CS版由相鄰版鋼筋直接延伸.&lt;/td&gt;&lt;/tr&gt;&lt;tr&gt;&lt;td colspan="3"&gt;材料應力.&lt;/td&gt;&lt;/tr&gt;&lt;tr&gt;&lt;td rowspan="2"&gt;&amp;lt;-&amp;gt;鋼筋.&lt;/td&gt;&lt;td&gt;#6(含)以上&lt;/td&gt;&lt;td&gt;Fy=4200kgf/cm2(SD420W)&lt;/td&gt;&lt;/tr&gt;&lt;tr&gt;&lt;td&gt;#5(含)以下&lt;/td&gt;&lt;td&gt;Fy=2800kgf/cm2(SD280)&lt;/td&gt;&lt;/tr&gt;&lt;tr&gt;&lt;td rowspan="2"&gt;&amp;lt;-&amp;gt;混凝土&lt;/td&gt;&lt;td&gt;3FL柱以上&lt;/td&gt;&lt;td&gt;Fc&amp;#x27;=245kgf/cm2&lt;/td&gt;&lt;/tr&gt;&lt;tr&gt;&lt;td&gt;3FL版以下&lt;/td&gt;&lt;td&gt;Fc&amp;#x27;=280kgf/cm2&lt;/td&gt;&lt;/tr&gt;&lt;/table&gt;
&lt;table&gt;&lt;tr&gt;&lt;td&gt;編號&lt;/td&gt;&lt;td&gt;斷面&lt;/td&gt;&lt;/tr&gt;&lt;tr&gt;&lt;td&gt;C1,C2,C4&lt;/td&gt;&lt;td&gt;65x65&lt;/td&gt;&lt;/tr&gt;&lt;tr&gt;&lt;td&gt;C3&lt;/td&gt;&lt;td&gt;75x65&lt;/td&gt;&lt;/tr&gt;&lt;tr&gt;&lt;td&gt;C5&lt;/td&gt;&lt;td&gt;125x65&lt;/td&gt;&lt;/tr&gt;&lt;tr&gt;&lt;td&gt;B1~B4,G1,G3,G4,G6,G7,G9&lt;/td&gt;&lt;td&gt;40x70&lt;/td&gt;&lt;/tr&gt;&lt;tr&gt;&lt;td&gt;G2,G5,G8&lt;/td&gt;&lt;td&gt;50x50&lt;/td&gt;&lt;/tr&gt;&lt;tr&gt;&lt;td&gt;b1&lt;/td&gt;&lt;td&gt;25x45&lt;/td&gt;&lt;/tr&gt;&lt;tr&gt;&lt;td&gt;b2&lt;/td&gt;&lt;td&gt;30x50&lt;/td&gt;&lt;/tr&gt;&lt;tr&gt;&lt;td&gt;b3&lt;/td&gt;&lt;td&gt;30x55&lt;/td&gt;&lt;/tr&gt;&lt;tr&gt;&lt;td&gt;S1~S4,CS1&lt;/td&gt;&lt;td&gt;T=15CM&lt;/td&gt;&lt;/tr&gt;&lt;/table&gt;
![](images/b345242aa001facf79bdbdec1bbc3f288d47f7a64b7cc65f2978d5c5fc013dbc.jpg)
![](images/b2bde6a96a8b22297b916eb0a6def4c83fc0e76e01f0b8c446dca2692b113a7a.jpg)  
屋頂層結構平面圖 SCALE=1/100
(建築圖:屋突層平面圖)
屋突層結構平面圖 SCALE=1/100
(建築圖:屋頂層平面圖)  
![](images/3eae7ea728fb101d8baeb56194a59bd0c0de211bbcc6b14f6b084268c4a815d8.jpg)
&lt;table&gt;&lt;tr&gt;&lt;td colspan="2"&gt;葉富傑建築師事務所&lt;/td&gt;&lt;/tr&gt;&lt;tr&gt;&lt;td colspan="2"&gt;工程名稱 PROJECT&lt;/td&gt;&lt;/tr&gt;&lt;tr&gt;&lt;td&gt;向上建設(龍富段)&lt;/td&gt;&lt;td&gt;住宅新建工程&lt;/td&gt;&lt;/tr&gt;&lt;tr&gt;&lt;td colspan="2"&gt;圖樣內容 TITLE&lt;/td&gt;&lt;/tr&gt;&lt;tr&gt;&lt;td colspan="2"&gt;結構平面圖&lt;/td&gt;&lt;/tr&gt;&lt;tr&gt;&lt;td colspan="2"&gt;&lt;/td&gt;&lt;/tr&gt;&lt;tr&gt;&lt;td colspan="2"&gt;&lt;/td&gt;&lt;/tr&gt;&lt;tr&gt;&lt;td colspan="2"&gt;&lt;/td&gt;&lt;/tr&gt;&lt;tr&gt;&lt;td colspan="2"&gt;設計 DESIGNED BY&lt;/td&gt;&lt;/tr&gt;&lt;tr&gt;&lt;td colspan="2"&gt;安泰結構&lt;/td&gt;&lt;/tr&gt;&lt;tr&gt;&lt;td colspan="2"&gt;繪圖 DRAWN BY&lt;/td&gt;&lt;/tr&gt;&lt;tr&gt;&lt;td colspan="2"&gt;&lt;/td&gt;&lt;/tr&gt;&lt;tr&gt;&lt;td colspan="2"&gt;核准 APPROVED BY&lt;/td&gt;&lt;/tr&gt;&lt;tr&gt;&lt;td colspan="2"&gt;&lt;/td&gt;&lt;/tr&gt;&lt;tr&gt;&lt;td colspan="2"&gt;比例 SCALE&lt;/td&gt;&lt;/tr&gt;&lt;tr&gt;&lt;td colspan="2"&gt;A1:1/1</x:v>
      </x:c>
    </x:row>
    <x:row r="111">
      <x:c r="A111" s="69" t="str">
        <x:v>SRC082</x:v>
      </x:c>
      <x:c r="B111" s="69" t="str">
        <x:v>原文15</x:v>
      </x:c>
      <x:c r="C111" s="69" t="str">
        <x:v>markdown_fulltext</x:v>
      </x:c>
      <x:c r="D111" s="69" t="str">
        <x:v>112000–117234</x:v>
      </x:c>
      <x:c r="E111" s="71" t="str">
        <x:v>00 A3:1/200&lt;/td&gt;&lt;/tr&gt;&lt;tr&gt;&lt;td colspan="2"&gt;單位 UNIT&lt;/td&gt;&lt;/tr&gt;&lt;tr&gt;&lt;td colspan="2"&gt;CM&lt;/td&gt;&lt;/tr&gt;&lt;tr&gt;&lt;td colspan="2"&gt;日期 DATE&lt;/td&gt;&lt;/tr&gt;&lt;tr&gt;&lt;td colspan="2"&gt;2023-09-05&lt;/td&gt;&lt;/tr&gt;&lt;tr&gt;&lt;td colspan="2"&gt;修正 REVISIONS&lt;/td&gt;&lt;/tr&gt;&lt;tr&gt;&lt;td colspan="2"&gt;1.&lt;/td&gt;&lt;/tr&gt;&lt;tr&gt;&lt;td colspan="2"&gt;2.&lt;/td&gt;&lt;/tr&gt;&lt;tr&gt;&lt;td colspan="2"&gt;3.&lt;/td&gt;&lt;/tr&gt;&lt;tr&gt;&lt;td colspan="2"&gt;檔名 FILE&lt;/td&gt;&lt;/tr&gt;&lt;tr&gt;&lt;td colspan="2"&gt;23623&lt;/td&gt;&lt;/tr&gt;&lt;tr&gt;&lt;td&gt;圖號&lt;/td&gt;&lt;td&gt;張號&lt;/td&gt;&lt;/tr&gt;&lt;tr&gt;&lt;td&gt;2/S1&lt;/td&gt;&lt;td&gt;/&lt;/td&gt;&lt;/tr&gt;&lt;/table&gt;
![](images/0b11a43aec25897e3473c5184410a9f3f671e863389ba640cef72d7e2be058d9.jpg)
&lt;table&gt;&lt;tr&gt;&lt;td colspan="2"&gt;葉富傑建築師事務所&lt;/td&gt;&lt;/tr&gt;&lt;tr&gt;&lt;td colspan="2"&gt;工程名稱 PROJECT&lt;/td&gt;&lt;/tr&gt;&lt;tr&gt;&lt;td&gt;向上建設(龍富段)&lt;/td&gt;&lt;td&gt;住宅新建工程&lt;/td&gt;&lt;/tr&gt;&lt;tr&gt;&lt;td colspan="2"&gt;圖樣內容 TITLE&lt;/td&gt;&lt;/tr&gt;&lt;tr&gt;&lt;td colspan="2"&gt;樑配筋圖&lt;/td&gt;&lt;/tr&gt;&lt;tr&gt;&lt;td colspan="2"&gt;&lt;/td&gt;&lt;/tr&gt;&lt;tr&gt;&lt;td colspan="2"&gt;&lt;/td&gt;&lt;/tr&gt;&lt;tr&gt;&lt;td colspan="2"&gt;&lt;/td&gt;&lt;/tr&gt;&lt;tr&gt;&lt;td colspan="2"&gt;設計 DESIGNED BY&lt;/td&gt;&lt;/tr&gt;&lt;tr&gt;&lt;td colspan="2"&gt;安泰結構&lt;/td&gt;&lt;/tr&gt;&lt;tr&gt;&lt;td colspan="2"&gt;繪圖 DRAWN BY&lt;/td&gt;&lt;/tr&gt;&lt;tr&gt;&lt;td colspan="2"&gt;&lt;/td&gt;&lt;/tr&gt;&lt;tr&gt;&lt;td colspan="2"&gt;核准 APPROVED BY&lt;/td&gt;&lt;/tr&gt;&lt;tr&gt;&lt;td colspan="2"&gt;&lt;/td&gt;&lt;/tr&gt;&lt;tr&gt;&lt;td colspan="2"&gt;比例 SCALE&lt;/td&gt;&lt;/tr&gt;&lt;tr&gt;&lt;td&gt;A1:1/40&lt;/td&gt;&lt;td&gt;A3:1/80&lt;/td&gt;&lt;/tr&gt;&lt;tr&gt;&lt;td colspan="2"&gt;單位 UNIT&lt;/td&gt;&lt;/tr&gt;&lt;tr&gt;&lt;td colspan="2"&gt;CM&lt;/td&gt;&lt;/tr&gt;&lt;tr&gt;&lt;td colspan="2"&gt;日期 DATE&lt;/td&gt;&lt;/tr&gt;&lt;tr&gt;&lt;td colspan="2"&gt;2023-09-13&lt;/td&gt;&lt;/tr&gt;&lt;tr&gt;&lt;td colspan="2"&gt;修正 REVISIONS&lt;/td&gt;&lt;/tr&gt;&lt;tr&gt;&lt;td colspan="2"&gt;1.&lt;/td&gt;&lt;/tr&gt;&lt;tr&gt;&lt;td colspan="2"&gt;2.&lt;/td&gt;&lt;/tr&gt;&lt;tr&gt;&lt;td colspan="2"&gt;3.&lt;/td&gt;&lt;/tr&gt;&lt;tr&gt;&lt;td colspan="2"&gt;檔名 FILE&lt;/td&gt;&lt;/tr&gt;&lt;tr&gt;&lt;td colspan="2"&gt;23623&lt;/td&gt;&lt;/tr&gt;&lt;tr&gt;&lt;td&gt;圖號&lt;/td&gt;&lt;td&gt;張號&lt;/td&gt;&lt;/tr&gt;&lt;tr&gt;&lt;td&gt;2/S2&lt;/td&gt;&lt;td&gt;/&lt;/td&gt;&lt;/tr&gt;&lt;/table&gt;
![](images/f1fd504f0e763fad6d05458c0bcc93ba97efd86507056b1b76100916c5eee0b7.jpg)
![](images/cda67ad4217206a5458027d4ac470c26dc2ded26ff0a84867ad750fe7fd4e341.jpg)
![](images/bed27c35bd94244d68e658dc4d57b65c684342e3b3fa3567b5f35dd93be33c82.jpg)
&lt;table&gt;&lt;tr&gt;&lt;td colspan="2"&gt;葉富傑建築師事務所&lt;/td&gt;&lt;/tr&gt;&lt;tr&gt;&lt;td colspan="2"&gt;工程名稱 PROJECT&lt;/td&gt;&lt;/tr&gt;&lt;tr&gt;&lt;td colspan="2"&gt;向上建設(龍富段)住宅新建工程&lt;/td&gt;&lt;/tr&gt;&lt;tr&gt;&lt;td colspan="2"&gt;圖樣內容 TITLE&lt;/td&gt;&lt;/tr&gt;&lt;tr&gt;&lt;td colspan="2"&gt;樑配筋圖&lt;/td&gt;&lt;/tr&gt;&lt;tr&gt;&lt;td colspan="2"&gt;&lt;/td&gt;&lt;/tr&gt;&lt;tr&gt;&lt;td colspan="2"&gt;&lt;/td&gt;&lt;/tr&gt;&lt;tr&gt;&lt;td colspan="2"&gt;&lt;/td&gt;&lt;/tr&gt;&lt;tr&gt;&lt;td colspan="2"&gt;設計 DESIGNED BY&lt;/td&gt;&lt;/tr&gt;&lt;tr&gt;&lt;td colspan="2"&gt;安泰結構&lt;/td&gt;&lt;/tr&gt;&lt;tr&gt;&lt;td colspan="2"&gt;繪圖 DRAWN BY&lt;/td&gt;&lt;/tr&gt;&lt;tr&gt;&lt;td colspan="2"&gt;&lt;/td&gt;&lt;/tr&gt;&lt;tr&gt;&lt;td colspan="2"&gt;核准 APPROVED BY&lt;/td&gt;&lt;/tr&gt;&lt;tr&gt;&lt;td colspan="2"&gt;&lt;/td&gt;&lt;/tr&gt;&lt;tr&gt;&lt;td colspan="2"&gt;比例 SCALE&lt;/td&gt;&lt;/tr&gt;&lt;tr&gt;&lt;td&gt;A1:1/40&lt;/td&gt;&lt;td&gt;A3:1/80&lt;/td&gt;&lt;/tr&gt;&lt;tr&gt;&lt;td colspan="2"&gt;單位 UNIT&lt;/td&gt;&lt;/tr&gt;&lt;tr&gt;&lt;td colspan="2"&gt;CM&lt;/td&gt;&lt;/tr&gt;&lt;tr&gt;&lt;td colspan="2"&gt;日期 DATE&lt;/td&gt;&lt;/tr&gt;&lt;tr&gt;&lt;td colspan="2"&gt;2023-09-13&lt;/td&gt;&lt;/tr&gt;&lt;tr&gt;&lt;td colspan="2"&gt;修正 REVISIONS&lt;/td&gt;&lt;/tr&gt;&lt;tr&gt;&lt;td colspan="2"&gt;1.&lt;/td&gt;&lt;/tr&gt;&lt;tr&gt;&lt;td colspan="2"&gt;2.&lt;/td&gt;&lt;/tr&gt;&lt;tr&gt;&lt;td colspan="2"&gt;3.&lt;/td&gt;&lt;/tr&gt;&lt;tr&gt;&lt;td colspan="2"&gt;檔名 FILE&lt;/td&gt;&lt;/tr&gt;&lt;tr&gt;&lt;td colspan="2"&gt;23623&lt;/td&gt;&lt;/tr&gt;&lt;tr&gt;&lt;td&gt;圖號&lt;/td&gt;&lt;td&gt;張號&lt;/td&gt;&lt;/tr&gt;&lt;tr&gt;&lt;td&gt;4/S2&lt;/td&gt;&lt;td&gt;/&lt;/td&gt;&lt;/tr&gt;&lt;/table&gt;
![](images/efe17dff33961d1875709d4fd1f5b0e58e6278a87d2d8c8f255650d40f2f2b70.jpg)
&lt;table&gt;&lt;tr&gt;&lt;td colspan="2"&gt;葉富傑建築師事務所&lt;/td&gt;&lt;/tr&gt;&lt;tr&gt;&lt;td colspan="2"&gt;工程名稱 PROJECT&lt;/td&gt;&lt;/tr&gt;&lt;tr&gt;&lt;td&gt;向上建設(龍富段)&lt;/td&gt;&lt;td&gt;住宅新建工程&lt;/td&gt;&lt;/tr&gt;&lt;tr&gt;&lt;td colspan="2"&gt;圖樣內容 TITLE&lt;/td&gt;&lt;/tr&gt;&lt;tr&gt;&lt;td colspan="2"&gt;樑配筋圖&lt;/td&gt;&lt;/tr&gt;&lt;tr&gt;&lt;td colspan="2"&gt;&lt;/td&gt;&lt;/tr&gt;&lt;tr&gt;&lt;td colspan="2"&gt;&lt;/td&gt;&lt;/tr&gt;&lt;tr&gt;&lt;td colspan="2"&gt;&lt;/td&gt;&lt;/tr&gt;&lt;tr&gt;&lt;td colspan="2"&gt;設計 DESIGNED BY&lt;/td&gt;&lt;/tr&gt;&lt;tr&gt;&lt;td colspan="2"&gt;安泰結構&lt;/td&gt;&lt;/tr&gt;&lt;tr&gt;&lt;td colspan="2"&gt;繪圖 DRAWN BY&lt;/td&gt;&lt;/tr&gt;&lt;tr&gt;&lt;td colspan="2"&gt;&lt;/td&gt;&lt;/tr&gt;&lt;tr&gt;&lt;td colspan="2"&gt;核准 APPROVED BY&lt;/td&gt;&lt;/tr&gt;&lt;tr&gt;&lt;td colspan="2"&gt;&lt;/td&gt;&lt;/tr&gt;&lt;tr&gt;&lt;td colspan="2"&gt;比例 SCALE&lt;/td&gt;&lt;/tr&gt;&lt;tr&gt;&lt;td&gt;A1:1/40&lt;/td&gt;&lt;td&gt;A3:1/80&lt;/td&gt;&lt;/tr&gt;&lt;tr&gt;&lt;td colspan="2"&gt;單位 UNIT&lt;/td&gt;&lt;/tr&gt;&lt;tr&gt;&lt;td colspan="2"&gt;CM&lt;/td&gt;&lt;/tr&gt;&lt;tr&gt;&lt;td colspan="2"&gt;日期 DATE&lt;/td&gt;&lt;/tr&gt;&lt;tr&gt;&lt;td colspan="2"&gt;2023-09-13&lt;/td&gt;&lt;/tr&gt;&lt;tr&gt;&lt;td colspan="2"&gt;修正 REVISIONS&lt;/td&gt;&lt;/tr&gt;&lt;tr&gt;&lt;td colspan="2"&gt;1.&lt;/td&gt;&lt;/tr&gt;&lt;tr&gt;&lt;td colspan="2"&gt;2.&lt;/td&gt;&lt;/tr&gt;&lt;tr&gt;&lt;td colspan="2"&gt;3.&lt;/td&gt;&lt;/tr&gt;&lt;tr&gt;&lt;td colspan="2"&gt;檔名 FILE&lt;/td&gt;&lt;/tr&gt;&lt;tr&gt;&lt;td colspan="2"&gt;23623&lt;/td&gt;&lt;/tr&gt;&lt;tr&gt;&lt;td&gt;圖號&lt;/td&gt;&lt;td&gt;張號&lt;/td&gt;&lt;/tr&gt;&lt;tr&gt;&lt;td&gt;6/S2&lt;/td&gt;&lt;td&gt;/&lt;/td&gt;&lt;/tr&gt;&lt;/table&gt;
![](images/e78fc3aa9352be506a24ab4ce5f3082b6714c815fcd5fb221778c0ec0812ca11.jpg)
![](images/574c9765dfe841c9d97858de5ff7b4a61a84acebbf4cbaefec3d7c07ef28854d.jpg)
![](images/6d2a6dbb54743c63eff5f9ca7898143bf9d756ef00cd6c922ef3f5d04f98af56.jpg)
![](images/adff0ee051052b0bb578dfba29afad1783eefcf38d434a6ea9d0700e2f52a092.jpg)
![](images/1047471cb679ba82eef66e7a39e67a26f6f0f72d2e9125409f00ab89366a0108.jpg)
![](images/2adc91de90127fcbdaa4b98e7b2285521e95ac6d46f30906193610c473f1547f.jpg)
![](images/ef2ffc50b90469c97e5f2e9510626d286a52f509d57d0899aec8d73b65216762.jpg)
&lt;table&gt;&lt;tr&gt;&lt;td&gt;&lt;img src="images/b7f9396d003804c3a921cb31f1a0faaad066579309229deb7a3afc6486538f7f.jpg"/&gt;&lt;/td&gt;&lt;td&gt;&lt;img src="images/075eeb7862b083090aa9f3c2ca22ec62441310f6f3e55d848e7ebdddcbeb636b.jpg"/&gt;&lt;/td&gt;&lt;td&gt;&lt;img src="images/f5359ce06bce2d7a06f512ac555232974036ce56affc97245c1f88109b3fc03d.jpg"/&gt;&lt;/td&gt;&lt;td&gt;&lt;/td&gt;&lt;/tr&gt;&lt;tr&gt;&lt;td&gt;&lt;img src="images/128f6106d4d71806553c5fd4ef69c86a7800a72b73ad7552aba0133dbc272f8f.jpg"/&gt;&lt;/td&gt;&lt;td&gt;&lt;img src="images/2fd6165a2525a9fd8b79e70e2707f11cf0b49b9cf6eac3885aee22a008bb74ce.jpg"/&gt;&lt;/td&gt;&lt;td&gt;&lt;img src="images/2052b8e29635b4a0085c87c86b4cc32e426942631c90669910791423f1099024.jpg"/&gt;&lt;/td&gt;&lt;td&gt;&lt;img src="images/0198912f4a187bfe3ff01a80e867c3cf49c401c26bbb04bc44a3484d89277a0b.jpg"/&gt;&lt;/td&gt;&lt;/tr&gt;&lt;/table&gt;
</x:v>
      </x:c>
    </x:row>
    <x:row r="112">
      <x:c r="A112" s="69" t="str">
        <x:v>SRC093</x:v>
      </x:c>
      <x:c r="B112" s="69" t="str">
        <x:v>原文1</x:v>
      </x:c>
      <x:c r="C112" s="69" t="str">
        <x:v>markdown_fulltext</x:v>
      </x:c>
      <x:c r="D112" s="69" t="str">
        <x:v>0–5403</x:v>
      </x:c>
      <x:c r="E112" s="71" t="str">
        <x:v># 工程承攬合約
工程名稱：拾壹間
甲方：向上建設股份有限公司
乙方：興吉發科技建材有限公司
中華民國 113年 8月 6日
# ——工程合約書——
工程名稱：拾壹間
工程地點：苗栗縣後龍鎮新東路116號旁 工種：樓板隔音裝置
&lt;table&gt;&lt;tr&gt;&lt;td&gt;立約書人(甲方)&lt;/td&gt;&lt;td&gt;向上建設股份有限公司&lt;/td&gt;&lt;td&gt;立約書人(乙方)&lt;/td&gt;&lt;td&gt;興吉發科技建材有限公司&lt;/td&gt;&lt;/tr&gt;&lt;tr&gt;&lt;td&gt;統一編號&lt;/td&gt;&lt;td&gt;90057101&lt;/td&gt;&lt;td&gt;統一編號&lt;/td&gt;&lt;td&gt;83464309&lt;/td&gt;&lt;/tr&gt;&lt;tr&gt;&lt;td&gt;負責人&lt;/td&gt;&lt;td&gt;洪建豪&lt;/td&gt;&lt;td&gt;負責人&lt;/td&gt;&lt;td&gt;許鴻龍&lt;/td&gt;&lt;/tr&gt;&lt;tr&gt;&lt;td&gt;公司地址&lt;/td&gt;&lt;td&gt;苗栗縣竹南鎮康德街71號&lt;/td&gt;&lt;td&gt;公司地址&lt;/td&gt;&lt;td&gt;台北市中山區華陰街24巷3號1樓&lt;/td&gt;&lt;/tr&gt;&lt;tr&gt;&lt;td&gt;公司電話&lt;/td&gt;&lt;td&gt;03-777-5355&lt;/td&gt;&lt;td&gt;公司電話&lt;/td&gt;&lt;td&gt;02-2541-7168&lt;/td&gt;&lt;/tr&gt;&lt;tr&gt;&lt;td&gt;承辦人電話&lt;/td&gt;&lt;td&gt;許志豪經理 0928-652-985&lt;/td&gt;&lt;td&gt;承辦人電話&lt;/td&gt;&lt;td&gt;許世坤 0936-075-775&lt;/td&gt;&lt;/tr&gt;&lt;tr&gt;&lt;td&gt;聯絡人手機&lt;/td&gt;&lt;td&gt;許志豪經理 0928-652-985&lt;/td&gt;&lt;td&gt;聯絡人手機&lt;/td&gt;&lt;td&gt;許世坤 0936-075-775&lt;/td&gt;&lt;/tr&gt;&lt;tr&gt;&lt;td&gt;E-Mail&lt;/td&gt;&lt;td&gt;info@uphousetw.com (公司) chhsu@uphousetw.com (經理)&lt;/td&gt;&lt;td&gt;E-Mail&lt;/td&gt;&lt;td&gt;constrichtech@gmail.com&lt;/td&gt;&lt;/tr&gt;&lt;/table&gt;
# 工程合約書及施工規範
工程名稱：拾壹間
業主：向上建設股份有限公司
承攬商：興吉發科技建材有限公司
(以下簡稱「本工程」)
(以下簡稱「甲方」)
(以下簡稱「乙方」)
# A 工程合約
經雙方同意訂定本工程共同遵守之條款如下：
一、工程範圍：樓板隔音裝置(含材料、施工；不含水泥砂漿鋪設)。
## 二、工程地點：苗栗縣後龍鎮新東路116號旁
## 三、工程總價/期限：
1. 本工程之單價為：NT\$599/M²詳附件表報價單(含稅)實做實算。有關各項單價依設計圖圖面，數量表所載明細估價施工；但若因工程變更致施工範圍、數量有增減時，以實做數量計價(如附件)，由乙方向甲方申請追加(減)之款項。(本合同施工工程以6個月內出貨、施工為準。若超過本合同簽署日起半年以上應考慮建材與工資的上漲，雙方得另行協調議價。)
2. 本工程室內樓板隔音裝置施工進度須由甲方之協力廠商配合乙方之工程進度者，甲方須於可施工前30個工作天通知乙方。俟樓地板清潔完畢後通知乙方進場，方能順利於完工日如期完工。
3. 本工程施工期限應自開工日起算 個工作天完工，如因有需要而變更作業內容時，一經甲方書面通知，乙方應即照辦，配合變更之；本工程現場因法規之故，無法確切載明開工日及完工日時，待本合約簽署完成後，有確切之開工及完工日，經甲乙雙方確認後，須立即補充載明於本合約第三條第3項，附註之。
附註：開工日： 年 月 日
完工日： 年 月 日
4. 如甲方變更設計、增加項目或因其他分項工程延誤，以致影響乙方工作進度時，完工日期應由雙方另行協商訂定之。
5. 工程期間如乙方因配合其他分項工程廠商施工而暫時退場施工，甲方須於乙方可恢復施工前14個工作天通知乙方再進場。如未經協調乙方擅自退場不進場施工，甲方可將乙方保留款全額沒收。
## 四、付款方式：
1. 簽約款：簽訂合約時支付總價之30% 新台幣：125,999元整含稅(現金匯款)
2. 工程款：安裝完成(逐次)支付總價之70% 新台幣：293,998元整含稅(票期30天)
每階段施工完畢，經由甲方點收確認無誤後，方可提供發票於甲方請款。最後一期工程款請款前，乙方提供完工款發票時，須一併提供內政部核准的檢測單位屏科大試驗報告。
3. 保留款: 總價之 $10 \%$ 新台幣 : 42,000 元整每一款期應留 10% 為保留款。於本建案全數工程驗收確認後，由乙方檢附驗收結算資料及發票，向甲方請款，並檢附保固書一式。
4. 收款方式：
1. 支票支付，票期30天。乙方須於請款當月30日前開立發票連同請款單向甲方請款，甲方於次月10日以開立支票，寄達乙方指定之地址。
II. 現金匯款，乙方須於請款當月 30 日前開立發票連同請款單向甲方請款，甲方於次次月 10 日前以匯款方式匯入乙方指定之帳戶（如附件）。
## 五、轉讓
1. 本工程在未正式完成交接結算以前，無論已完成或未完成工程，或已運入工地之工程材料，雙方均不得轉讓、轉賣或貸與第三者，或以供抵押權及其它擔保，但經雙方書面同意者不在此限。
2. 甲方在未付清價款前，乙方仍保有施工物(詳如附件報價單)或銷售物之所有權，甲方僅得先行暫有使用，不得擅自對施工物或銷售物讓與質借、出賣、出租、提供擔保或其它非所有人之行為。
六、保固：
本 工程於 □取得使照後
■驗收後
保固 1 年。惟因天災、意外災害、人為使用不當或蓄意破壞，不在此保固範圍。
## 七、延遲責任及違約之處罰：
1. 乙方原因，乙方未依本契約書約定期限點交貨完成甲方指定之工作，總價100萬(含)以上每延遲一日給付契約總價千分之三，總價100萬以下每日3000元之逾期罰款予甲方。
2. 契約履約期間，如有天災等不可抗力之事由或非可歸咎乙方之故造成合約不能如期履行的，乙方可免於承擔違約責任。甲方則有權取消合約，並支付乙方完工部分。（須有甲方驗收完畢方能支付費用）
3. 如乙方違約經甲方書面通知仍未於改善期間內改善時，甲方得解除契約，並請求不履行契約之損害賠償。
4. 如甲方未依約給付款項，每逾一日願按總價金千分之三支付違約金予乙方；逾十五日亦得解除契約，請求甲方返還未使用之標的商品及請求所欠款項。甲方已付定金價金、工資款並應作為賠償乙方之損失準備，雙方清算契約價值。
5. 本工程契約經簽訂後在未正式完成交接結算以前，無論已完成或未完成工程，雙方均不得任意取消契約；如甲方反悔取消契約乙方得扣除甲方已付之三成簽約款以支付乙方必要管銷之費用，不足部份另列清單由甲方負責。
6. 甲方無故解約時，已支付款項不得主張索回。
## 八、工地管理：
1. 乙方須派具有工作經驗之負責人負責施工地點監督施工，所有工人之管理由乙方負責，並約束工人嚴守紀律，如有越軌行為及觸犯地方治安條例，而引起糾葛或施工疏忽導致受傷或死亡時，應由乙方負責處理。
2. 乙方應遵照「職業安全衛生法」及「營造安全衛生設施標準」之規定切實辦理。
3. 乙方對維護交通、環境衛生應配合甲方之施工環境，設置有關顯明標誌，以策安全，倘因疏忽而發生意外，乙方應負一切責任。
4. 在施工期間因施工或其他事故而致損毀建築物或因而傷及人員與儀器時，乙方應負全部法律責任，及應無條件賠償之，並不得對甲方提出任何補償要求，而絕對負起責任施工。
5. 乙方應依勞動基準法規定，對其所僱用勞工之勞動條件應符合有關法令之規定。
## 九、保固責任
1. 負保固責任之瑕疵，如損裂、坍塌、損壞、功能及效益不符合契約等，但屬不可抗力或不可歸責於乙方之事由所致者，不在此限。
2. 保固期内發現之瑕疵，應由雙方同意指定之合理期限內負責免費無條件改正。逾期不為改正者甲方得逕為處理，所需費用由乙方負擔，或動用保留款逕為處理，不足時向乙方追償。但屬故意、不當使用、正常零附件損耗或其他非可歸責於乙方之事由所致瑕疵者，由甲方負擔改正費用。
3. 為釐清發生瑕疵之原因或其責任歸屬，雙方得委託公正之第三人進行檢驗，其結果如證明瑕疵係因可歸責於乙方之事由所致，乙方應負擔檢驗所需之費用。
4. 甲方務必請磁磚廠商施工時在磁磚背溝要塗勻"益膠泥"以防磁磚膨拱。
## 十、維修責任
1. 維修(護)時效：乙方應於甲方通知起3個工作天內派人至現場勘查修復處理，並於5個工作天內完成運作；如設備零件等為進口或需要較長時間到場者，乙方應主動告知甲方，並說明及設備到場日。
2. 可歸責於乙方之事由者，乙方致違反上述第1條之維修(護)時效，以新台幣5,000元/次計算賠償。
3. 因可歸責於乙方之違約事由者，致甲方遭受損害，乙方應負賠償責任，本合約總賠償金額上限，以工程總價為限。
4. 甲方委託乙方維修，不可歸責於乙方之事由，其所有費用，甲方均願照乙方收費標準支付維修費及零件費。
5. 甲方違反本合約任一條約定，視為違約；乙方得拒絕提供維修及保固服務，甲方不得異議，如因此造成甲方損害，均與乙方無關。
## 十一、其它
1. 如有任何法定可解除委任之情形，已完成工程部份經檢查合格者，為甲方所有，甲方應按約定單價於解約十五天內依現況點收後，支付乙方已完成工程部份之金額。
2. 乙方於施工期間產生之廢棄物垃圾等，乙方於工程完成退場前須處理清空至甲方指定地點。
3. 乙方清理及運離本工程工地之營建廢棄物及民生垃圾，不得任由負責清運車輛流竄亂倒，應符合「營建剩餘土石方處理方案」規定，併「剩餘土石方」進入土資場清理或將其有用資源如廢棄塑膠、廢木材、廢紙、廢玻璃、廢瀝青、廢鐵、廢鋁等可回收再利用廢棄物，依廢棄物清理法相關規定清理或再利用。一般事業廢棄物等民生垃圾，如未依法委託合法清除機構清運至垃圾衛生掩埋場掩埋或焚化廢焚化處理，則相關違法刑責概由乙方自負與甲方無涉。
4. 本契約如有未盡事宜，依相關法令及平等互惠與誠實信用原則另協議之。
5. 有關本約之糾紛，雙方同意以台北地方法院為管轄法院。
6. 本約訂正本貳份，由雙方各執一份，印花稅各依規定貼足，本工程相關條款及附件均自雙方完成用印或簽署後生效。
## B 施工規範
1. 報價單(材料與品牌):
興吉發科技建材有限公司
台北市中山區華陰街24巷3號1樓
TEL: (02)2541-7168-70, 2542-1303 FAX: (02) 2561-8597
http://www.constrichtech.com.tw E-mail:constrichtech@gmail.com
## 報價單 (No.11307005)
客戶名稱:向上建設股份有限公司
電話:03-777-5355
地址: 苗栗縣竹南鎮康德街71號
聯絡人:許志豪經理
手機:0928-652985
產品名稱: 精湛防衝擊音隔音樓板材料費:@NT\$470/M²(未稅)[含PE吸音墊+金屬擴張網]。
施工費:@NT\$100/M²(未稅)施工固定;不含1:3水泥砂漿鋪設。
總單價:@NT\$570/M²(稅外加5%)。
數量：約 213 坪，約 701.75 M²。（以實際出貨為準）
總金額：約NT\$ 399,998 元整(未稅)。
含稅總金額：約 NT\$ 419,997 元整。
備註：
1. 本報價屬新建案報價；不含5公分水泥砂漿鋪設。
2. 定金 30%，尾款 70% 於每層樓逐次完工付款。（若只買材料，交貨後付清）
3. 定金未繳納收付，合約不成立。
4.本報價單有效期限:60天。
興吉發科技建材有限公司
![](images/b7aae27c4d64892cc832d31fdc80f7dae0c0d73cf0a6749cb1bf65654c3bd823.jpg)
報價日期：113年07月19日
0417-940-016368
戶名：興吉發科技建材有限公司
![](images/86330c01f18ff2f73f28af7310c1b152ae34aa2addb0691f1b575bef3ba1d11e.jpg)
匯款帳戶：玉山銀行 中山分行
帳號：0417-940-016368
户名：興吉發科技建材有限公司
## 立契約書人
甲方 公司名稱：向上建設股份有限公司
負責人：洪建豪
![](images/30dfdda3c57ad9ade6d00e46629a9143d9e56d7526076c8fa1a8e03cea73179b.jpg)
統一 編號：90057101
公司地址：苗栗縣竹南鎮康德街71號
公司電話：03-777-5355
乙方 公司名稱: 興吉發科技建材有限公司
負責人：許鴻龍
統一編號：83464309
![](images/fe97678568b4676a0db2d962b8813a67c0698980ebc90e682643f651a8257e54.jpg)
公司地址：台北市中山區華陰街24巷3號1樓
公司電話：02-2541-7168
中華民國 113 年 8 月 6 日
</x:v>
      </x:c>
    </x:row>
    <x:row r="113">
      <x:c r="A113" s="69" t="str">
        <x:v>SRC091</x:v>
      </x:c>
      <x:c r="B113" s="69" t="str">
        <x:v>原文1</x:v>
      </x:c>
      <x:c r="C113" s="69" t="str">
        <x:v>markdown_fulltext</x:v>
      </x:c>
      <x:c r="D113" s="69" t="str">
        <x:v>0–1557</x:v>
      </x:c>
      <x:c r="E113" s="71" t="str">
        <x:v>[標準型出入口]
![](images/a3c45a7b141334fc91d9d1b09d63afad3a4d7a25f7e38e3106faf33d8fb6af2a.jpg)
〔豪華型出入口〕
![](images/15f8ddae8f50e264d322ef7b054170a410ac76cd4e4a748ef8f570deef17d710.jpg)
〔車 原〕
![](images/d2d983ab4461445fa65de45a81c43d748f07a7db1a2d88a586e475febecf881a.jpg)
## 升降機選色表
合約編號：RL-3085
工地名稱：向上龍富段公寓新建工程
電梯規格：SR9-2S90-8S X1 台
客戶簽認： 张建豪
簽認日認：113年02月23日
&lt;table&gt;&lt;tr&gt;&lt;td&gt;代號&lt;/td&gt;&lt;td&gt;名&lt;/td&gt;&lt;td&gt;顏色&lt;/td&gt;&lt;/tr&gt;&lt;tr&gt;&lt;td&gt;A&lt;/td&gt;&lt;td&gt;門框&lt;/td&gt;&lt;td&gt;全為寬斜型髮紋不銹鋼材質門框&lt;/td&gt;&lt;/tr&gt;&lt;tr&gt;&lt;td&gt;B&lt;/td&gt;&lt;td&gt;出入口門&lt;/td&gt;&lt;td&gt;全樓為彩妝鋼板材質選定色為: B-108&lt;/td&gt;&lt;/tr&gt;&lt;tr&gt;&lt;td&gt;C&lt;/td&gt;&lt;td&gt;幕板&lt;/td&gt;&lt;td&gt;無&lt;/td&gt;&lt;/tr&gt;&lt;tr&gt;&lt;td&gt;D&lt;/td&gt;&lt;td&gt;天花板型式&lt;/td&gt;&lt;td&gt;□C02 □C03&lt;/td&gt;&lt;/tr&gt;&lt;tr&gt;&lt;td&gt;E&lt;/td&gt;&lt;td&gt;車廂前側壁板&lt;/td&gt;&lt;td&gt;不銹鋼髮紋材質&lt;/td&gt;&lt;/tr&gt;&lt;tr&gt;&lt;td&gt;F&lt;/td&gt;&lt;td&gt;車廂內門&lt;/td&gt;&lt;td&gt;彩妝鋼板材質選定色樣為: B-108&lt;/td&gt;&lt;/tr&gt;&lt;tr&gt;&lt;td&gt;G&lt;/td&gt;&lt;td&gt;車廂左右兩側壁板及後側壁板&lt;/td&gt;&lt;td&gt;左右後三側壁板為彩妝鋼板材質選定色樣為: B-125&lt;/td&gt;&lt;/tr&gt;&lt;tr&gt;&lt;td&gt;H&lt;/td&gt;&lt;td&gt;地板&lt;/td&gt;&lt;td&gt;□PVC 塑膠地板選定色樣為: YS-309□甲方自理石材乙方預降 2.5 公分鋪設尺寸&lt;/td&gt;&lt;/tr&gt;&lt;tr&gt;&lt;td&gt;&lt;/td&gt;&lt;td&gt;乘場指示器&lt;/td&gt;&lt;td&gt;編號: EDB-C10-D2&lt;/td&gt;&lt;/tr&gt;&lt;tr&gt;&lt;td&gt;&lt;/td&gt;&lt;td&gt;車廂叫車盤&lt;/td&gt;&lt;td&gt;編號: OP-A21-D2&lt;/td&gt;&lt;/tr&gt;&lt;tr&gt;&lt;td&gt;&lt;/td&gt;&lt;td&gt;車廂叫車盤(無障礙設備)&lt;/td&gt;&lt;td&gt;編號: EOP-A21-D2&lt;/td&gt;&lt;/tr&gt;&lt;tr&gt;&lt;td&gt;&lt;/td&gt;&lt;td&gt;扶手&lt;/td&gt;&lt;td&gt;編號: HR-119 x2 支&lt;/td&gt;&lt;/tr&gt;&lt;/table&gt;
![](images/926190b575e2f556496bd010c53c2f3970a5408f48104a7a352cf7cb1f2c087f.jpg)
![](images/c2c034301b57732c4cb7e4cc490cece4ecf2b97ddacfbd7473260ae2b897ee0e.jpg)
## CO2
## 細緻典雅型
天井採鋼板烤漆搭配壓克力材質，側板選用彩妝鋼板(香檳金)，光影調和，展現細緻典雅的設計感。
## C02 細緻典雅型
## CAR DESIGN
天井
細緻典雅型 C02
照明
節能環保照明
前側板 不銹鋼
車廂門 彩妝鋼板(香檳金 A-111)
操作盤 標準型不銹鋼面板(OP-A21-D2)
地板 塑膠地磚(501)
![](images/c07f70c2f9b5eb4015db0d04720a0832b1ff62dd4ba2f6b3d8e20f79ee9365cb.jpg)
</x:v>
      </x:c>
    </x:row>
  </x:sheetData>
  <x:mergeCells>
    <x:mergeCell ref="A1:E2"/>
    <x:mergeCell ref="A3:E3"/>
  </x:mergeCells>
  <x:pageMargins left="0.7" right="0.7" top="0.75" bottom="0.75" header="0.3" footer="0.3"/>
  <x:tableParts count="1">
    <x:tablePart xmlns:r="http://schemas.openxmlformats.org/officeDocument/2006/relationships" r:id="R940a4f68fc8c408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3.75" hidden="0" customWidth="1"/>
    <x:col min="2" max="2" width="13.75" hidden="0" customWidth="1"/>
    <x:col min="3" max="3" width="15" hidden="0" customWidth="1"/>
    <x:col min="4" max="4" width="12.5" hidden="0" customWidth="1"/>
    <x:col min="5" max="5" width="11.25" hidden="0" customWidth="1"/>
    <x:col min="6" max="6" width="45" hidden="0" customWidth="1"/>
    <x:col min="7" max="7" width="15" hidden="0" customWidth="1"/>
  </x:cols>
  <x:sheetData>
    <x:row r="1" ht="28" customHeight="1">
      <x:c r="A1" s="3" t="str">
        <x:v>資料品質｜覆蓋與限制</x:v>
      </x:c>
      <x:c r="B1" s="3" t="str">
        <x:v>資料品質｜覆蓋與限制</x:v>
      </x:c>
      <x:c r="C1" s="3" t="str">
        <x:v>資料品質｜覆蓋與限制</x:v>
      </x:c>
      <x:c r="D1" s="3" t="str">
        <x:v>資料品質｜覆蓋與限制</x:v>
      </x:c>
      <x:c r="E1" s="3" t="str">
        <x:v>資料品質｜覆蓋與限制</x:v>
      </x:c>
      <x:c r="F1" s="3" t="str">
        <x:v>資料品質｜覆蓋與限制</x:v>
      </x:c>
      <x:c r="G1" s="3" t="str">
        <x:v>資料品質｜覆蓋與限制</x:v>
      </x:c>
    </x:row>
    <x:row r="2" ht="28" customHeight="1">
      <x:c r="A2" s="3" t="str">
        <x:v>資料品質｜覆蓋與限制</x:v>
      </x:c>
      <x:c r="B2" s="3" t="str">
        <x:v>資料品質｜覆蓋與限制</x:v>
      </x:c>
      <x:c r="C2" s="3" t="str">
        <x:v>資料品質｜覆蓋與限制</x:v>
      </x:c>
      <x:c r="D2" s="3" t="str">
        <x:v>資料品質｜覆蓋與限制</x:v>
      </x:c>
      <x:c r="E2" s="3" t="str">
        <x:v>資料品質｜覆蓋與限制</x:v>
      </x:c>
      <x:c r="F2" s="3" t="str">
        <x:v>資料品質｜覆蓋與限制</x:v>
      </x:c>
      <x:c r="G2" s="3" t="str">
        <x:v>資料品質｜覆蓋與限制</x:v>
      </x:c>
    </x:row>
    <x:row r="4">
      <x:c r="A4" s="66" t="str">
        <x:v>檢核項目</x:v>
      </x:c>
      <x:c r="B4" s="66" t="str">
        <x:v>實際值</x:v>
      </x:c>
      <x:c r="C4" s="66" t="str">
        <x:v>預期／門檻</x:v>
      </x:c>
      <x:c r="D4" s="66" t="str">
        <x:v>差異</x:v>
      </x:c>
      <x:c r="E4" s="66" t="str">
        <x:v>狀態</x:v>
      </x:c>
      <x:c r="F4" s="66" t="str">
        <x:v>說明</x:v>
      </x:c>
      <x:c r="G4" s="66" t="str">
        <x:v>對應分頁</x:v>
      </x:c>
    </x:row>
    <x:row r="5">
      <x:c r="A5" s="69" t="str">
        <x:v>來源文件覆蓋</x:v>
      </x:c>
      <x:c r="B5" s="73" t="n">
        <x:f>COUNTA('文件總表'!$A$5:$A$97)</x:f>
        <x:v>93</x:v>
      </x:c>
      <x:c r="C5" s="73" t="n">
        <x:v>93</x:v>
      </x:c>
      <x:c r="D5" s="73" t="n">
        <x:f>B5-C5</x:f>
        <x:v>0</x:v>
      </x:c>
      <x:c r="E5" s="73" t="str">
        <x:f>IF(D5=0,"OK","異常")</x:f>
        <x:v>OK</x:v>
      </x:c>
      <x:c r="F5" s="69" t="str">
        <x:v>MD檔案資料夾全部 93 份來源均須在文件總表中</x:v>
      </x:c>
      <x:c r="G5" s="69" t="str">
        <x:v>文件總表</x:v>
      </x:c>
    </x:row>
    <x:row r="6">
      <x:c r="A6" s="69" t="str">
        <x:v>完整原文覆蓋</x:v>
      </x:c>
      <x:c r="B6" s="73" t="n">
        <x:f>COUNTA('原文索引'!$A$5:$A$113)</x:f>
        <x:v>109</x:v>
      </x:c>
      <x:c r="C6" s="73" t="str">
        <x:v>至少 93 段</x:v>
      </x:c>
      <x:c r="D6" s="73" t="str">
        <x:v>資訊性</x:v>
      </x:c>
      <x:c r="E6" s="73" t="str">
        <x:f>IF(B6&gt;=93,"OK","待確認")</x:f>
        <x:v>OK</x:v>
      </x:c>
      <x:c r="F6" s="69" t="str">
        <x:v>每個可讀來源至少一段原文；JPG 無文字層會列為待人工</x:v>
      </x:c>
      <x:c r="G6" s="69" t="str">
        <x:v>原文索引</x:v>
      </x:c>
    </x:row>
    <x:row r="7">
      <x:c r="A7" s="69" t="str">
        <x:v>原始表格列</x:v>
      </x:c>
      <x:c r="B7" s="73" t="n">
        <x:f>COUNTA('預算明細'!$A$5:$A$1427)</x:f>
        <x:v>1423</x:v>
      </x:c>
      <x:c r="C7" s="73" t="str">
        <x:v>資訊性</x:v>
      </x:c>
      <x:c r="D7" s="73" t="str">
        <x:v>資訊性</x:v>
      </x:c>
      <x:c r="E7" s="73" t="str">
        <x:v>OK</x:v>
      </x:c>
      <x:c r="F7" s="69" t="str">
        <x:v>保留所有表格列，不以算式推導金額</x:v>
      </x:c>
      <x:c r="G7" s="69" t="str">
        <x:v>預算明細</x:v>
      </x:c>
    </x:row>
    <x:row r="8">
      <x:c r="A8" s="69" t="str">
        <x:v>文件統編明載</x:v>
      </x:c>
      <x:c r="B8" s="73" t="n">
        <x:v>16</x:v>
      </x:c>
      <x:c r="C8" s="73" t="str">
        <x:v>資訊性</x:v>
      </x:c>
      <x:c r="D8" s="73" t="str">
        <x:v>資訊性</x:v>
      </x:c>
      <x:c r="E8" s="73" t="str">
        <x:v>OK</x:v>
      </x:c>
      <x:c r="F8" s="69" t="str">
        <x:v>僅計算文件明載的8碼統編</x:v>
      </x:c>
      <x:c r="G8" s="69" t="str">
        <x:v>廠商與統編</x:v>
      </x:c>
    </x:row>
    <x:row r="9">
      <x:c r="A9" s="69" t="str">
        <x:v>網站統編候選</x:v>
      </x:c>
      <x:c r="B9" s="73" t="n">
        <x:v>32</x:v>
      </x:c>
      <x:c r="C9" s="73" t="str">
        <x:v>資訊性</x:v>
      </x:c>
      <x:c r="D9" s="73" t="str">
        <x:v>資訊性</x:v>
      </x:c>
      <x:c r="E9" s="73" t="str">
        <x:v>OK</x:v>
      </x:c>
      <x:c r="F9" s="69" t="str">
        <x:v>網站結果與文件統編分開保存</x:v>
      </x:c>
      <x:c r="G9" s="69" t="str">
        <x:v>統編核對</x:v>
      </x:c>
    </x:row>
    <x:row r="10">
      <x:c r="A10" s="69" t="str">
        <x:v>不一致或非賣方統編</x:v>
      </x:c>
      <x:c r="B10" s="73" t="n">
        <x:v>5</x:v>
      </x:c>
      <x:c r="C10" s="73" t="n">
        <x:v>0</x:v>
      </x:c>
      <x:c r="D10" s="73" t="n">
        <x:v>5</x:v>
      </x:c>
      <x:c r="E10" s="73" t="str">
        <x:v>待確認</x:v>
      </x:c>
      <x:c r="F10" s="69" t="str">
        <x:v>非零時需人工確認文件角色，不自動改寫</x:v>
      </x:c>
      <x:c r="G10" s="69" t="str">
        <x:v>統編核對</x:v>
      </x:c>
    </x:row>
  </x:sheetData>
  <x:mergeCells>
    <x:mergeCell ref="A1:G2"/>
  </x:mergeCells>
  <x:conditionalFormatting sqref="E5:E10">
    <x:cfRule type="containsText" dxfId="7" priority="1" operator="containsText" text="OK"/>
    <x:cfRule type="containsText" dxfId="8" priority="2" operator="containsText" text="異常"/>
    <x:cfRule type="containsText" dxfId="9" priority="3" operator="containsText" text="待確認"/>
  </x:conditionalFormatting>
  <x:pageMargins left="0.7" right="0.7" top="0.75" bottom="0.75" header="0.3" footer="0.3"/>
</x:worksheet>
</file>