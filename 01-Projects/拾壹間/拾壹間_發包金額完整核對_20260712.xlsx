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1"
    Type="http://schemas.openxmlformats.org/officeDocument/2006/relationships/officeDocument"
   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0_總覽" sheetId="1" r:id="rId1"/>
    <sheet name="01_逐份核對" sheetId="2" r:id="rId4"/>
    <sheet name="02_計入明細" sheetId="3" r:id="rId5"/>
    <sheet name="03_待確認與排除" sheetId="4" r:id="rId6"/>
    <sheet name="04_版本判定" sheetId="5" r:id="rId7"/>
  </sheets>
  <calcPr calcId="191029" calcMode="auto" fullCalcOnLoad="1" forceFullCalc="1"/>
</workbook>
</file>

<file path=xl/sharedStrings.xml><?xml version="1.0" encoding="utf-8"?>
<sst xmlns="http://schemas.openxmlformats.org/spreadsheetml/2006/main" count="1971" uniqueCount="699">
  <si>
    <t xml:space="preserve">拾壹間發包金額完整核對（2026-07-12）</t>
  </si>
  <si>
    <t xml:space="preserve">指標</t>
  </si>
  <si>
    <t xml:space="preserve">數值</t>
  </si>
  <si>
    <t xml:space="preserve">說明</t>
  </si>
  <si>
    <t xml:space="preserve">來源文件數</t>
  </si>
  <si>
    <t xml:space="preserve">應為93</t>
  </si>
  <si>
    <t xml:space="preserve">計入筆數</t>
  </si>
  <si>
    <t xml:space="preserve">固定金額列</t>
  </si>
  <si>
    <t xml:space="preserve">原文件口徑總額</t>
  </si>
  <si>
    <t xml:space="preserve">保留明載稅別</t>
  </si>
  <si>
    <t xml:space="preserve">已知稅別換算含稅</t>
  </si>
  <si>
    <t xml:space="preserve">未稅項目加5%</t>
  </si>
  <si>
    <t xml:space="preserve">待確認文件數</t>
  </si>
  <si>
    <t xml:space="preserve">不進固定總額</t>
  </si>
  <si>
    <t xml:space="preserve">明載未稅列數</t>
  </si>
  <si>
    <t xml:space="preserve">換算含稅</t>
  </si>
  <si>
    <t xml:space="preserve">稅別未明採列額</t>
  </si>
  <si>
    <t xml:space="preserve">若外加5%另增</t>
  </si>
  <si>
    <t xml:space="preserve">先前暫定總額</t>
  </si>
  <si>
    <t xml:space="preserve">2026-07-12前次回覆</t>
  </si>
  <si>
    <t xml:space="preserve">本次修正差額</t>
  </si>
  <si>
    <t xml:space="preserve">新減舊</t>
  </si>
  <si>
    <t xml:space="preserve">含稅上限（未明皆加5%）</t>
  </si>
  <si>
    <t xml:space="preserve">風險上限</t>
  </si>
  <si>
    <t xml:space="preserve">分類</t>
  </si>
  <si>
    <t xml:space="preserve">原文件口徑</t>
  </si>
  <si>
    <t xml:space="preserve">視覺</t>
  </si>
  <si>
    <t xml:space="preserve">其他</t>
  </si>
  <si>
    <t xml:space="preserve">室內／公設／景觀</t>
  </si>
  <si>
    <t xml:space="preserve">機電／水電／弱電</t>
  </si>
  <si>
    <t xml:space="preserve">結構／泥作／防水</t>
  </si>
  <si>
    <t xml:space="preserve">衛浴／廚具／建材</t>
  </si>
  <si>
    <t xml:space="preserve">門窗／玻璃／鋁作</t>
  </si>
  <si>
    <t xml:space="preserve">來源文件</t>
  </si>
  <si>
    <t xml:space="preserve">廠商</t>
  </si>
  <si>
    <t xml:space="preserve">工項／版本</t>
  </si>
  <si>
    <t xml:space="preserve">文件日期</t>
  </si>
  <si>
    <t xml:space="preserve">明載未稅</t>
  </si>
  <si>
    <t xml:space="preserve">明載稅額</t>
  </si>
  <si>
    <t xml:space="preserve">明載總額</t>
  </si>
  <si>
    <t xml:space="preserve">稅別原文</t>
  </si>
  <si>
    <t xml:space="preserve">稅別分類</t>
  </si>
  <si>
    <t xml:space="preserve">採列額</t>
  </si>
  <si>
    <t xml:space="preserve">狀態</t>
  </si>
  <si>
    <t xml:space="preserve">有效原額</t>
  </si>
  <si>
    <t xml:space="preserve">有效含稅</t>
  </si>
  <si>
    <t xml:space="preserve">信心</t>
  </si>
  <si>
    <t xml:space="preserve">版本群組</t>
  </si>
  <si>
    <t xml:space="preserve">採列依據</t>
  </si>
  <si>
    <t xml:space="preserve">證據</t>
  </si>
  <si>
    <t xml:space="preserve">備註</t>
  </si>
  <si>
    <t xml:space="preserve">0921向上建設機械車位合約.docx</t>
  </si>
  <si>
    <t xml:space="preserve">俐麒企業有限公司</t>
  </si>
  <si>
    <t xml:space="preserve">機械停車設備（8個三層橫移車位）</t>
  </si>
  <si>
    <t xml:space="preserve">2023-09-21</t>
  </si>
  <si>
    <t xml:space="preserve">含稅</t>
  </si>
  <si>
    <t xml:space="preserve">計入</t>
  </si>
  <si>
    <t xml:space="preserve">high</t>
  </si>
  <si>
    <t xml:space="preserve">機械車位-俐麒</t>
  </si>
  <si>
    <t xml:space="preserve">合約報價單合計（含5%稅）</t>
  </si>
  <si>
    <t xml:space="preserve">「稅金5％ 70,000；合計 1,470,000；總價新台幣壹佰肆拾柒萬元整」</t>
  </si>
  <si>
    <t xml:space="preserve">兩項備註加購未併入合約合計。</t>
  </si>
  <si>
    <t xml:space="preserve">20230424 TOTO衛浴.md</t>
  </si>
  <si>
    <t xml:space="preserve">建信自動化有限公司／晉展股份有限公司</t>
  </si>
  <si>
    <t xml:space="preserve">TOTO衛浴設備及安裝</t>
  </si>
  <si>
    <t xml:space="preserve">排除／重複或替代</t>
  </si>
  <si>
    <t xml:space="preserve">TOTO衛浴-累計版本</t>
  </si>
  <si>
    <t xml:space="preserve">依使用者決策：舊TOTO版不計入</t>
  </si>
  <si>
    <t xml:space="preserve">「實收1,577,000元含稅價；小計1,533,510；稅額76,676；總計1,610,186」</t>
  </si>
  <si>
    <t xml:space="preserve">舊版；TOTO僅保留2025-12-22累計版。日期未見明載。</t>
  </si>
  <si>
    <t xml:space="preserve">20230613 地質鑽探.md</t>
  </si>
  <si>
    <t xml:space="preserve">川島地質工程</t>
  </si>
  <si>
    <t xml:space="preserve">地質鑽探（2孔×6m）</t>
  </si>
  <si>
    <t xml:space="preserve">2023-06-13</t>
  </si>
  <si>
    <t xml:space="preserve">地質鑽探-川島</t>
  </si>
  <si>
    <t xml:space="preserve">工程總價／合計</t>
  </si>
  <si>
    <t xml:space="preserve">「小計35000；營業稅1750；合計36750；工程總價新臺幣叁萬陸仟柒佰伍拾元整」</t>
  </si>
  <si>
    <t xml:space="preserve">日期原文112/6/13。</t>
  </si>
  <si>
    <t xml:space="preserve">20231212 YKK 鋁門窗.md</t>
  </si>
  <si>
    <t xml:space="preserve">新悅有限公司</t>
  </si>
  <si>
    <t xml:space="preserve">YKK鋁門窗</t>
  </si>
  <si>
    <t xml:space="preserve">2023-12-12</t>
  </si>
  <si>
    <t xml:space="preserve">YKK鋁門窗-新悅</t>
  </si>
  <si>
    <t xml:space="preserve">總計（含稅、實價）</t>
  </si>
  <si>
    <t xml:space="preserve">「合計2,378,781（未稅）；5%稅金118,939；總計2,497,720（含稅、實價）」</t>
  </si>
  <si>
    <t xml:space="preserve">日期原文112年12月12日。</t>
  </si>
  <si>
    <t xml:space="preserve">20231226 TOTO衛浴.md</t>
  </si>
  <si>
    <t xml:space="preserve">2023-12-26</t>
  </si>
  <si>
    <t xml:space="preserve">「實收1,907,330元含稅價；小計1,848,110；稅額92,406；總計1,940,516」</t>
  </si>
  <si>
    <t xml:space="preserve">舊版；TOTO僅保留2025-12-22累計版。</t>
  </si>
  <si>
    <t xml:space="preserve">20240326 國璽寶 磁磚.md</t>
  </si>
  <si>
    <t xml:space="preserve">國璽寶建材／昌盛磁磚</t>
  </si>
  <si>
    <t xml:space="preserve">磁磚材料單價表</t>
  </si>
  <si>
    <t xml:space="preserve">2024-03-26</t>
  </si>
  <si>
    <t xml:space="preserve">未稅</t>
  </si>
  <si>
    <t xml:space="preserve">排除／非計價或未採用</t>
  </si>
  <si>
    <t xml:space="preserve">國璽寶磁磚單價</t>
  </si>
  <si>
    <t xml:space="preserve">僅單價表，無數量及固定總額</t>
  </si>
  <si>
    <t xml:space="preserve">備註「以上報價均不含5%營業稅」；各品項僅列單價</t>
  </si>
  <si>
    <t xml:space="preserve">無固定總額，不計入發包總額。</t>
  </si>
  <si>
    <t xml:space="preserve">20240506 鎖庫 智能衣架.md</t>
  </si>
  <si>
    <t xml:space="preserve">鎖庫智能</t>
  </si>
  <si>
    <t xml:space="preserve">智能升降曬衣架</t>
  </si>
  <si>
    <t xml:space="preserve">2024-05-06</t>
  </si>
  <si>
    <t xml:space="preserve">鎖庫-智能衣架</t>
  </si>
  <si>
    <t xml:space="preserve">明載總價未稅</t>
  </si>
  <si>
    <t xml:space="preserve">「台熱牌TCM-210BS，數量1，建商優惠價10620；總價未稅10620」</t>
  </si>
  <si>
    <t xml:space="preserve">營業稅未計。</t>
  </si>
  <si>
    <t xml:space="preserve">20240506 鎖庫 電子門鎖.md</t>
  </si>
  <si>
    <t xml:space="preserve">電子門鎖選型</t>
  </si>
  <si>
    <t xml:space="preserve">2024-03-20</t>
  </si>
  <si>
    <t xml:space="preserve">鎖庫-電子門鎖方案</t>
  </si>
  <si>
    <t xml:space="preserve">兩方案且總價欄空白，未選型</t>
  </si>
  <si>
    <t xml:space="preserve">「飛利浦7300優惠價13,500；耶魯7216A優惠價16,000；總價未稅欄空白」</t>
  </si>
  <si>
    <t xml:space="preserve">待確認選型與數量；檔名日期與明載報價日不同，以原文2024/3/20為準。</t>
  </si>
  <si>
    <t xml:space="preserve">20240507 固多多.md</t>
  </si>
  <si>
    <t xml:space="preserve">將成實業社</t>
  </si>
  <si>
    <t xml:space="preserve">固多多窗角結構壁面防裂元件</t>
  </si>
  <si>
    <t xml:space="preserve">固多多-窗角防裂</t>
  </si>
  <si>
    <t xml:space="preserve">報價總計未稅</t>
  </si>
  <si>
    <t xml:space="preserve">「267枚×420元；總價112,140元；報價總計新台幣112,140元整（未稅）」</t>
  </si>
  <si>
    <t xml:space="preserve">OCR廠商字樣略糊；金額可由267×420交叉核對。</t>
  </si>
  <si>
    <t xml:space="preserve">20240515 Derek 白框淋浴拉門.md</t>
  </si>
  <si>
    <t xml:space="preserve">隆昌窯業（Derek）</t>
  </si>
  <si>
    <t xml:space="preserve">淋浴拉門白框／無框方案</t>
  </si>
  <si>
    <t xml:space="preserve">淋浴拉門-競合版本</t>
  </si>
  <si>
    <t xml:space="preserve">依使用者決策：Derek只保留黑框版</t>
  </si>
  <si>
    <t xml:space="preserve">「未稅總價340,200；5%營業稅17,010；含稅總價357,210」</t>
  </si>
  <si>
    <t xml:space="preserve">同日替代方案，未保留。</t>
  </si>
  <si>
    <t xml:space="preserve">20240515 Derek黑框淋浴拉門.md</t>
  </si>
  <si>
    <t xml:space="preserve">黑框淋浴拉門</t>
  </si>
  <si>
    <t xml:space="preserve">使用者指定只保留黑框含稅總價</t>
  </si>
  <si>
    <t xml:space="preserve">「未稅總價252,000；5%營業稅12,600；含稅總價264,600」</t>
  </si>
  <si>
    <t xml:space="preserve">報價日原文未辨識。</t>
  </si>
  <si>
    <t xml:space="preserve">20240620 協力建材行.md</t>
  </si>
  <si>
    <t xml:space="preserve">協力建材有限公司／金協和建材有限公司</t>
  </si>
  <si>
    <t xml:space="preserve">紅磚、砂、水泥、黏著劑等材料單價表</t>
  </si>
  <si>
    <t xml:space="preserve">2024-06-20</t>
  </si>
  <si>
    <t xml:space="preserve">協力建材-材料單價版本</t>
  </si>
  <si>
    <t xml:space="preserve">依使用者決策：只保留2024-08-12版</t>
  </si>
  <si>
    <t xml:space="preserve">「以上產品單價均為未稅價」；無合計</t>
  </si>
  <si>
    <t xml:space="preserve">舊單價版，無固定總額。</t>
  </si>
  <si>
    <t xml:space="preserve">20240620 塑豐 玄關門、房間門、浴室門、消防門.md</t>
  </si>
  <si>
    <t xml:space="preserve">塑豐實業股份有限公司</t>
  </si>
  <si>
    <t xml:space="preserve">玄關門、房間／浴室門、消防門（三項）</t>
  </si>
  <si>
    <t xml:space="preserve">medium</t>
  </si>
  <si>
    <t xml:space="preserve">塑豐門-最終累計</t>
  </si>
  <si>
    <t xml:space="preserve">同內容由完整累計檔統一承接；本檔不重複計入</t>
  </si>
  <si>
    <t xml:space="preserve">原文明載三組：764,453、253,617、531,930；其中第一組表內小計728,050、稅36,403</t>
  </si>
  <si>
    <t xml:space="preserve">與無空格同名檔內容重複；避免重複計入。第一組檔首另見總計764,453。</t>
  </si>
  <si>
    <t xml:space="preserve">20240620 塑豐玄關門、房間門、浴室門、消防門.md</t>
  </si>
  <si>
    <t xml:space="preserve">塑豐門原三項＋房間門改先立</t>
  </si>
  <si>
    <t xml:space="preserve">2024-10-16</t>
  </si>
  <si>
    <t xml:space="preserve">使用者指定最終合計；原三項1,550,000＋改先立295,588</t>
  </si>
  <si>
    <t xml:space="preserve">原文含764,453、531,930、253,617及113.10.16改先立295,588；加總1,845,588</t>
  </si>
  <si>
    <t xml:space="preserve">doc_date採檔內最新版本日；chosen_amount為使用者已裁定的累計額。</t>
  </si>
  <si>
    <t xml:space="preserve">20240703 太子種苗 _更新_.md</t>
  </si>
  <si>
    <t xml:space="preserve">太子種苗園</t>
  </si>
  <si>
    <t xml:space="preserve">景觀植栽／支撐工程</t>
  </si>
  <si>
    <t xml:space="preserve">2025-07-03</t>
  </si>
  <si>
    <t xml:space="preserve">太子種苗-景觀更新</t>
  </si>
  <si>
    <t xml:space="preserve">合計加稅後總計</t>
  </si>
  <si>
    <t xml:space="preserve">「合計132,640；稅金6,632；總計139,272」</t>
  </si>
  <si>
    <t xml:space="preserve">原文明載2025年7月3日，與檔名20240703不一致，待確認年份。</t>
  </si>
  <si>
    <t xml:space="preserve">20240719 立瑄 淋浴拉門.md</t>
  </si>
  <si>
    <t xml:space="preserve">立瑄有限公司</t>
  </si>
  <si>
    <t xml:space="preserve">無框外開淋浴拉門</t>
  </si>
  <si>
    <t xml:space="preserve">與使用者指定保留的Derek黑框方案競合，不另計</t>
  </si>
  <si>
    <t xml:space="preserve">「小計198000；營業稅9900；合計207900」</t>
  </si>
  <si>
    <t xml:space="preserve">報價日未見明載；作為競價方案排除。</t>
  </si>
  <si>
    <t xml:space="preserve">20240726 塑豐 金屬格柵.md</t>
  </si>
  <si>
    <t xml:space="preserve">鋁格柵方案A／B</t>
  </si>
  <si>
    <t xml:space="preserve">2024-07-26</t>
  </si>
  <si>
    <t xml:space="preserve">塑豐格柵-版本</t>
  </si>
  <si>
    <t xml:space="preserve">同日兩方案且後有2024-11-26更新版</t>
  </si>
  <si>
    <t xml:space="preserve">方案A小計573,678、稅28,684、總計602,362；方案B小計461,093、稅23,055、總計484,148</t>
  </si>
  <si>
    <t xml:space="preserve">替代方案且已被2024-11-26更新版取代。</t>
  </si>
  <si>
    <t xml:space="preserve">20240730 國璽寶 車道磚.md</t>
  </si>
  <si>
    <t xml:space="preserve">車道磚材料單價表</t>
  </si>
  <si>
    <t xml:space="preserve">2024-07-30</t>
  </si>
  <si>
    <t xml:space="preserve">國璽寶車道磚單價</t>
  </si>
  <si>
    <t xml:space="preserve">GR-1004、GR-1007均僅列單價6.5元；備註不含5%營業稅</t>
  </si>
  <si>
    <t xml:space="preserve">無固定總額，不計入。</t>
  </si>
  <si>
    <t xml:space="preserve">20240730 錦祥工程行 _浴室天花板_.md</t>
  </si>
  <si>
    <t xml:space="preserve">錦祥工程行</t>
  </si>
  <si>
    <t xml:space="preserve">浴室矽酸鈣天花板及搬運</t>
  </si>
  <si>
    <t xml:space="preserve">錦祥-浴室天花板</t>
  </si>
  <si>
    <t xml:space="preserve">合計總金額</t>
  </si>
  <si>
    <t xml:space="preserve">「銷售金額合計115400；營業稅5770；合計總金額121170」</t>
  </si>
  <si>
    <t xml:space="preserve">報價日未見明載。</t>
  </si>
  <si>
    <t xml:space="preserve">20240802 宏交 弱電系統.md</t>
  </si>
  <si>
    <t xml:space="preserve">宏交電話器材有限公司</t>
  </si>
  <si>
    <t xml:space="preserve">弱電系統（監視、門禁、對講、車道）</t>
  </si>
  <si>
    <t xml:space="preserve">2024-08-02</t>
  </si>
  <si>
    <t xml:space="preserve">宏交-弱電系統</t>
  </si>
  <si>
    <t xml:space="preserve">合約總金額／議價後報價總計</t>
  </si>
  <si>
    <t xml:space="preserve">合約「參拾貳萬元整（320,000元含稅金）」；報價合計304,762、稅15,238、總計320,000</t>
  </si>
  <si>
    <t xml:space="preserve">報價單號113080203；合約編號填doc_number。</t>
  </si>
  <si>
    <t xml:space="preserve">20240809 塑豐 玻璃欄桿.md</t>
  </si>
  <si>
    <t xml:space="preserve">玻璃欄杆</t>
  </si>
  <si>
    <t xml:space="preserve">2024-08-09</t>
  </si>
  <si>
    <t xml:space="preserve">玻璃欄杆-競合版本</t>
  </si>
  <si>
    <t xml:space="preserve">與順靖玻璃欄杆最終版競合，不計入</t>
  </si>
  <si>
    <t xml:space="preserve">「合計570,882；稅金28,544；總計599,426」</t>
  </si>
  <si>
    <t xml:space="preserve">使用者指定順靖玻璃僅保留版次3。</t>
  </si>
  <si>
    <t xml:space="preserve">20240812 協力建材行.md</t>
  </si>
  <si>
    <t xml:space="preserve">2024-08-12</t>
  </si>
  <si>
    <t xml:space="preserve">待確認／無固定總額</t>
  </si>
  <si>
    <t xml:space="preserve">最新版單價表，無固定總額</t>
  </si>
  <si>
    <t xml:space="preserve">「以上產品單價均為未稅價」；依實際進貨數量請款</t>
  </si>
  <si>
    <t xml:space="preserve">保留為單價契約；沒有數量與固定總額，不納入固定發包總額。</t>
  </si>
  <si>
    <t xml:space="preserve">20240819 順靖 樓梯扶手.md</t>
  </si>
  <si>
    <t xml:space="preserve">順靖企業有限公司</t>
  </si>
  <si>
    <t xml:space="preserve">樓梯扶手</t>
  </si>
  <si>
    <t xml:space="preserve">2024-08-19</t>
  </si>
  <si>
    <t xml:space="preserve">順靖-樓梯扶手獨立</t>
  </si>
  <si>
    <t xml:space="preserve">獨立樓梯扶手小計（使用者指示若獨立則保留）</t>
  </si>
  <si>
    <t xml:space="preserve">「77米 小計198,500」；「未含5%營業稅」</t>
  </si>
  <si>
    <t xml:space="preserve">屬獨立工項；完工依實際米數實做實算。</t>
  </si>
  <si>
    <t xml:space="preserve">20240820 富日東 塗料.md</t>
  </si>
  <si>
    <t xml:space="preserve">富日東建材／富千代開發</t>
  </si>
  <si>
    <t xml:space="preserve">SKK單彩系波浪紋理塗料工程</t>
  </si>
  <si>
    <t xml:space="preserve">2024-08-20</t>
  </si>
  <si>
    <t xml:space="preserve">富日東-外牆塗料</t>
  </si>
  <si>
    <t xml:space="preserve">唯一主項各項小計；總計欄空白</t>
  </si>
  <si>
    <t xml:space="preserve">「928.47㎡×920，各項小計854,192」；「總計：新台幣 元」空白；不含5%營業稅</t>
  </si>
  <si>
    <t xml:space="preserve">chosen_amount採唯一主項明載複價，非總計欄；數量為概算，待圖面後可能增減。</t>
  </si>
  <si>
    <t xml:space="preserve">20240910 順靖 玻璃欄杆(透明).md</t>
  </si>
  <si>
    <t xml:space="preserve">不鏽鋼透明玻璃陽台欄杆</t>
  </si>
  <si>
    <t xml:space="preserve">2024-09-10</t>
  </si>
  <si>
    <t xml:space="preserve">順靖玻璃欄杆-版本</t>
  </si>
  <si>
    <t xml:space="preserve">版次2，被版次3取代</t>
  </si>
  <si>
    <t xml:space="preserve">「報價版次2；33座；小計778,797；未含5%營業稅」</t>
  </si>
  <si>
    <t xml:space="preserve">舊版。</t>
  </si>
  <si>
    <t xml:space="preserve">20241004 順靖 玻璃欄杆_透明_木紋握桿_ 議價.md</t>
  </si>
  <si>
    <t xml:space="preserve">不鏽鋼透明玻璃陽台欄杆＋木紋握桿</t>
  </si>
  <si>
    <t xml:space="preserve">2024-10-04</t>
  </si>
  <si>
    <t xml:space="preserve">使用者指定版次3議價後690,000未稅</t>
  </si>
  <si>
    <t xml:space="preserve">「報價版次3；小計692,293；備註10%議價 $690,000（未稅）」</t>
  </si>
  <si>
    <t xml:space="preserve">以議價後金額優先。</t>
  </si>
  <si>
    <t xml:space="preserve">20241009 安翊 滴水條.md</t>
  </si>
  <si>
    <t xml:space="preserve">安翊企業股份有限公司</t>
  </si>
  <si>
    <t xml:space="preserve">烤漆滴水條安裝</t>
  </si>
  <si>
    <t xml:space="preserve">2024-10-09</t>
  </si>
  <si>
    <t xml:space="preserve">安翊-滴水條</t>
  </si>
  <si>
    <t xml:space="preserve">總金額</t>
  </si>
  <si>
    <t xml:space="preserve">「報價淨額197,500；稅額9,875；總金額207,375」</t>
  </si>
  <si>
    <t xml:space="preserve">依實作數量計價。</t>
  </si>
  <si>
    <t xml:space="preserve">20241016 塑豐 房間門改先立.md</t>
  </si>
  <si>
    <t xml:space="preserve">南亞房間門改先立</t>
  </si>
  <si>
    <t xml:space="preserve">已併入塑豐門最終累計1,845,588，不重複計入</t>
  </si>
  <si>
    <t xml:space="preserve">「小計281,512；稅金14,076；總計295,588」</t>
  </si>
  <si>
    <t xml:space="preserve">獨立檔為累計檔中的組成項。</t>
  </si>
  <si>
    <t xml:space="preserve">20241017 塑豐 防颱百葉窗.md</t>
  </si>
  <si>
    <t xml:space="preserve">防颱百葉窗追加</t>
  </si>
  <si>
    <t xml:space="preserve">2024-10-17</t>
  </si>
  <si>
    <t xml:space="preserve">塑豐-防颱百葉窗追加</t>
  </si>
  <si>
    <t xml:space="preserve">總計／中文大寫總金額</t>
  </si>
  <si>
    <t xml:space="preserve">「合計23,216；營業稅1,161；總計24,377；總金額貳萬肆仟參佰柒拾柒元整」</t>
  </si>
  <si>
    <t xml:space="preserve">追加獨立工項。</t>
  </si>
  <si>
    <t xml:space="preserve">20241126 塑豐 格柵.md</t>
  </si>
  <si>
    <t xml:space="preserve">鋁格柵更新版</t>
  </si>
  <si>
    <t xml:space="preserve">2024-11-26</t>
  </si>
  <si>
    <t xml:space="preserve">小計加明載稅金（總額由兩者可核算）</t>
  </si>
  <si>
    <t xml:space="preserve">「小計1,147,854；稅金57,393」；合計核算1,205,247</t>
  </si>
  <si>
    <t xml:space="preserve">原文未擷取到「總計」標籤，chosen_amount為明載小計＋稅金；待確認影像是否有總計。</t>
  </si>
  <si>
    <t xml:space="preserve">20241211 塑豐 鍍鋅烤漆門 換手把.md</t>
  </si>
  <si>
    <t xml:space="preserve">鍍鋅烤漆門換手把續更</t>
  </si>
  <si>
    <t xml:space="preserve">2024-12-11</t>
  </si>
  <si>
    <t xml:space="preserve">未明載</t>
  </si>
  <si>
    <t xml:space="preserve">未明</t>
  </si>
  <si>
    <t xml:space="preserve">使用者指定塑豐門最終僅原三項＋改先立；本續更不另加</t>
  </si>
  <si>
    <t xml:space="preserve">「小計75,238」；未見稅金或總計</t>
  </si>
  <si>
    <t xml:space="preserve">是否為原玄關門內部規格更新未明；依使用者最終裁定不另計。</t>
  </si>
  <si>
    <t xml:space="preserve">20250212 智慧城植草磚、透水磚.md</t>
  </si>
  <si>
    <t xml:space="preserve">智慧城企業有限公司</t>
  </si>
  <si>
    <t xml:space="preserve">植草磚、透水磚及工資</t>
  </si>
  <si>
    <t xml:space="preserve">2025-02-12</t>
  </si>
  <si>
    <t xml:space="preserve">智慧城-植草透水磚</t>
  </si>
  <si>
    <t xml:space="preserve">初估總計</t>
  </si>
  <si>
    <t xml:space="preserve">明細未稅合計56,731；稅金2,837；初估總計59,568</t>
  </si>
  <si>
    <t xml:space="preserve">數量金額為初估，完工實做實算。</t>
  </si>
  <si>
    <t xml:space="preserve">20250220 塑豐 格柵 追加.md</t>
  </si>
  <si>
    <t xml:space="preserve">鋁格柵追加</t>
  </si>
  <si>
    <t xml:space="preserve">2025-02-20</t>
  </si>
  <si>
    <t xml:space="preserve">塑豐格柵-追加</t>
  </si>
  <si>
    <t xml:space="preserve">明載追加報價小計</t>
  </si>
  <si>
    <t xml:space="preserve">「小計60,918」；未見稅金或總計</t>
  </si>
  <si>
    <t xml:space="preserve">待確認60,918是否未稅及是否另加5%營業稅。</t>
  </si>
  <si>
    <t xml:space="preserve">20250220 裕苗表內管報價.md</t>
  </si>
  <si>
    <t xml:space="preserve">裕苗天然氣股份有限公司</t>
  </si>
  <si>
    <t xml:space="preserve">天然氣表內管裝置工程</t>
  </si>
  <si>
    <t xml:space="preserve">裕苗-天然氣表內管</t>
  </si>
  <si>
    <t xml:space="preserve">總計</t>
  </si>
  <si>
    <t xml:space="preserve">「表內管合計377,065；營業稅18,855；總計395,920」</t>
  </si>
  <si>
    <t xml:space="preserve">申請單編號051130070-051130080（共11戶）。</t>
  </si>
  <si>
    <t xml:space="preserve">20250506 楠弘柏加 _廚房Grohe伸縮龍頭_.md</t>
  </si>
  <si>
    <t xml:space="preserve">柏加企業股份有限公司</t>
  </si>
  <si>
    <t xml:space="preserve">Grohe廚房伸縮龍頭</t>
  </si>
  <si>
    <t xml:space="preserve">2025-05-06</t>
  </si>
  <si>
    <t xml:space="preserve">柏加-Grohe龍頭版本</t>
  </si>
  <si>
    <t xml:space="preserve">後續2025-05-08買賣合約／5-09報價取代</t>
  </si>
  <si>
    <t xml:space="preserve">「含稅金額小計96,800；合計96,800」</t>
  </si>
  <si>
    <t xml:space="preserve">與後續合約同報價單號；不重複計入。</t>
  </si>
  <si>
    <t xml:space="preserve">20250508 楠弘柏加 合約.md</t>
  </si>
  <si>
    <t xml:space="preserve">Grohe廚房伸縮龍頭＋安裝</t>
  </si>
  <si>
    <t xml:space="preserve">2025-05-09</t>
  </si>
  <si>
    <t xml:space="preserve">合約附件報價及付款分期總和</t>
  </si>
  <si>
    <t xml:space="preserve">附件含稅金額96,800＋安裝14,850；付款20% 22,330＋75% 83,738＋5% 5,582＝111,650</t>
  </si>
  <si>
    <t xml:space="preserve">主檔名5/8；附件報價日期25/05/09，doc_date採明載附件日期。稅額未分列。</t>
  </si>
  <si>
    <t xml:space="preserve">20250514 TOTO 衛浴更新.md</t>
  </si>
  <si>
    <t xml:space="preserve">2024-08-26</t>
  </si>
  <si>
    <t xml:space="preserve">「小計1,952,298；稅額97,615；總計2,049,913；報價日期113年8月26日」</t>
  </si>
  <si>
    <t xml:space="preserve">舊版；TOTO僅保留2025-12-22累計版。檔名20250514與原文明載日期不一致。</t>
  </si>
  <si>
    <t xml:space="preserve">20250807 順靖 玻璃修復.md</t>
  </si>
  <si>
    <t xml:space="preserve">報價版次1／單一版</t>
  </si>
  <si>
    <t xml:space="preserve">2025-08-07</t>
  </si>
  <si>
    <t xml:space="preserve">小計；明載未含5%營業稅</t>
  </si>
  <si>
    <t xml:space="preserve">原文L11、L25、L27、L33：版次1，玻璃修復小計8,000，未含5%營業稅。</t>
  </si>
  <si>
    <t xml:space="preserve">固定一式報價，非同廠商舊版替代鏈。</t>
  </si>
  <si>
    <t xml:space="preserve">20250922宇勝工程行-水電報價單.md</t>
  </si>
  <si>
    <t xml:space="preserve">宇勝工程行</t>
  </si>
  <si>
    <t xml:space="preserve">議價定案版</t>
  </si>
  <si>
    <t xml:space="preserve">2025-09-17</t>
  </si>
  <si>
    <t xml:space="preserve">表列原總計2,669,153；另明載議價後含稅2,600,000（含8、9月點工），以議價額為準</t>
  </si>
  <si>
    <t xml:space="preserve">原文L7表格末段：小計2,542,050、稅金127,103、總計2,669,153；同段註記『議價為含稅2600000含8月、9月點工』。</t>
  </si>
  <si>
    <t xml:space="preserve">依使用者決策，宇勝2,600,000含稅與信興10,500,000含稅分開並列，不互相取代。</t>
  </si>
  <si>
    <t xml:space="preserve">20250922晶鼎鐳射-電梯門框包版報價單.md</t>
  </si>
  <si>
    <t xml:space="preserve">晶鼎鐳射工業股份有限公司</t>
  </si>
  <si>
    <t xml:space="preserve">單一版</t>
  </si>
  <si>
    <t xml:space="preserve">2025-09-18</t>
  </si>
  <si>
    <t xml:space="preserve">合計7,000＋稅金350＝總價7,350</t>
  </si>
  <si>
    <t xml:space="preserve">原文L9表格：合計7,000、稅金350、總價7,350；L17日期／單號1140918001。</t>
  </si>
  <si>
    <t xml:space="preserve">7F電梯門框包版固定1批。</t>
  </si>
  <si>
    <t xml:space="preserve">20250923山源工程行-2樓陽台地坪防水工程報價單.md</t>
  </si>
  <si>
    <t xml:space="preserve">山源工程行</t>
  </si>
  <si>
    <t xml:space="preserve">單一回傳版</t>
  </si>
  <si>
    <t xml:space="preserve">2025-09-22</t>
  </si>
  <si>
    <t xml:space="preserve">兩項工程複價10,000＋15,000；備註不含營業稅</t>
  </si>
  <si>
    <t xml:space="preserve">原文L1表格：地磚打除10,000、防水施作15,000，備註明載不含營業稅；交叉核對_ocr amount_total=25,000。</t>
  </si>
  <si>
    <t xml:space="preserve">固定工程項目合計25,000未稅。</t>
  </si>
  <si>
    <t xml:space="preserve">20251016電箱報價單回傳.md</t>
  </si>
  <si>
    <t xml:space="preserve">偉茗盛有限公司</t>
  </si>
  <si>
    <t xml:space="preserve">2025-10-16修改／議價定案版</t>
  </si>
  <si>
    <t xml:space="preserve">2025-10-13（2025-10-16修改）</t>
  </si>
  <si>
    <t xml:space="preserve">印刷總計288,604未稅；回傳頁另明載議價後295,000未稅，以議價額為準</t>
  </si>
  <si>
    <t xml:space="preserve">原文L10、L24、L115：單號Q20251013-04、114.10.16修改、印刷總計288,604未稅及『議價後$295,000未稅』。</t>
  </si>
  <si>
    <t xml:space="preserve">不得採OCR索引的印刷總計288,604取代回傳議價額。</t>
  </si>
  <si>
    <t xml:space="preserve">20251022達成鑫-竹節鋼筋報價單回傳.md</t>
  </si>
  <si>
    <t xml:space="preserve">達成鑫鋼鐵股份有限公司</t>
  </si>
  <si>
    <t xml:space="preserve">單一回傳版／單價合約</t>
  </si>
  <si>
    <t xml:space="preserve">2025-10-22</t>
  </si>
  <si>
    <t xml:space="preserve">未稅單價</t>
  </si>
  <si>
    <t xml:space="preserve">僅列每噸單價與運費，數量待實送過磅，多退少補；無文件總額</t>
  </si>
  <si>
    <t xml:space="preserve">原文L17列各規格每噸未稅單價；L23、L28明載依實送數量／過磅數量計價，未列預估噸數或總額。</t>
  </si>
  <si>
    <t xml:space="preserve">待取得實際／預估噸數或結算總額後才能納入發包總額。</t>
  </si>
  <si>
    <t xml:space="preserve">20251030台灣吉田智能科技衛浴報價單回傳.md</t>
  </si>
  <si>
    <t xml:space="preserve">台灣吉田智能科技衛浴有限公司</t>
  </si>
  <si>
    <t xml:space="preserve">2025-08-27</t>
  </si>
  <si>
    <t xml:space="preserve">合計132,000＋營業稅6,600＝總金額138,600</t>
  </si>
  <si>
    <t xml:space="preserve">原文L7表格：報價單號202508.022、合計132,000、營業稅6,600、總金額138,600。</t>
  </si>
  <si>
    <t xml:space="preserve">22面三色燈觸控除霧鏡。</t>
  </si>
  <si>
    <t xml:space="preserve">20251030向上拾壹間新建工程菊水利諾合約回傳.md</t>
  </si>
  <si>
    <t xml:space="preserve">菊水利諾工程股份有限公司</t>
  </si>
  <si>
    <t xml:space="preserve">指定保留版／最新版</t>
  </si>
  <si>
    <t xml:space="preserve">2025-10-01</t>
  </si>
  <si>
    <t xml:space="preserve">契約總價及附件合計均為656,775未稅</t>
  </si>
  <si>
    <t xml:space="preserve">原文L21、L25-L29、L91-L95、L131：附件編號KRE20251001001；契約總價與報價合計656,775，明載未稅／不含5%稅。</t>
  </si>
  <si>
    <t xml:space="preserve">依使用者決策，菊水只保留本版；其他菊水舊版不得再計。</t>
  </si>
  <si>
    <t xml:space="preserve">20251030永富工程-圍牆報價單回傳.md</t>
  </si>
  <si>
    <t xml:space="preserve">永富工程顧問（原文表單）</t>
  </si>
  <si>
    <t xml:space="preserve">單一回傳定案版</t>
  </si>
  <si>
    <t xml:space="preserve">2025-10-29</t>
  </si>
  <si>
    <t xml:space="preserve">文件明載合計166,116、營業稅8,306、總計174,421；採明載總計</t>
  </si>
  <si>
    <t xml:space="preserve">原文L3、L5：製表日期2025/10/29，合計166,116、加值營業稅8,306、總計174,421。</t>
  </si>
  <si>
    <t xml:space="preserve">分項相加因取整有1元差異，依文件明載總計174,421。</t>
  </si>
  <si>
    <t xml:space="preserve">20251104升駿工程報價單回傳.md</t>
  </si>
  <si>
    <t xml:space="preserve">升駿工程行</t>
  </si>
  <si>
    <t xml:space="preserve">單一回傳版／單價實作實算</t>
  </si>
  <si>
    <t xml:space="preserve">2025-10-30</t>
  </si>
  <si>
    <t xml:space="preserve">只列各類廢料／機具單價，數量與合計空白；明載實做實算</t>
  </si>
  <si>
    <t xml:space="preserve">原文L23、L29、L41-L42：日期114/10/30；表格數量與合計未填；『實做實算』『總計（未稅）』但無金額。</t>
  </si>
  <si>
    <t xml:space="preserve">待取得實作數量或結算單。</t>
  </si>
  <si>
    <t xml:space="preserve">20251106山源工程-清水模潑水劑報價單回傳.md</t>
  </si>
  <si>
    <t xml:space="preserve">議價回傳定案版</t>
  </si>
  <si>
    <t xml:space="preserve">2025-11-04</t>
  </si>
  <si>
    <t xml:space="preserve">印刷40㎡×420＝16,800；手寫改單價400、總價16,000，且買方簽章，以16,000為準</t>
  </si>
  <si>
    <t xml:space="preserve">原文L1表格：原合計16,800、手寫16,000，備註不含稅；_ocr notes確認單價420→400及總價16,800→16,000並有客戶簽章。</t>
  </si>
  <si>
    <t xml:space="preserve">採回傳議價金額，不採原印刷金額。</t>
  </si>
  <si>
    <t xml:space="preserve">20251106昶盛製網-鋼線網報價單回傳.md</t>
  </si>
  <si>
    <t xml:space="preserve">昶盛製網有限公司</t>
  </si>
  <si>
    <t xml:space="preserve">單一回傳版／材料單價未定量</t>
  </si>
  <si>
    <t xml:space="preserve">含稅（僅已列運費）</t>
  </si>
  <si>
    <t xml:space="preserve">鋼線網數量／複價空白；表列2,000未稅、2,100含稅實際只對應運費一趟</t>
  </si>
  <si>
    <t xml:space="preserve">原文L31：兩種點焊鋼線網只列單價、數量空白；運費1趟2,000；小計2,000未稅／2,100含稅。L35明載以實送實算。</t>
  </si>
  <si>
    <t xml:space="preserve">2,100不是完整鋼線網發包總額；待補材料數量／完整訂單額。</t>
  </si>
  <si>
    <t xml:space="preserve">20251110晏成工程-鷹架報價單回傳.md</t>
  </si>
  <si>
    <t xml:space="preserve">晏成工程有限公司</t>
  </si>
  <si>
    <t xml:space="preserve">回傳定案版</t>
  </si>
  <si>
    <t xml:space="preserve">2025-11-07（回傳簽註2025-11-10）</t>
  </si>
  <si>
    <t xml:space="preserve">小計214,140＋營業稅10,707＝合計224,847</t>
  </si>
  <si>
    <t xml:space="preserve">原文L21表格末段：以上金額不含稅、小計214,140、營業稅10,707、合計224,847；L23簽註114.11.10。</t>
  </si>
  <si>
    <t xml:space="preserve">工程仍註明依現場數量實做實算，但文件有明確目前報價總額。</t>
  </si>
  <si>
    <t xml:space="preserve">20251118卉鄉景觀-喬木移植報價單回傳.md</t>
  </si>
  <si>
    <t xml:space="preserve">卉鄉景觀工程有限公司</t>
  </si>
  <si>
    <t xml:space="preserve">2025-11-02</t>
  </si>
  <si>
    <t xml:space="preserve">小計11,700＋5%稅585＝合計12,285</t>
  </si>
  <si>
    <t xml:space="preserve">原文L9、L11：日期114/11/2；小計11,700、稅金585、合計及中文大寫12,285。</t>
  </si>
  <si>
    <t xml:space="preserve">喬木移植固定項目報價。</t>
  </si>
  <si>
    <t xml:space="preserve">20251121錦祥工程-隔間報價單回傳.md</t>
  </si>
  <si>
    <t xml:space="preserve">2025-11-20</t>
  </si>
  <si>
    <t xml:space="preserve">印刷銷售額35,550、稅1,778、原合計37,328；手寫議價後含稅35,000，以議價額為準</t>
  </si>
  <si>
    <t xml:space="preserve">原文L13、L15表格：原合計37,328並有35,000註記；_ocr notes明確認讀『總金額手寫修改為35000，議價後含稅』且有簽章。</t>
  </si>
  <si>
    <t xml:space="preserve">stated_subtotal／tax保留印刷欄位供追溯，但納入額採議價後35,000含稅。</t>
  </si>
  <si>
    <t xml:space="preserve">20251121長陽企業-格來得鐵捲門報價單回傳.md</t>
  </si>
  <si>
    <t xml:space="preserve">長陽企業社／格來得竹苗分廠</t>
  </si>
  <si>
    <t xml:space="preserve">舊版（後有2025-12-04保留版）</t>
  </si>
  <si>
    <t xml:space="preserve">合計92,000－折扣1,524＋稅4,524＝總計95,000</t>
  </si>
  <si>
    <t xml:space="preserve">原文L9、L13、L21：日期2025/11/20、單號141120004、總計95,000。</t>
  </si>
  <si>
    <t xml:space="preserve">依使用者決策，長陽只保留20251204；本文件舊版不重複計入。</t>
  </si>
  <si>
    <t xml:space="preserve">20251124百鴻工程-陽台修補報價單回傳.md</t>
  </si>
  <si>
    <t xml:space="preserve">百鴻工程行</t>
  </si>
  <si>
    <t xml:space="preserve">單一回傳版／單價報價</t>
  </si>
  <si>
    <t xml:space="preserve">2025-11-24</t>
  </si>
  <si>
    <t xml:space="preserve">僅列工項單價，數量／完整複價與總額未載；5%營業稅外加</t>
  </si>
  <si>
    <t xml:space="preserve">原文L9、L11、L15：日期114.11.24；表格只有單價，未見總計；營業稅5%一律外加。_ocr亦為amount_total=null。</t>
  </si>
  <si>
    <t xml:space="preserve">OCR對品名／單位辨識不佳；待原始清晰件、數量及議定總額。</t>
  </si>
  <si>
    <t xml:space="preserve">20251203TOTO-衛浴報價單回傳.md</t>
  </si>
  <si>
    <t xml:space="preserve">舊版（2025-12-03檔；後有2025-12-22累計版）</t>
  </si>
  <si>
    <t xml:space="preserve">小計1,961,998＋稅98,100＝總計2,060,098</t>
  </si>
  <si>
    <t xml:space="preserve">原文L7表格末段：小計1,961,998、稅額98,100、總計2,060,098。</t>
  </si>
  <si>
    <t xml:space="preserve">依使用者決策，TOTO只保留20251222累計2,079,019；本版舊版不計。</t>
  </si>
  <si>
    <t xml:space="preserve">20251203安翊-滴水條報價單回傳.md</t>
  </si>
  <si>
    <t xml:space="preserve">2025-12-02</t>
  </si>
  <si>
    <t xml:space="preserve">報價淨額10,000＋稅500＝總金額10,500</t>
  </si>
  <si>
    <t xml:space="preserve">原文L21、L27、L29：報價日期114/12/2、稅別外加、淨額10,000、稅500、總金額10,500，並有客戶確認章。</t>
  </si>
  <si>
    <t xml:space="preserve">滴水條依實作數量計價，但本回傳版有明確報價總額。</t>
  </si>
  <si>
    <t xml:space="preserve">20251203長陽企業-格來得鐵捲門報價單回傳.md</t>
  </si>
  <si>
    <t xml:space="preserve">舊版／重複掃描（後有2025-12-04保留版）</t>
  </si>
  <si>
    <t xml:space="preserve">原文L11、L15、L25：同一日期2025/11/20、同單號141120004、總計95,000。</t>
  </si>
  <si>
    <t xml:space="preserve">依使用者決策只保留20251204，本版不重複計入。</t>
  </si>
  <si>
    <t xml:space="preserve">20251204長陽企業-格來得鐵捲門報價單回傳.md</t>
  </si>
  <si>
    <t xml:space="preserve">原文L9、L13、L21：日期2025/11/20、單號141120004、合計／折扣／稅額／總計95,000。</t>
  </si>
  <si>
    <t xml:space="preserve">依使用者決策，長陽僅本檔計入；20251121與20251203版本皆include=false。</t>
  </si>
  <si>
    <t xml:space="preserve">20251205上順家-壓花地坪報價單回傳.md</t>
  </si>
  <si>
    <t xml:space="preserve">上順家實業（原文聯絡資訊）</t>
  </si>
  <si>
    <t xml:space="preserve">2025-12-04</t>
  </si>
  <si>
    <t xml:space="preserve">僅明載單價280元／㎡、約160㎡，總合計欄空白；依實際工程數量計價且未稅</t>
  </si>
  <si>
    <t xml:space="preserve">原文L19、L21：估價日期114.12.04；表格單價280、備註約160㎡，總合計空白；說明明載不含5%稅並依實際數量計價。</t>
  </si>
  <si>
    <t xml:space="preserve">不可將280誤作總額，也不把約160×280推算額當成原文明載總額；待議定／結算總額。</t>
  </si>
  <si>
    <t xml:space="preserve">20251211浩森-細清報價單回傳.md</t>
  </si>
  <si>
    <t xml:space="preserve">浩森專業清潔工作室</t>
  </si>
  <si>
    <t xml:space="preserve">2025-12-08</t>
  </si>
  <si>
    <t xml:space="preserve">總報價金額72,000，原文括註含稅</t>
  </si>
  <si>
    <t xml:space="preserve">原文L9、L15：日期2025.12/8；交屋細清＋公設清潔總報價72,000（含稅）。</t>
  </si>
  <si>
    <t xml:space="preserve">未拆列未稅額與稅額，僅保留文件明載含稅總額。</t>
  </si>
  <si>
    <t xml:space="preserve">20251222TOTO-衛浴報價單回傳.md</t>
  </si>
  <si>
    <t xml:space="preserve">指定保留版／累計最新版</t>
  </si>
  <si>
    <t xml:space="preserve">小計1,980,018＋稅99,001＝累計總計2,079,019</t>
  </si>
  <si>
    <t xml:space="preserve">原文L10表格末段：小計1,980,018、稅額99,001、總計2,079,019。</t>
  </si>
  <si>
    <t xml:space="preserve">依使用者決策，TOTO只保留本檔累計2,079,019含稅；20251203及更舊版本不計。</t>
  </si>
  <si>
    <t xml:space="preserve">20260108塑豐-一樓追加報價單回傳.md</t>
  </si>
  <si>
    <t xml:space="preserve">報價單號011501070001；檔名回傳版（2026-01-08）</t>
  </si>
  <si>
    <t xml:space="preserve">2026-01-07</t>
  </si>
  <si>
    <t xml:space="preserve">含稅（未稅254,829＋營業稅12,741）</t>
  </si>
  <si>
    <t xml:space="preserve">表末明載合計254,829、營業稅12,741、總計267,570；總金額大寫貳拾陸萬柒仟伍佰柒拾元整。</t>
  </si>
  <si>
    <t xml:space="preserve">1F追加，非原門窗主約重複。</t>
  </si>
  <si>
    <t xml:space="preserve">20260127 全鑫-採光罩.md</t>
  </si>
  <si>
    <t xml:space="preserve">全鑫企業社</t>
  </si>
  <si>
    <t xml:space="preserve">議價後版</t>
  </si>
  <si>
    <t xml:space="preserve">2025-12-27（另有115.1.29手寫日期）</t>
  </si>
  <si>
    <t xml:space="preserve">未稅（原合計648,400明載未稅；議價後620,000承接同一報價稅別）</t>
  </si>
  <si>
    <t xml:space="preserve">表內明載「合計$648400未稅」及「議價後620000」。</t>
  </si>
  <si>
    <t xml:space="preserve">採議價後金額，不採原報價648,400。</t>
  </si>
  <si>
    <t xml:space="preserve">20260212 塑豐 瓦斯鋁格柵追加.md</t>
  </si>
  <si>
    <t xml:space="preserve">追加報價；內容實為1F電箱鋁格柵</t>
  </si>
  <si>
    <t xml:space="preserve">含稅（未稅100,500＋稅5,025）</t>
  </si>
  <si>
    <t xml:space="preserve">表內明載小計100,500、稅金5,025、總計105,525。</t>
  </si>
  <si>
    <t xml:space="preserve">檔名稱瓦斯鋁格柵但原文位置為1F電箱；應依原文歸類。</t>
  </si>
  <si>
    <t xml:space="preserve">20260225 太格 客變木地板.md</t>
  </si>
  <si>
    <t xml:space="preserve">墨砌實業有限公司／SEmi太格</t>
  </si>
  <si>
    <t xml:space="preserve">3戶住宅客廳客變報價</t>
  </si>
  <si>
    <t xml:space="preserve">2026-02-25</t>
  </si>
  <si>
    <t xml:space="preserve">含稅（未稅79,450＋5%營業稅3,973）</t>
  </si>
  <si>
    <t xml:space="preserve">報價表明載合計79,450、5%營業稅3,973、總計83,423。</t>
  </si>
  <si>
    <t xml:space="preserve">附註稱數量實做實算。</t>
  </si>
  <si>
    <t xml:space="preserve">20260312 公設電箱木作封牆.md</t>
  </si>
  <si>
    <t xml:space="preserve">山城裝潢工程行</t>
  </si>
  <si>
    <t xml:space="preserve">檔名2026-03-12收存／回傳版</t>
  </si>
  <si>
    <t xml:space="preserve">2026-03-04</t>
  </si>
  <si>
    <t xml:space="preserve">含稅（未稅46,450＋稅2,323）</t>
  </si>
  <si>
    <t xml:space="preserve">表末明載合計金額46,450、稅金2,323、應收總額48,773。</t>
  </si>
  <si>
    <t xml:space="preserve">原文日期與檔名日期不同，採原文日期為文件日期。</t>
  </si>
  <si>
    <t xml:space="preserve">20260317 全鑫 採光罩玻璃.md</t>
  </si>
  <si>
    <t xml:space="preserve">2026-03-11</t>
  </si>
  <si>
    <t xml:space="preserve">表內明載合計126,800、議價118,000未稅。</t>
  </si>
  <si>
    <t xml:space="preserve">採議價後金額。</t>
  </si>
  <si>
    <t xml:space="preserve">20260317 全鑫 浪板更換.md</t>
  </si>
  <si>
    <t xml:space="preserve">表內明載合計41,500未稅、議價35,000未稅，總額欄亦載35,000未稅。</t>
  </si>
  <si>
    <t xml:space="preserve">20260317 塑豐 瓦斯錶格柵.md</t>
  </si>
  <si>
    <t xml:space="preserve">1F瓦斯表追加報價</t>
  </si>
  <si>
    <t xml:space="preserve">未載明</t>
  </si>
  <si>
    <t xml:space="preserve">表內小計及複價均明載63,180，文件未見營業稅或含稅文字。</t>
  </si>
  <si>
    <t xml:space="preserve">應確認63,180是否須另加5%營業稅。</t>
  </si>
  <si>
    <t xml:space="preserve">20260319 太子種苗 狼尾草.md</t>
  </si>
  <si>
    <t xml:space="preserve">太子種苗／原文抬頭不可辨</t>
  </si>
  <si>
    <t xml:space="preserve">簽回版</t>
  </si>
  <si>
    <t xml:space="preserve">2026-03-18</t>
  </si>
  <si>
    <t xml:space="preserve">含稅（合計31,000＋稅1,550）</t>
  </si>
  <si>
    <t xml:space="preserve">表末明載合計31,000、稅金1,550、總計32,550。</t>
  </si>
  <si>
    <t xml:space="preserve">20260401 全鑫 圍籬.md</t>
  </si>
  <si>
    <t xml:space="preserve">表列總價37,800；另有手寫議價18,000</t>
  </si>
  <si>
    <t xml:space="preserve">2026-03-26</t>
  </si>
  <si>
    <t xml:space="preserve">手寫議價18,000，承接原報價未稅口徑</t>
  </si>
  <si>
    <t xml:space="preserve">文件明載「總價37,800未稅」，頁首手寫「仁普議價18,000」。</t>
  </si>
  <si>
    <t xml:space="preserve">暫採最新手寫議價18,000；須確認議價範圍是否為全案及是否未稅。</t>
  </si>
  <si>
    <t xml:space="preserve">20260402花台磚.md</t>
  </si>
  <si>
    <t xml:space="preserve">二擇一初估報價（未見簽認）</t>
  </si>
  <si>
    <t xml:space="preserve">原文僅列百歲磚一式21,000未稅、切面磚一式22,000未稅，要求二擇一，且實做實算；未明載已選方案或單一總額。</t>
  </si>
  <si>
    <t xml:space="preserve">與20260408同內容之較早／未簽版本，不重複計入。</t>
  </si>
  <si>
    <t xml:space="preserve">20260408 智慧城 花台磚.md</t>
  </si>
  <si>
    <t xml:space="preserve">簽回版；二擇一初估報價</t>
  </si>
  <si>
    <t xml:space="preserve">原文僅列百歲磚一式21,000未稅、切面磚一式22,000未稅，兩種磚二擇一且實做實算；未明載選定方案或總額。</t>
  </si>
  <si>
    <t xml:space="preserve">雖有簽章影像，仍須確認選材與結算數量後才能計入。</t>
  </si>
  <si>
    <t xml:space="preserve">20260422 工務所裝潢合約.報價.md</t>
  </si>
  <si>
    <t xml:space="preserve">茗匠有限公司／茗匠空間設計</t>
  </si>
  <si>
    <t xml:space="preserve">合約＋附件估價單；合約總價欄空白</t>
  </si>
  <si>
    <t xml:space="preserve">2026-04-15</t>
  </si>
  <si>
    <t xml:space="preserve">附件估價單含稅總價691,373，手寫議價690,000（陸拾玖萬元整）</t>
  </si>
  <si>
    <t xml:space="preserve">附件表末明載「含稅總價691,373」，旁有手寫「690,000／陸拾玖萬元整」；分期69,000+210,000+210,000+180,000+21,000=690,000。</t>
  </si>
  <si>
    <t xml:space="preserve">採簽約附件的手寫議價後含稅總額。</t>
  </si>
  <si>
    <t xml:space="preserve">20260424 全鑫追加工程_人孔蓋、後側採光罩延伸_.md</t>
  </si>
  <si>
    <t xml:space="preserve">追加工程報價</t>
  </si>
  <si>
    <t xml:space="preserve">文件載125年4月14日（疑為115年／2026年）</t>
  </si>
  <si>
    <t xml:space="preserve">表內及總額欄均明載14,500未稅。</t>
  </si>
  <si>
    <t xml:space="preserve">日期民國125年疑誤植，但不影響金額稽核。</t>
  </si>
  <si>
    <t xml:space="preserve">20260430 塑豐 門扇改高度.md</t>
  </si>
  <si>
    <t xml:space="preserve">追加報價；表內同時出現12,000及6,000含稅／議價註記</t>
  </si>
  <si>
    <t xml:space="preserve">2026-04-29</t>
  </si>
  <si>
    <t xml:space="preserve">含稅（表內6,000旁明載含稅）</t>
  </si>
  <si>
    <t xml:space="preserve">12片×1,000複價12,000；下一列500×12＝6,000並標『含稅』，另有『議價』註記。</t>
  </si>
  <si>
    <t xml:space="preserve">暫採議價／含稅6,000；須以清晰簽認原圖確認。</t>
  </si>
  <si>
    <t xml:space="preserve">20260517 三發圍籬網.md</t>
  </si>
  <si>
    <t xml:space="preserve">三發製網股份有限公司</t>
  </si>
  <si>
    <t xml:space="preserve">不含運費舊版</t>
  </si>
  <si>
    <t xml:space="preserve">2026-05-07</t>
  </si>
  <si>
    <t xml:space="preserve">含稅（未稅38,150；含稅40,058）</t>
  </si>
  <si>
    <t xml:space="preserve">表末明載小計未稅38,150、小計含稅40,058，且不含運費。</t>
  </si>
  <si>
    <t xml:space="preserve">依使用者決策，由20260603含運費新版取代，不重複計入。</t>
  </si>
  <si>
    <t xml:space="preserve">20260520 7F辦公室.md</t>
  </si>
  <si>
    <t xml:space="preserve">班朋寶閣有限公司</t>
  </si>
  <si>
    <t xml:space="preserve">企業採購專案優惠版</t>
  </si>
  <si>
    <t xml:space="preserve">含稅（原總計159,348；優惠總價159,000含稅）</t>
  </si>
  <si>
    <t xml:space="preserve">表末明載合計151,760、營業稅7,588、總計159,348，並載企業採購優惠總價159,000含稅。</t>
  </si>
  <si>
    <t xml:space="preserve">採優惠總價。</t>
  </si>
  <si>
    <t xml:space="preserve">20260603 三發圍籬網 加運費.md</t>
  </si>
  <si>
    <t xml:space="preserve">加運費最新版</t>
  </si>
  <si>
    <t xml:space="preserve">2026-05-26</t>
  </si>
  <si>
    <t xml:space="preserve">含稅（未稅42,650；含稅44,783）</t>
  </si>
  <si>
    <t xml:space="preserve">表內新增運費4,500，明載小計未稅42,650、小計含稅44,783。</t>
  </si>
  <si>
    <t xml:space="preserve">依使用者決策，三發只保留本版44,783含稅。</t>
  </si>
  <si>
    <t xml:space="preserve">信興水電工程標單.md</t>
  </si>
  <si>
    <t xml:space="preserve">信興水電</t>
  </si>
  <si>
    <t xml:space="preserve">工程標單；與宇勝水電追加分開</t>
  </si>
  <si>
    <t xml:space="preserve">含稅（未稅10,000,000＋稅500,000）</t>
  </si>
  <si>
    <t xml:space="preserve">標單明載小計9,523,808、管理利潤476,192、未稅合計10,000,000、稅金500,000、含稅合計10,500,000。</t>
  </si>
  <si>
    <t xml:space="preserve">依使用者決策，信興10,500,000含稅與宇勝2,600,000含稅分開並列。</t>
  </si>
  <si>
    <t xml:space="preserve">台灣菊水合約.md</t>
  </si>
  <si>
    <t xml:space="preserve">台灣菊水股份有限公司</t>
  </si>
  <si>
    <t xml:space="preserve">舊合約／報價單TKSQ20240814001</t>
  </si>
  <si>
    <t xml:space="preserve">2024-11-21（附件報價2024-08-14）</t>
  </si>
  <si>
    <t xml:space="preserve">未稅（不含5%營業稅）</t>
  </si>
  <si>
    <t xml:space="preserve">合約第二條及附件均明載616,950未稅，附件另載不含5%營業稅。</t>
  </si>
  <si>
    <t xml:space="preserve">已有2025-10-30菊水利諾回傳新版（656,775）時，本舊版不重複計入；保留版本稽核。</t>
  </si>
  <si>
    <t xml:space="preserve">向上A戶-S6 修改20250520.xls</t>
  </si>
  <si>
    <t xml:space="preserve">曜陽廚具衛浴公司</t>
  </si>
  <si>
    <t xml:space="preserve">A戶S6修改版；6套</t>
  </si>
  <si>
    <t xml:space="preserve">2025-05-20（依檔名；工作表日期儲存值45797）</t>
  </si>
  <si>
    <t xml:space="preserve">189,000含稅×6套</t>
  </si>
  <si>
    <t xml:space="preserve">XLS第39列：「180,000*稅金:189,000元*6套=1,134,000」。</t>
  </si>
  <si>
    <t xml:space="preserve">六套A戶廚具總額。</t>
  </si>
  <si>
    <t xml:space="preserve">向上B戶-S6 修20250520.xls</t>
  </si>
  <si>
    <t xml:space="preserve">B戶S6修改版；4套</t>
  </si>
  <si>
    <t xml:space="preserve">159,600含稅×4套（其中1套後續客變以差額調整）</t>
  </si>
  <si>
    <t xml:space="preserve">XLS第38列：「152,000稅金:159600元*4套=638,400元」。</t>
  </si>
  <si>
    <t xml:space="preserve">B戶四套基礎總額；另列B戶3樓客變差額。</t>
  </si>
  <si>
    <t xml:space="preserve">向上B戶-S6 修改B戶3樓 客變20250520.xls</t>
  </si>
  <si>
    <t xml:space="preserve">B戶3樓客變版；單套</t>
  </si>
  <si>
    <t xml:space="preserve">客變後172,200－原B戶單套159,600＝追加差額12,600</t>
  </si>
  <si>
    <t xml:space="preserve">客變XLS第40列「164,000*稅金:172,200元」；原B戶單套含稅159,600。</t>
  </si>
  <si>
    <t xml:space="preserve">僅加計客變差額，避免將同一套廚具重複計入。</t>
  </si>
  <si>
    <t xml:space="preserve">富謙工程合約 _泥座_.md</t>
  </si>
  <si>
    <t xml:space="preserve">富謙工程開發企業社</t>
  </si>
  <si>
    <t xml:space="preserve">實作實算泥作工程合約</t>
  </si>
  <si>
    <t xml:space="preserve">2024-09-01</t>
  </si>
  <si>
    <t xml:space="preserve">含稅單價</t>
  </si>
  <si>
    <t xml:space="preserve">第四條僅明載實作實算、附件單價含加值營業稅；預算表為各項單價與預估數量，未明載單一合約總額。</t>
  </si>
  <si>
    <t xml:space="preserve">須取得結算數量或簽認總額後才能計入。</t>
  </si>
  <si>
    <t xml:space="preserve">崇友實業合約_升降設備安裝承攬合約書_.md</t>
  </si>
  <si>
    <t xml:space="preserve">崇友實業股份有限公司新竹分公司</t>
  </si>
  <si>
    <t xml:space="preserve">安裝承攬合約（獨立於買賣合約）</t>
  </si>
  <si>
    <t xml:space="preserve">含加值型營業稅</t>
  </si>
  <si>
    <t xml:space="preserve">第三條明載安裝承攬報酬總額381,000含加值型營業稅。</t>
  </si>
  <si>
    <t xml:space="preserve">依使用者決策，與買賣889,000分開並列。</t>
  </si>
  <si>
    <t xml:space="preserve">崇友實業合約_升降設備買賣合約書_.md</t>
  </si>
  <si>
    <t xml:space="preserve">升降設備買賣合約（獨立於安裝合約）</t>
  </si>
  <si>
    <t xml:space="preserve">第二條明載總價款889,000含加值型營業稅。</t>
  </si>
  <si>
    <t xml:space="preserve">依使用者決策，與安裝381,000分開並列。</t>
  </si>
  <si>
    <t xml:space="preserve">工程合約-補充協議書.md</t>
  </si>
  <si>
    <t xml:space="preserve">永豐餘工程股份有限公司</t>
  </si>
  <si>
    <t xml:space="preserve">主約付款比例修正版補充協議</t>
  </si>
  <si>
    <t xml:space="preserve">2024-02-27</t>
  </si>
  <si>
    <t xml:space="preserve">沿用主約含稅總額</t>
  </si>
  <si>
    <t xml:space="preserve">協議僅變更付款進度，附件仍以24,150,000計算，未新增工程總額。</t>
  </si>
  <si>
    <t xml:space="preserve">依使用者決策，補充協議無新增總額，不重複計入。</t>
  </si>
  <si>
    <t xml:space="preserve">暖風機圖面.md</t>
  </si>
  <si>
    <t xml:space="preserve">圖面</t>
  </si>
  <si>
    <t xml:space="preserve">不適用</t>
  </si>
  <si>
    <t xml:space="preserve">文件僅有圖面影像及1至4編號，未明載報價或總額。</t>
  </si>
  <si>
    <t xml:space="preserve">非計價文件。</t>
  </si>
  <si>
    <t xml:space="preserve">永豐餘工程合約.md</t>
  </si>
  <si>
    <t xml:space="preserve">結構體工程主約正本</t>
  </si>
  <si>
    <t xml:space="preserve">2023-12-01</t>
  </si>
  <si>
    <t xml:space="preserve">第五條明載假設、土方安全維護、主體結構、化糞池等總價24,150,000含稅；付款比例表亦以24,150,000為基礎。</t>
  </si>
  <si>
    <t xml:space="preserve">附件標單總計24,157,257與主約文字差7,257；依使用者決策及主約條文採24,150,000含稅。</t>
  </si>
  <si>
    <t xml:space="preserve">磁磚廠商預抓費用.jpg</t>
  </si>
  <si>
    <t xml:space="preserve">預抓費用表</t>
  </si>
  <si>
    <t xml:space="preserve">圖片12項材料費用表底部明載總計1,036,530；無廠商、日期、稅額或含／未稅文字。</t>
  </si>
  <si>
    <t xml:space="preserve">檔名明示『預抓費用』，非正式報價／合約，不計入發包總額。</t>
  </si>
  <si>
    <t xml:space="preserve">興吉發工程合約 _隔音墊_.md</t>
  </si>
  <si>
    <t xml:space="preserve">興吉發科技建材有限公司</t>
  </si>
  <si>
    <t xml:space="preserve">正式合約＋報價單No.11307005</t>
  </si>
  <si>
    <t xml:space="preserve">2024-08-06（附件報價2024-07-19）</t>
  </si>
  <si>
    <t xml:space="preserve">含稅（未稅約399,998；含稅約419,997）</t>
  </si>
  <si>
    <t xml:space="preserve">附件明載未稅總金額約399,998、含稅總金額約419,997；合約付款30%＋70%亦合計419,997。</t>
  </si>
  <si>
    <t xml:space="preserve">實做實算，最終結算仍可能依實際面積調整。</t>
  </si>
  <si>
    <t xml:space="preserve">電梯.md</t>
  </si>
  <si>
    <t xml:space="preserve">崇友實業股份有限公司</t>
  </si>
  <si>
    <t xml:space="preserve">RL-3085升降機選色表</t>
  </si>
  <si>
    <t xml:space="preserve">2024-02-23</t>
  </si>
  <si>
    <t xml:space="preserve">文件為電梯規格與選色表，未明載價款。</t>
  </si>
  <si>
    <t xml:space="preserve">金額已由崇友買賣及安裝兩份合約計入，不重複計。</t>
  </si>
  <si>
    <t xml:space="preserve">稅別</t>
  </si>
  <si>
    <t xml:space="preserve">採列／排除依據</t>
  </si>
  <si>
    <t xml:space="preserve">合計</t>
  </si>
  <si>
    <t xml:space="preserve">保留版本</t>
  </si>
  <si>
    <t xml:space="preserve">採列金額</t>
  </si>
  <si>
    <t xml:space="preserve">排除／處理理由</t>
  </si>
  <si>
    <t xml:space="preserve">TOTO衛浴</t>
  </si>
  <si>
    <t xml:space="preserve">2,079,019 含稅</t>
  </si>
  <si>
    <t xml:space="preserve">排除所有舊版／累計版</t>
  </si>
  <si>
    <t xml:space="preserve">菊水利諾</t>
  </si>
  <si>
    <t xml:space="preserve">656,775 未稅</t>
  </si>
  <si>
    <t xml:space="preserve">排除台灣菊水舊合約616,950</t>
  </si>
  <si>
    <t xml:space="preserve">塑豐門類</t>
  </si>
  <si>
    <t xml:space="preserve">20240620塑豐無空格檔＋20241016改先立</t>
  </si>
  <si>
    <t xml:space="preserve">1,845,588 含稅</t>
  </si>
  <si>
    <t xml:space="preserve">原三項1,550,000＋改先立295,588；排除重複有空格檔與續更</t>
  </si>
  <si>
    <t xml:space="preserve">淋浴拉門</t>
  </si>
  <si>
    <t xml:space="preserve">264,600 含稅</t>
  </si>
  <si>
    <t xml:space="preserve">排除Derek白框及立瑄競價方案</t>
  </si>
  <si>
    <t xml:space="preserve">20241004順靖版次3</t>
  </si>
  <si>
    <t xml:space="preserve">690,000 未稅</t>
  </si>
  <si>
    <t xml:space="preserve">排除順靖版次2及塑豐競價方案</t>
  </si>
  <si>
    <t xml:space="preserve">塑豐格柵</t>
  </si>
  <si>
    <t xml:space="preserve">20241126最新版＋20250220追加</t>
  </si>
  <si>
    <t xml:space="preserve">1,205,247 含稅＋60,918稅別未明</t>
  </si>
  <si>
    <t xml:space="preserve">排除20240726方案A/B</t>
  </si>
  <si>
    <t xml:space="preserve">楠弘柏加</t>
  </si>
  <si>
    <t xml:space="preserve">111,650 含稅</t>
  </si>
  <si>
    <t xml:space="preserve">同報價單號舊版96,800排除；含安裝費14,850</t>
  </si>
  <si>
    <t xml:space="preserve">長陽鐵捲門</t>
  </si>
  <si>
    <t xml:space="preserve">20251204回傳版</t>
  </si>
  <si>
    <t xml:space="preserve">95,000 含稅</t>
  </si>
  <si>
    <t xml:space="preserve">排除20251121及20251203重複版</t>
  </si>
  <si>
    <t xml:space="preserve">三發圍籬網</t>
  </si>
  <si>
    <t xml:space="preserve">20260603含運新版</t>
  </si>
  <si>
    <t xml:space="preserve">44,783 含稅</t>
  </si>
  <si>
    <t xml:space="preserve">排除20260517不含運舊版</t>
  </si>
  <si>
    <t xml:space="preserve">崇友電梯</t>
  </si>
  <si>
    <t xml:space="preserve">買賣合約＋安裝承攬</t>
  </si>
  <si>
    <t xml:space="preserve">889,000＋381,000 含稅</t>
  </si>
  <si>
    <t xml:space="preserve">標的不同，分開並列</t>
  </si>
  <si>
    <t xml:space="preserve">水電</t>
  </si>
  <si>
    <t xml:space="preserve">信興＋宇勝</t>
  </si>
  <si>
    <t xml:space="preserve">10,500,000＋2,600,000 含稅</t>
  </si>
  <si>
    <t xml:space="preserve">不同發包，分開並列</t>
  </si>
  <si>
    <t xml:space="preserve">曜陽廚具</t>
  </si>
  <si>
    <t xml:space="preserve">A戶6套＋B戶4套＋B3客變差額</t>
  </si>
  <si>
    <t xml:space="preserve">1,134,000＋638,400＋12,600 含稅</t>
  </si>
  <si>
    <t xml:space="preserve">B3僅計客變差額，避免重複一套</t>
  </si>
  <si>
    <t xml:space="preserve">永豐餘</t>
  </si>
  <si>
    <t xml:space="preserve">主約</t>
  </si>
  <si>
    <t xml:space="preserve">24,150,000 含稅</t>
  </si>
  <si>
    <t xml:space="preserve">補充協議只改付款比例，不重複</t>
  </si>
  <si>
    <t xml:space="preserve">協力建材</t>
  </si>
  <si>
    <t xml:space="preserve">20240812最新版單價表</t>
  </si>
  <si>
    <t xml:space="preserve">無固定總額</t>
  </si>
  <si>
    <t xml:space="preserve">保留單價，不納入固定總額</t>
  </si>
</sst>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3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30" customWidth="1"/>
    <col min="2" max="2" width="18" customWidth="1"/>
    <col min="3" max="3" width="48" customWidth="1"/>
  </cols>
  <sheetData>
    <row r="1">
      <c r="A1" t="s" s="4">
        <v>0</v>
      </c>
    </row>
    <row r="2">
      <c r="A2" t="s" s="0">
        <v>1</v>
      </c>
      <c r="B2" t="s" s="0">
        <v>2</v>
      </c>
      <c r="C2" t="s" s="0">
        <v>3</v>
      </c>
    </row>
    <row r="3">
      <c r="A3" t="s" s="0">
        <v>4</v>
      </c>
      <c r="B3" s="6">
        <f>COUNTA('01_逐份核對'!A2:A94)</f>
        <v/>
      </c>
      <c r="C3" t="s" s="0">
        <v>5</v>
      </c>
    </row>
    <row r="4">
      <c r="A4" t="s" s="0">
        <v>6</v>
      </c>
      <c r="B4" s="6">
        <f>COUNTIF('01_逐份核對'!M2:M94,"計入")</f>
        <v/>
      </c>
      <c r="C4" t="s" s="0">
        <v>7</v>
      </c>
    </row>
    <row r="5">
      <c r="A5" t="s" s="0">
        <v>8</v>
      </c>
      <c r="B5" s="6">
        <f>SUM('01_逐份核對'!N2:N94)</f>
        <v/>
      </c>
      <c r="C5" t="s" s="0">
        <v>9</v>
      </c>
    </row>
    <row r="6">
      <c r="A6" t="s" s="0">
        <v>10</v>
      </c>
      <c r="B6" s="6">
        <f>SUM('01_逐份核對'!O2:O94)</f>
        <v/>
      </c>
      <c r="C6" t="s" s="0">
        <v>11</v>
      </c>
    </row>
    <row r="7">
      <c r="A7" t="s" s="0">
        <v>12</v>
      </c>
      <c r="B7" s="6">
        <f>COUNTIF('01_逐份核對'!M2:M94,"待確認*")</f>
        <v/>
      </c>
      <c r="C7" t="s" s="0">
        <v>13</v>
      </c>
    </row>
    <row r="8">
      <c r="A8" t="s" s="0">
        <v>14</v>
      </c>
      <c r="B8" s="6">
        <f>COUNTIFS('01_逐份核對'!M2:M94,"計入",'01_逐份核對'!J2:J94,"未稅")</f>
        <v/>
      </c>
      <c r="C8" t="s" s="0">
        <v>15</v>
      </c>
    </row>
    <row r="9">
      <c r="A9" t="s" s="0">
        <v>16</v>
      </c>
      <c r="B9" s="6">
        <f>SUMIFS('01_逐份核對'!K2:K94,'01_逐份核對'!M2:M94,"計入",'01_逐份核對'!J2:J94,"未明")</f>
        <v/>
      </c>
      <c r="C9" t="s" s="0">
        <v>17</v>
      </c>
    </row>
    <row r="10">
      <c r="A10" t="s" s="0">
        <v>18</v>
      </c>
      <c r="B10" s="5">
        <v>52539974</v>
      </c>
      <c r="C10" t="s" s="0">
        <v>19</v>
      </c>
    </row>
    <row r="11">
      <c r="A11" t="s" s="0">
        <v>20</v>
      </c>
      <c r="B11" s="6">
        <f>B5-B10</f>
        <v/>
      </c>
      <c r="C11" t="s" s="0">
        <v>21</v>
      </c>
    </row>
    <row r="12">
      <c r="A12" t="s" s="0">
        <v>22</v>
      </c>
      <c r="B12" s="6">
        <f>B6+ROUND(B9*5%,0)</f>
        <v/>
      </c>
      <c r="C12" t="s" s="0">
        <v>23</v>
      </c>
    </row>
    <row r="13"/>
    <row r="14">
      <c r="A14" t="s" s="0">
        <v>24</v>
      </c>
      <c r="B14" t="s" s="0">
        <v>25</v>
      </c>
      <c r="C14" t="s" s="0">
        <v>26</v>
      </c>
    </row>
    <row r="15">
      <c r="A15" t="s" s="0">
        <v>27</v>
      </c>
      <c r="B15" s="6">
        <f>SUMIFS('01_逐份核對'!N$2:N$94,'01_逐份核對'!C$2:C$94,A15)</f>
        <v/>
      </c>
      <c r="C15" s="0">
        <f>REPT("█",ROUND(B15/MAX(B$15:B$20)*20,0))</f>
        <v/>
      </c>
    </row>
    <row r="16">
      <c r="A16" t="s" s="0">
        <v>28</v>
      </c>
      <c r="B16" s="6">
        <f>SUMIFS('01_逐份核對'!N$2:N$94,'01_逐份核對'!C$2:C$94,A16)</f>
        <v/>
      </c>
      <c r="C16" s="0">
        <f>REPT("█",ROUND(B16/MAX(B$15:B$20)*20,0))</f>
        <v/>
      </c>
    </row>
    <row r="17">
      <c r="A17" t="s" s="0">
        <v>29</v>
      </c>
      <c r="B17" s="6">
        <f>SUMIFS('01_逐份核對'!N$2:N$94,'01_逐份核對'!C$2:C$94,A17)</f>
        <v/>
      </c>
      <c r="C17" s="0">
        <f>REPT("█",ROUND(B17/MAX(B$15:B$20)*20,0))</f>
        <v/>
      </c>
    </row>
    <row r="18">
      <c r="A18" t="s" s="0">
        <v>30</v>
      </c>
      <c r="B18" s="6">
        <f>SUMIFS('01_逐份核對'!N$2:N$94,'01_逐份核對'!C$2:C$94,A18)</f>
        <v/>
      </c>
      <c r="C18" s="0">
        <f>REPT("█",ROUND(B18/MAX(B$15:B$20)*20,0))</f>
        <v/>
      </c>
    </row>
    <row r="19">
      <c r="A19" t="s" s="0">
        <v>31</v>
      </c>
      <c r="B19" s="6">
        <f>SUMIFS('01_逐份核對'!N$2:N$94,'01_逐份核對'!C$2:C$94,A19)</f>
        <v/>
      </c>
      <c r="C19" s="0">
        <f>REPT("█",ROUND(B19/MAX(B$15:B$20)*20,0))</f>
        <v/>
      </c>
    </row>
    <row r="20">
      <c r="A20" t="s" s="0">
        <v>32</v>
      </c>
      <c r="B20" s="6">
        <f>SUMIFS('01_逐份核對'!N$2:N$94,'01_逐份核對'!C$2:C$94,A20)</f>
        <v/>
      </c>
      <c r="C20" s="0">
        <f>REPT("█",ROUND(B20/MAX(B$15:B$20)*20,0))</f>
        <v/>
      </c>
    </row>
  </sheetData>
  <mergeCells count="1">
    <mergeCell ref="A1:C1"/>
  </mergeCells>
  <pageMargins left="0.3" right="0.3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38" customWidth="1"/>
    <col min="2" max="2" width="24" customWidth="1"/>
    <col min="3" max="3" width="18" customWidth="1"/>
    <col min="4" max="4" width="28" customWidth="1"/>
    <col min="5" max="5" width="14" customWidth="1"/>
    <col min="6" max="6" width="14" customWidth="1"/>
    <col min="7" max="7" width="14" customWidth="1"/>
    <col min="8" max="8" width="14" customWidth="1"/>
    <col min="9" max="9" width="24" customWidth="1"/>
    <col min="10" max="10" width="12" customWidth="1"/>
    <col min="11" max="11" width="14" customWidth="1"/>
    <col min="12" max="12" width="14" customWidth="1"/>
    <col min="13" max="13" width="22" customWidth="1"/>
    <col min="14" max="14" width="14" customWidth="1"/>
    <col min="15" max="15" width="14" customWidth="1"/>
    <col min="16" max="16" width="10" customWidth="1"/>
    <col min="17" max="17" width="25" customWidth="1"/>
    <col min="18" max="18" width="42" customWidth="1"/>
    <col min="19" max="19" width="55" customWidth="1"/>
    <col min="20" max="20" width="55" customWidth="1"/>
  </cols>
  <sheetData>
    <row r="1">
      <c r="A1" t="s" s="4">
        <v>33</v>
      </c>
      <c r="B1" t="s" s="4">
        <v>34</v>
      </c>
      <c r="C1" t="s" s="4">
        <v>24</v>
      </c>
      <c r="D1" t="s" s="4">
        <v>35</v>
      </c>
      <c r="E1" t="s" s="4">
        <v>36</v>
      </c>
      <c r="F1" t="s" s="4">
        <v>37</v>
      </c>
      <c r="G1" t="s" s="4">
        <v>38</v>
      </c>
      <c r="H1" t="s" s="4">
        <v>39</v>
      </c>
      <c r="I1" t="s" s="4">
        <v>40</v>
      </c>
      <c r="J1" t="s" s="4">
        <v>41</v>
      </c>
      <c r="K1" t="s" s="4">
        <v>42</v>
      </c>
      <c r="L1" t="s" s="4">
        <v>15</v>
      </c>
      <c r="M1" t="s" s="4">
        <v>43</v>
      </c>
      <c r="N1" t="s" s="4">
        <v>44</v>
      </c>
      <c r="O1" t="s" s="4">
        <v>45</v>
      </c>
      <c r="P1" t="s" s="4">
        <v>46</v>
      </c>
      <c r="Q1" t="s" s="4">
        <v>47</v>
      </c>
      <c r="R1" t="s" s="4">
        <v>48</v>
      </c>
      <c r="S1" t="s" s="4">
        <v>49</v>
      </c>
      <c r="T1" t="s" s="4">
        <v>50</v>
      </c>
    </row>
    <row r="2">
      <c r="A2" t="s" s="0">
        <v>51</v>
      </c>
      <c r="B2" t="s" s="0">
        <v>52</v>
      </c>
      <c r="C2" t="s" s="0">
        <v>29</v>
      </c>
      <c r="D2" t="s" s="0">
        <v>53</v>
      </c>
      <c r="E2" t="s" s="0">
        <v>54</v>
      </c>
      <c r="F2" s="5">
        <v>1400000</v>
      </c>
      <c r="G2" s="5">
        <v>70000</v>
      </c>
      <c r="H2" s="5">
        <v>1470000</v>
      </c>
      <c r="I2" t="s" s="0">
        <v>55</v>
      </c>
      <c r="J2" t="s" s="0">
        <v>55</v>
      </c>
      <c r="K2" s="5">
        <v>1470000</v>
      </c>
      <c r="L2" s="6">
        <f>IF(K2="","",IF(J2="未稅",ROUND(K2*1.05,0),K2))</f>
        <v/>
      </c>
      <c r="M2" t="s" s="0">
        <v>56</v>
      </c>
      <c r="N2" s="6">
        <f>IF(M2="計入",K2,0)</f>
        <v/>
      </c>
      <c r="O2" s="6">
        <f>IF(M2="計入",L2,0)</f>
        <v/>
      </c>
      <c r="P2" t="s" s="0">
        <v>57</v>
      </c>
      <c r="Q2" t="s" s="0">
        <v>58</v>
      </c>
      <c r="R2" t="s" s="0">
        <v>59</v>
      </c>
      <c r="S2" t="s" s="0">
        <v>60</v>
      </c>
      <c r="T2" t="s" s="0">
        <v>61</v>
      </c>
    </row>
    <row r="3">
      <c r="A3" t="s" s="0">
        <v>62</v>
      </c>
      <c r="B3" t="s" s="0">
        <v>63</v>
      </c>
      <c r="C3" t="s" s="0">
        <v>31</v>
      </c>
      <c r="D3" t="s" s="0">
        <v>64</v>
      </c>
      <c r="F3" s="5">
        <v>1533510</v>
      </c>
      <c r="G3" s="5">
        <v>76676</v>
      </c>
      <c r="H3" s="5">
        <v>1610186</v>
      </c>
      <c r="I3" t="s" s="0">
        <v>55</v>
      </c>
      <c r="J3" t="s" s="0">
        <v>55</v>
      </c>
      <c r="L3" s="6">
        <f>IF(K3="","",IF(J3="未稅",ROUND(K3*1.05,0),K3))</f>
        <v/>
      </c>
      <c r="M3" t="s" s="0">
        <v>65</v>
      </c>
      <c r="N3" s="6">
        <f>IF(M3="計入",K3,0)</f>
        <v/>
      </c>
      <c r="O3" s="6">
        <f>IF(M3="計入",L3,0)</f>
        <v/>
      </c>
      <c r="P3" t="s" s="0">
        <v>57</v>
      </c>
      <c r="Q3" t="s" s="0">
        <v>66</v>
      </c>
      <c r="R3" t="s" s="0">
        <v>67</v>
      </c>
      <c r="S3" t="s" s="0">
        <v>68</v>
      </c>
      <c r="T3" t="s" s="0">
        <v>69</v>
      </c>
    </row>
    <row r="4">
      <c r="A4" t="s" s="0">
        <v>70</v>
      </c>
      <c r="B4" t="s" s="0">
        <v>71</v>
      </c>
      <c r="C4" t="s" s="0">
        <v>30</v>
      </c>
      <c r="D4" t="s" s="0">
        <v>72</v>
      </c>
      <c r="E4" t="s" s="0">
        <v>73</v>
      </c>
      <c r="F4" s="5">
        <v>35000</v>
      </c>
      <c r="G4" s="5">
        <v>1750</v>
      </c>
      <c r="H4" s="5">
        <v>36750</v>
      </c>
      <c r="I4" t="s" s="0">
        <v>55</v>
      </c>
      <c r="J4" t="s" s="0">
        <v>55</v>
      </c>
      <c r="K4" s="5">
        <v>36750</v>
      </c>
      <c r="L4" s="6">
        <f>IF(K4="","",IF(J4="未稅",ROUND(K4*1.05,0),K4))</f>
        <v/>
      </c>
      <c r="M4" t="s" s="0">
        <v>56</v>
      </c>
      <c r="N4" s="6">
        <f>IF(M4="計入",K4,0)</f>
        <v/>
      </c>
      <c r="O4" s="6">
        <f>IF(M4="計入",L4,0)</f>
        <v/>
      </c>
      <c r="P4" t="s" s="0">
        <v>57</v>
      </c>
      <c r="Q4" t="s" s="0">
        <v>74</v>
      </c>
      <c r="R4" t="s" s="0">
        <v>75</v>
      </c>
      <c r="S4" t="s" s="0">
        <v>76</v>
      </c>
      <c r="T4" t="s" s="0">
        <v>77</v>
      </c>
    </row>
    <row r="5">
      <c r="A5" t="s" s="0">
        <v>78</v>
      </c>
      <c r="B5" t="s" s="0">
        <v>79</v>
      </c>
      <c r="C5" t="s" s="0">
        <v>32</v>
      </c>
      <c r="D5" t="s" s="0">
        <v>80</v>
      </c>
      <c r="E5" t="s" s="0">
        <v>81</v>
      </c>
      <c r="F5" s="5">
        <v>2378781</v>
      </c>
      <c r="G5" s="5">
        <v>118939</v>
      </c>
      <c r="H5" s="5">
        <v>2497720</v>
      </c>
      <c r="I5" t="s" s="0">
        <v>55</v>
      </c>
      <c r="J5" t="s" s="0">
        <v>55</v>
      </c>
      <c r="K5" s="5">
        <v>2497720</v>
      </c>
      <c r="L5" s="6">
        <f>IF(K5="","",IF(J5="未稅",ROUND(K5*1.05,0),K5))</f>
        <v/>
      </c>
      <c r="M5" t="s" s="0">
        <v>56</v>
      </c>
      <c r="N5" s="6">
        <f>IF(M5="計入",K5,0)</f>
        <v/>
      </c>
      <c r="O5" s="6">
        <f>IF(M5="計入",L5,0)</f>
        <v/>
      </c>
      <c r="P5" t="s" s="0">
        <v>57</v>
      </c>
      <c r="Q5" t="s" s="0">
        <v>82</v>
      </c>
      <c r="R5" t="s" s="0">
        <v>83</v>
      </c>
      <c r="S5" t="s" s="0">
        <v>84</v>
      </c>
      <c r="T5" t="s" s="0">
        <v>85</v>
      </c>
    </row>
    <row r="6">
      <c r="A6" t="s" s="0">
        <v>86</v>
      </c>
      <c r="B6" t="s" s="0">
        <v>63</v>
      </c>
      <c r="C6" t="s" s="0">
        <v>31</v>
      </c>
      <c r="D6" t="s" s="0">
        <v>64</v>
      </c>
      <c r="E6" t="s" s="0">
        <v>87</v>
      </c>
      <c r="F6" s="5">
        <v>1848110</v>
      </c>
      <c r="G6" s="5">
        <v>92406</v>
      </c>
      <c r="H6" s="5">
        <v>1940516</v>
      </c>
      <c r="I6" t="s" s="0">
        <v>55</v>
      </c>
      <c r="J6" t="s" s="0">
        <v>55</v>
      </c>
      <c r="L6" s="6">
        <f>IF(K6="","",IF(J6="未稅",ROUND(K6*1.05,0),K6))</f>
        <v/>
      </c>
      <c r="M6" t="s" s="0">
        <v>65</v>
      </c>
      <c r="N6" s="6">
        <f>IF(M6="計入",K6,0)</f>
        <v/>
      </c>
      <c r="O6" s="6">
        <f>IF(M6="計入",L6,0)</f>
        <v/>
      </c>
      <c r="P6" t="s" s="0">
        <v>57</v>
      </c>
      <c r="Q6" t="s" s="0">
        <v>66</v>
      </c>
      <c r="R6" t="s" s="0">
        <v>67</v>
      </c>
      <c r="S6" t="s" s="0">
        <v>88</v>
      </c>
      <c r="T6" t="s" s="0">
        <v>89</v>
      </c>
    </row>
    <row r="7">
      <c r="A7" t="s" s="0">
        <v>90</v>
      </c>
      <c r="B7" t="s" s="0">
        <v>91</v>
      </c>
      <c r="C7" t="s" s="0">
        <v>31</v>
      </c>
      <c r="D7" t="s" s="0">
        <v>92</v>
      </c>
      <c r="E7" t="s" s="0">
        <v>93</v>
      </c>
      <c r="I7" t="s" s="0">
        <v>94</v>
      </c>
      <c r="J7" t="s" s="0">
        <v>94</v>
      </c>
      <c r="L7" s="6">
        <f>IF(K7="","",IF(J7="未稅",ROUND(K7*1.05,0),K7))</f>
        <v/>
      </c>
      <c r="M7" t="s" s="0">
        <v>95</v>
      </c>
      <c r="N7" s="6">
        <f>IF(M7="計入",K7,0)</f>
        <v/>
      </c>
      <c r="O7" s="6">
        <f>IF(M7="計入",L7,0)</f>
        <v/>
      </c>
      <c r="P7" t="s" s="0">
        <v>57</v>
      </c>
      <c r="Q7" t="s" s="0">
        <v>96</v>
      </c>
      <c r="R7" t="s" s="0">
        <v>97</v>
      </c>
      <c r="S7" t="s" s="0">
        <v>98</v>
      </c>
      <c r="T7" t="s" s="0">
        <v>99</v>
      </c>
    </row>
    <row r="8">
      <c r="A8" t="s" s="0">
        <v>100</v>
      </c>
      <c r="B8" t="s" s="0">
        <v>101</v>
      </c>
      <c r="C8" t="s" s="0">
        <v>27</v>
      </c>
      <c r="D8" t="s" s="0">
        <v>102</v>
      </c>
      <c r="E8" t="s" s="0">
        <v>103</v>
      </c>
      <c r="F8" s="5">
        <v>10620</v>
      </c>
      <c r="H8" s="5">
        <v>10620</v>
      </c>
      <c r="I8" t="s" s="0">
        <v>94</v>
      </c>
      <c r="J8" t="s" s="0">
        <v>94</v>
      </c>
      <c r="K8" s="5">
        <v>10620</v>
      </c>
      <c r="L8" s="6">
        <f>IF(K8="","",IF(J8="未稅",ROUND(K8*1.05,0),K8))</f>
        <v/>
      </c>
      <c r="M8" t="s" s="0">
        <v>56</v>
      </c>
      <c r="N8" s="6">
        <f>IF(M8="計入",K8,0)</f>
        <v/>
      </c>
      <c r="O8" s="6">
        <f>IF(M8="計入",L8,0)</f>
        <v/>
      </c>
      <c r="P8" t="s" s="0">
        <v>57</v>
      </c>
      <c r="Q8" t="s" s="0">
        <v>104</v>
      </c>
      <c r="R8" t="s" s="0">
        <v>105</v>
      </c>
      <c r="S8" t="s" s="0">
        <v>106</v>
      </c>
      <c r="T8" t="s" s="0">
        <v>107</v>
      </c>
    </row>
    <row r="9">
      <c r="A9" t="s" s="0">
        <v>108</v>
      </c>
      <c r="B9" t="s" s="0">
        <v>101</v>
      </c>
      <c r="C9" t="s" s="0">
        <v>32</v>
      </c>
      <c r="D9" t="s" s="0">
        <v>109</v>
      </c>
      <c r="E9" t="s" s="0">
        <v>110</v>
      </c>
      <c r="I9" t="s" s="0">
        <v>94</v>
      </c>
      <c r="J9" t="s" s="0">
        <v>94</v>
      </c>
      <c r="L9" s="6">
        <f>IF(K9="","",IF(J9="未稅",ROUND(K9*1.05,0),K9))</f>
        <v/>
      </c>
      <c r="M9" t="s" s="0">
        <v>95</v>
      </c>
      <c r="N9" s="6">
        <f>IF(M9="計入",K9,0)</f>
        <v/>
      </c>
      <c r="O9" s="6">
        <f>IF(M9="計入",L9,0)</f>
        <v/>
      </c>
      <c r="P9" t="s" s="0">
        <v>57</v>
      </c>
      <c r="Q9" t="s" s="0">
        <v>111</v>
      </c>
      <c r="R9" t="s" s="0">
        <v>112</v>
      </c>
      <c r="S9" t="s" s="0">
        <v>113</v>
      </c>
      <c r="T9" t="s" s="0">
        <v>114</v>
      </c>
    </row>
    <row r="10">
      <c r="A10" t="s" s="0">
        <v>115</v>
      </c>
      <c r="B10" t="s" s="0">
        <v>116</v>
      </c>
      <c r="C10" t="s" s="0">
        <v>27</v>
      </c>
      <c r="D10" t="s" s="0">
        <v>117</v>
      </c>
      <c r="F10" s="5">
        <v>112140</v>
      </c>
      <c r="H10" s="5">
        <v>112140</v>
      </c>
      <c r="I10" t="s" s="0">
        <v>94</v>
      </c>
      <c r="J10" t="s" s="0">
        <v>94</v>
      </c>
      <c r="K10" s="5">
        <v>112140</v>
      </c>
      <c r="L10" s="6">
        <f>IF(K10="","",IF(J10="未稅",ROUND(K10*1.05,0),K10))</f>
        <v/>
      </c>
      <c r="M10" t="s" s="0">
        <v>56</v>
      </c>
      <c r="N10" s="6">
        <f>IF(M10="計入",K10,0)</f>
        <v/>
      </c>
      <c r="O10" s="6">
        <f>IF(M10="計入",L10,0)</f>
        <v/>
      </c>
      <c r="P10" t="s" s="0">
        <v>57</v>
      </c>
      <c r="Q10" t="s" s="0">
        <v>118</v>
      </c>
      <c r="R10" t="s" s="0">
        <v>119</v>
      </c>
      <c r="S10" t="s" s="0">
        <v>120</v>
      </c>
      <c r="T10" t="s" s="0">
        <v>121</v>
      </c>
    </row>
    <row r="11">
      <c r="A11" t="s" s="0">
        <v>122</v>
      </c>
      <c r="B11" t="s" s="0">
        <v>123</v>
      </c>
      <c r="C11" t="s" s="0">
        <v>32</v>
      </c>
      <c r="D11" t="s" s="0">
        <v>124</v>
      </c>
      <c r="F11" s="5">
        <v>340200</v>
      </c>
      <c r="G11" s="5">
        <v>17010</v>
      </c>
      <c r="H11" s="5">
        <v>357210</v>
      </c>
      <c r="I11" t="s" s="0">
        <v>55</v>
      </c>
      <c r="J11" t="s" s="0">
        <v>55</v>
      </c>
      <c r="L11" s="6">
        <f>IF(K11="","",IF(J11="未稅",ROUND(K11*1.05,0),K11))</f>
        <v/>
      </c>
      <c r="M11" t="s" s="0">
        <v>65</v>
      </c>
      <c r="N11" s="6">
        <f>IF(M11="計入",K11,0)</f>
        <v/>
      </c>
      <c r="O11" s="6">
        <f>IF(M11="計入",L11,0)</f>
        <v/>
      </c>
      <c r="P11" t="s" s="0">
        <v>57</v>
      </c>
      <c r="Q11" t="s" s="0">
        <v>125</v>
      </c>
      <c r="R11" t="s" s="0">
        <v>126</v>
      </c>
      <c r="S11" t="s" s="0">
        <v>127</v>
      </c>
      <c r="T11" t="s" s="0">
        <v>128</v>
      </c>
    </row>
    <row r="12">
      <c r="A12" t="s" s="0">
        <v>129</v>
      </c>
      <c r="B12" t="s" s="0">
        <v>123</v>
      </c>
      <c r="C12" t="s" s="0">
        <v>32</v>
      </c>
      <c r="D12" t="s" s="0">
        <v>130</v>
      </c>
      <c r="F12" s="5">
        <v>252000</v>
      </c>
      <c r="G12" s="5">
        <v>12600</v>
      </c>
      <c r="H12" s="5">
        <v>264600</v>
      </c>
      <c r="I12" t="s" s="0">
        <v>55</v>
      </c>
      <c r="J12" t="s" s="0">
        <v>55</v>
      </c>
      <c r="K12" s="5">
        <v>264600</v>
      </c>
      <c r="L12" s="6">
        <f>IF(K12="","",IF(J12="未稅",ROUND(K12*1.05,0),K12))</f>
        <v/>
      </c>
      <c r="M12" t="s" s="0">
        <v>56</v>
      </c>
      <c r="N12" s="6">
        <f>IF(M12="計入",K12,0)</f>
        <v/>
      </c>
      <c r="O12" s="6">
        <f>IF(M12="計入",L12,0)</f>
        <v/>
      </c>
      <c r="P12" t="s" s="0">
        <v>57</v>
      </c>
      <c r="Q12" t="s" s="0">
        <v>125</v>
      </c>
      <c r="R12" t="s" s="0">
        <v>131</v>
      </c>
      <c r="S12" t="s" s="0">
        <v>132</v>
      </c>
      <c r="T12" t="s" s="0">
        <v>133</v>
      </c>
    </row>
    <row r="13">
      <c r="A13" t="s" s="0">
        <v>134</v>
      </c>
      <c r="B13" t="s" s="0">
        <v>135</v>
      </c>
      <c r="C13" t="s" s="0">
        <v>31</v>
      </c>
      <c r="D13" t="s" s="0">
        <v>136</v>
      </c>
      <c r="E13" t="s" s="0">
        <v>137</v>
      </c>
      <c r="I13" t="s" s="0">
        <v>94</v>
      </c>
      <c r="J13" t="s" s="0">
        <v>94</v>
      </c>
      <c r="L13" s="6">
        <f>IF(K13="","",IF(J13="未稅",ROUND(K13*1.05,0),K13))</f>
        <v/>
      </c>
      <c r="M13" t="s" s="0">
        <v>95</v>
      </c>
      <c r="N13" s="6">
        <f>IF(M13="計入",K13,0)</f>
        <v/>
      </c>
      <c r="O13" s="6">
        <f>IF(M13="計入",L13,0)</f>
        <v/>
      </c>
      <c r="P13" t="s" s="0">
        <v>57</v>
      </c>
      <c r="Q13" t="s" s="0">
        <v>138</v>
      </c>
      <c r="R13" t="s" s="0">
        <v>139</v>
      </c>
      <c r="S13" t="s" s="0">
        <v>140</v>
      </c>
      <c r="T13" t="s" s="0">
        <v>141</v>
      </c>
    </row>
    <row r="14">
      <c r="A14" t="s" s="0">
        <v>142</v>
      </c>
      <c r="B14" t="s" s="0">
        <v>143</v>
      </c>
      <c r="C14" t="s" s="0">
        <v>32</v>
      </c>
      <c r="D14" t="s" s="0">
        <v>144</v>
      </c>
      <c r="E14" t="s" s="0">
        <v>137</v>
      </c>
      <c r="F14" s="5">
        <v>1476190</v>
      </c>
      <c r="G14" s="5">
        <v>73810</v>
      </c>
      <c r="H14" s="5">
        <v>1550000</v>
      </c>
      <c r="I14" t="s" s="0">
        <v>55</v>
      </c>
      <c r="J14" t="s" s="0">
        <v>55</v>
      </c>
      <c r="L14" s="6">
        <f>IF(K14="","",IF(J14="未稅",ROUND(K14*1.05,0),K14))</f>
        <v/>
      </c>
      <c r="M14" t="s" s="0">
        <v>95</v>
      </c>
      <c r="N14" s="6">
        <f>IF(M14="計入",K14,0)</f>
        <v/>
      </c>
      <c r="O14" s="6">
        <f>IF(M14="計入",L14,0)</f>
        <v/>
      </c>
      <c r="P14" t="s" s="0">
        <v>145</v>
      </c>
      <c r="Q14" t="s" s="0">
        <v>146</v>
      </c>
      <c r="R14" t="s" s="0">
        <v>147</v>
      </c>
      <c r="S14" t="s" s="0">
        <v>148</v>
      </c>
      <c r="T14" t="s" s="0">
        <v>149</v>
      </c>
    </row>
    <row r="15">
      <c r="A15" t="s" s="0">
        <v>150</v>
      </c>
      <c r="B15" t="s" s="0">
        <v>143</v>
      </c>
      <c r="C15" t="s" s="0">
        <v>32</v>
      </c>
      <c r="D15" t="s" s="0">
        <v>151</v>
      </c>
      <c r="E15" t="s" s="0">
        <v>152</v>
      </c>
      <c r="F15" s="5">
        <v>1757702</v>
      </c>
      <c r="G15" s="5">
        <v>87886</v>
      </c>
      <c r="H15" s="5">
        <v>1845588</v>
      </c>
      <c r="I15" t="s" s="0">
        <v>55</v>
      </c>
      <c r="J15" t="s" s="0">
        <v>55</v>
      </c>
      <c r="K15" s="5">
        <v>1845588</v>
      </c>
      <c r="L15" s="6">
        <f>IF(K15="","",IF(J15="未稅",ROUND(K15*1.05,0),K15))</f>
        <v/>
      </c>
      <c r="M15" t="s" s="0">
        <v>56</v>
      </c>
      <c r="N15" s="6">
        <f>IF(M15="計入",K15,0)</f>
        <v/>
      </c>
      <c r="O15" s="6">
        <f>IF(M15="計入",L15,0)</f>
        <v/>
      </c>
      <c r="P15" t="s" s="0">
        <v>57</v>
      </c>
      <c r="Q15" t="s" s="0">
        <v>146</v>
      </c>
      <c r="R15" t="s" s="0">
        <v>153</v>
      </c>
      <c r="S15" t="s" s="0">
        <v>154</v>
      </c>
      <c r="T15" t="s" s="0">
        <v>155</v>
      </c>
    </row>
    <row r="16">
      <c r="A16" t="s" s="0">
        <v>156</v>
      </c>
      <c r="B16" t="s" s="0">
        <v>157</v>
      </c>
      <c r="C16" t="s" s="0">
        <v>28</v>
      </c>
      <c r="D16" t="s" s="0">
        <v>158</v>
      </c>
      <c r="E16" t="s" s="0">
        <v>159</v>
      </c>
      <c r="F16" s="5">
        <v>132640</v>
      </c>
      <c r="G16" s="5">
        <v>6632</v>
      </c>
      <c r="H16" s="5">
        <v>139272</v>
      </c>
      <c r="I16" t="s" s="0">
        <v>55</v>
      </c>
      <c r="J16" t="s" s="0">
        <v>55</v>
      </c>
      <c r="K16" s="5">
        <v>139272</v>
      </c>
      <c r="L16" s="6">
        <f>IF(K16="","",IF(J16="未稅",ROUND(K16*1.05,0),K16))</f>
        <v/>
      </c>
      <c r="M16" t="s" s="0">
        <v>56</v>
      </c>
      <c r="N16" s="6">
        <f>IF(M16="計入",K16,0)</f>
        <v/>
      </c>
      <c r="O16" s="6">
        <f>IF(M16="計入",L16,0)</f>
        <v/>
      </c>
      <c r="P16" t="s" s="0">
        <v>145</v>
      </c>
      <c r="Q16" t="s" s="0">
        <v>160</v>
      </c>
      <c r="R16" t="s" s="0">
        <v>161</v>
      </c>
      <c r="S16" t="s" s="0">
        <v>162</v>
      </c>
      <c r="T16" t="s" s="0">
        <v>163</v>
      </c>
    </row>
    <row r="17">
      <c r="A17" t="s" s="0">
        <v>164</v>
      </c>
      <c r="B17" t="s" s="0">
        <v>165</v>
      </c>
      <c r="C17" t="s" s="0">
        <v>32</v>
      </c>
      <c r="D17" t="s" s="0">
        <v>166</v>
      </c>
      <c r="F17" s="5">
        <v>198000</v>
      </c>
      <c r="G17" s="5">
        <v>9900</v>
      </c>
      <c r="H17" s="5">
        <v>207900</v>
      </c>
      <c r="I17" t="s" s="0">
        <v>55</v>
      </c>
      <c r="J17" t="s" s="0">
        <v>55</v>
      </c>
      <c r="L17" s="6">
        <f>IF(K17="","",IF(J17="未稅",ROUND(K17*1.05,0),K17))</f>
        <v/>
      </c>
      <c r="M17" t="s" s="0">
        <v>95</v>
      </c>
      <c r="N17" s="6">
        <f>IF(M17="計入",K17,0)</f>
        <v/>
      </c>
      <c r="O17" s="6">
        <f>IF(M17="計入",L17,0)</f>
        <v/>
      </c>
      <c r="P17" t="s" s="0">
        <v>57</v>
      </c>
      <c r="Q17" t="s" s="0">
        <v>125</v>
      </c>
      <c r="R17" t="s" s="0">
        <v>167</v>
      </c>
      <c r="S17" t="s" s="0">
        <v>168</v>
      </c>
      <c r="T17" t="s" s="0">
        <v>169</v>
      </c>
    </row>
    <row r="18">
      <c r="A18" t="s" s="0">
        <v>170</v>
      </c>
      <c r="B18" t="s" s="0">
        <v>143</v>
      </c>
      <c r="C18" t="s" s="0">
        <v>32</v>
      </c>
      <c r="D18" t="s" s="0">
        <v>171</v>
      </c>
      <c r="E18" t="s" s="0">
        <v>172</v>
      </c>
      <c r="I18" t="s" s="0">
        <v>55</v>
      </c>
      <c r="J18" t="s" s="0">
        <v>55</v>
      </c>
      <c r="L18" s="6">
        <f>IF(K18="","",IF(J18="未稅",ROUND(K18*1.05,0),K18))</f>
        <v/>
      </c>
      <c r="M18" t="s" s="0">
        <v>65</v>
      </c>
      <c r="N18" s="6">
        <f>IF(M18="計入",K18,0)</f>
        <v/>
      </c>
      <c r="O18" s="6">
        <f>IF(M18="計入",L18,0)</f>
        <v/>
      </c>
      <c r="P18" t="s" s="0">
        <v>57</v>
      </c>
      <c r="Q18" t="s" s="0">
        <v>173</v>
      </c>
      <c r="R18" t="s" s="0">
        <v>174</v>
      </c>
      <c r="S18" t="s" s="0">
        <v>175</v>
      </c>
      <c r="T18" t="s" s="0">
        <v>176</v>
      </c>
    </row>
    <row r="19">
      <c r="A19" t="s" s="0">
        <v>177</v>
      </c>
      <c r="B19" t="s" s="0">
        <v>91</v>
      </c>
      <c r="C19" t="s" s="0">
        <v>27</v>
      </c>
      <c r="D19" t="s" s="0">
        <v>178</v>
      </c>
      <c r="E19" t="s" s="0">
        <v>179</v>
      </c>
      <c r="I19" t="s" s="0">
        <v>94</v>
      </c>
      <c r="J19" t="s" s="0">
        <v>94</v>
      </c>
      <c r="L19" s="6">
        <f>IF(K19="","",IF(J19="未稅",ROUND(K19*1.05,0),K19))</f>
        <v/>
      </c>
      <c r="M19" t="s" s="0">
        <v>95</v>
      </c>
      <c r="N19" s="6">
        <f>IF(M19="計入",K19,0)</f>
        <v/>
      </c>
      <c r="O19" s="6">
        <f>IF(M19="計入",L19,0)</f>
        <v/>
      </c>
      <c r="P19" t="s" s="0">
        <v>57</v>
      </c>
      <c r="Q19" t="s" s="0">
        <v>180</v>
      </c>
      <c r="R19" t="s" s="0">
        <v>97</v>
      </c>
      <c r="S19" t="s" s="0">
        <v>181</v>
      </c>
      <c r="T19" t="s" s="0">
        <v>182</v>
      </c>
    </row>
    <row r="20">
      <c r="A20" t="s" s="0">
        <v>183</v>
      </c>
      <c r="B20" t="s" s="0">
        <v>184</v>
      </c>
      <c r="C20" t="s" s="0">
        <v>28</v>
      </c>
      <c r="D20" t="s" s="0">
        <v>185</v>
      </c>
      <c r="F20" s="5">
        <v>115400</v>
      </c>
      <c r="G20" s="5">
        <v>5770</v>
      </c>
      <c r="H20" s="5">
        <v>121170</v>
      </c>
      <c r="I20" t="s" s="0">
        <v>55</v>
      </c>
      <c r="J20" t="s" s="0">
        <v>55</v>
      </c>
      <c r="K20" s="5">
        <v>121170</v>
      </c>
      <c r="L20" s="6">
        <f>IF(K20="","",IF(J20="未稅",ROUND(K20*1.05,0),K20))</f>
        <v/>
      </c>
      <c r="M20" t="s" s="0">
        <v>56</v>
      </c>
      <c r="N20" s="6">
        <f>IF(M20="計入",K20,0)</f>
        <v/>
      </c>
      <c r="O20" s="6">
        <f>IF(M20="計入",L20,0)</f>
        <v/>
      </c>
      <c r="P20" t="s" s="0">
        <v>57</v>
      </c>
      <c r="Q20" t="s" s="0">
        <v>186</v>
      </c>
      <c r="R20" t="s" s="0">
        <v>187</v>
      </c>
      <c r="S20" t="s" s="0">
        <v>188</v>
      </c>
      <c r="T20" t="s" s="0">
        <v>189</v>
      </c>
    </row>
    <row r="21">
      <c r="A21" t="s" s="0">
        <v>190</v>
      </c>
      <c r="B21" t="s" s="0">
        <v>191</v>
      </c>
      <c r="C21" t="s" s="0">
        <v>29</v>
      </c>
      <c r="D21" t="s" s="0">
        <v>192</v>
      </c>
      <c r="E21" t="s" s="0">
        <v>193</v>
      </c>
      <c r="F21" s="5">
        <v>304762</v>
      </c>
      <c r="G21" s="5">
        <v>15238</v>
      </c>
      <c r="H21" s="5">
        <v>320000</v>
      </c>
      <c r="I21" t="s" s="0">
        <v>55</v>
      </c>
      <c r="J21" t="s" s="0">
        <v>55</v>
      </c>
      <c r="K21" s="5">
        <v>320000</v>
      </c>
      <c r="L21" s="6">
        <f>IF(K21="","",IF(J21="未稅",ROUND(K21*1.05,0),K21))</f>
        <v/>
      </c>
      <c r="M21" t="s" s="0">
        <v>56</v>
      </c>
      <c r="N21" s="6">
        <f>IF(M21="計入",K21,0)</f>
        <v/>
      </c>
      <c r="O21" s="6">
        <f>IF(M21="計入",L21,0)</f>
        <v/>
      </c>
      <c r="P21" t="s" s="0">
        <v>57</v>
      </c>
      <c r="Q21" t="s" s="0">
        <v>194</v>
      </c>
      <c r="R21" t="s" s="0">
        <v>195</v>
      </c>
      <c r="S21" t="s" s="0">
        <v>196</v>
      </c>
      <c r="T21" t="s" s="0">
        <v>197</v>
      </c>
    </row>
    <row r="22">
      <c r="A22" t="s" s="0">
        <v>198</v>
      </c>
      <c r="B22" t="s" s="0">
        <v>143</v>
      </c>
      <c r="C22" t="s" s="0">
        <v>27</v>
      </c>
      <c r="D22" t="s" s="0">
        <v>199</v>
      </c>
      <c r="E22" t="s" s="0">
        <v>200</v>
      </c>
      <c r="F22" s="5">
        <v>570882</v>
      </c>
      <c r="G22" s="5">
        <v>28544</v>
      </c>
      <c r="H22" s="5">
        <v>599426</v>
      </c>
      <c r="I22" t="s" s="0">
        <v>55</v>
      </c>
      <c r="J22" t="s" s="0">
        <v>55</v>
      </c>
      <c r="L22" s="6">
        <f>IF(K22="","",IF(J22="未稅",ROUND(K22*1.05,0),K22))</f>
        <v/>
      </c>
      <c r="M22" t="s" s="0">
        <v>95</v>
      </c>
      <c r="N22" s="6">
        <f>IF(M22="計入",K22,0)</f>
        <v/>
      </c>
      <c r="O22" s="6">
        <f>IF(M22="計入",L22,0)</f>
        <v/>
      </c>
      <c r="P22" t="s" s="0">
        <v>57</v>
      </c>
      <c r="Q22" t="s" s="0">
        <v>201</v>
      </c>
      <c r="R22" t="s" s="0">
        <v>202</v>
      </c>
      <c r="S22" t="s" s="0">
        <v>203</v>
      </c>
      <c r="T22" t="s" s="0">
        <v>204</v>
      </c>
    </row>
    <row r="23">
      <c r="A23" t="s" s="0">
        <v>205</v>
      </c>
      <c r="B23" t="s" s="0">
        <v>135</v>
      </c>
      <c r="C23" t="s" s="0">
        <v>31</v>
      </c>
      <c r="D23" t="s" s="0">
        <v>136</v>
      </c>
      <c r="E23" t="s" s="0">
        <v>206</v>
      </c>
      <c r="I23" t="s" s="0">
        <v>94</v>
      </c>
      <c r="J23" t="s" s="0">
        <v>94</v>
      </c>
      <c r="L23" s="6">
        <f>IF(K23="","",IF(J23="未稅",ROUND(K23*1.05,0),K23))</f>
        <v/>
      </c>
      <c r="M23" t="s" s="0">
        <v>207</v>
      </c>
      <c r="N23" s="6">
        <f>IF(M23="計入",K23,0)</f>
        <v/>
      </c>
      <c r="O23" s="6">
        <f>IF(M23="計入",L23,0)</f>
        <v/>
      </c>
      <c r="P23" t="s" s="0">
        <v>57</v>
      </c>
      <c r="Q23" t="s" s="0">
        <v>138</v>
      </c>
      <c r="R23" t="s" s="0">
        <v>208</v>
      </c>
      <c r="S23" t="s" s="0">
        <v>209</v>
      </c>
      <c r="T23" t="s" s="0">
        <v>210</v>
      </c>
    </row>
    <row r="24">
      <c r="A24" t="s" s="0">
        <v>211</v>
      </c>
      <c r="B24" t="s" s="0">
        <v>212</v>
      </c>
      <c r="C24" t="s" s="0">
        <v>27</v>
      </c>
      <c r="D24" t="s" s="0">
        <v>213</v>
      </c>
      <c r="E24" t="s" s="0">
        <v>214</v>
      </c>
      <c r="F24" s="5">
        <v>198500</v>
      </c>
      <c r="H24" s="5">
        <v>198500</v>
      </c>
      <c r="I24" t="s" s="0">
        <v>94</v>
      </c>
      <c r="J24" t="s" s="0">
        <v>94</v>
      </c>
      <c r="K24" s="5">
        <v>198500</v>
      </c>
      <c r="L24" s="6">
        <f>IF(K24="","",IF(J24="未稅",ROUND(K24*1.05,0),K24))</f>
        <v/>
      </c>
      <c r="M24" t="s" s="0">
        <v>56</v>
      </c>
      <c r="N24" s="6">
        <f>IF(M24="計入",K24,0)</f>
        <v/>
      </c>
      <c r="O24" s="6">
        <f>IF(M24="計入",L24,0)</f>
        <v/>
      </c>
      <c r="P24" t="s" s="0">
        <v>57</v>
      </c>
      <c r="Q24" t="s" s="0">
        <v>215</v>
      </c>
      <c r="R24" t="s" s="0">
        <v>216</v>
      </c>
      <c r="S24" t="s" s="0">
        <v>217</v>
      </c>
      <c r="T24" t="s" s="0">
        <v>218</v>
      </c>
    </row>
    <row r="25">
      <c r="A25" t="s" s="0">
        <v>219</v>
      </c>
      <c r="B25" t="s" s="0">
        <v>220</v>
      </c>
      <c r="C25" t="s" s="0">
        <v>28</v>
      </c>
      <c r="D25" t="s" s="0">
        <v>221</v>
      </c>
      <c r="E25" t="s" s="0">
        <v>222</v>
      </c>
      <c r="F25" s="5">
        <v>854192</v>
      </c>
      <c r="I25" t="s" s="0">
        <v>94</v>
      </c>
      <c r="J25" t="s" s="0">
        <v>94</v>
      </c>
      <c r="K25" s="5">
        <v>854192</v>
      </c>
      <c r="L25" s="6">
        <f>IF(K25="","",IF(J25="未稅",ROUND(K25*1.05,0),K25))</f>
        <v/>
      </c>
      <c r="M25" t="s" s="0">
        <v>56</v>
      </c>
      <c r="N25" s="6">
        <f>IF(M25="計入",K25,0)</f>
        <v/>
      </c>
      <c r="O25" s="6">
        <f>IF(M25="計入",L25,0)</f>
        <v/>
      </c>
      <c r="P25" t="s" s="0">
        <v>145</v>
      </c>
      <c r="Q25" t="s" s="0">
        <v>223</v>
      </c>
      <c r="R25" t="s" s="0">
        <v>224</v>
      </c>
      <c r="S25" t="s" s="0">
        <v>225</v>
      </c>
      <c r="T25" t="s" s="0">
        <v>226</v>
      </c>
    </row>
    <row r="26">
      <c r="A26" t="s" s="0">
        <v>227</v>
      </c>
      <c r="B26" t="s" s="0">
        <v>212</v>
      </c>
      <c r="C26" t="s" s="0">
        <v>32</v>
      </c>
      <c r="D26" t="s" s="0">
        <v>228</v>
      </c>
      <c r="E26" t="s" s="0">
        <v>229</v>
      </c>
      <c r="F26" s="5">
        <v>778797</v>
      </c>
      <c r="H26" s="5">
        <v>778797</v>
      </c>
      <c r="I26" t="s" s="0">
        <v>94</v>
      </c>
      <c r="J26" t="s" s="0">
        <v>94</v>
      </c>
      <c r="L26" s="6">
        <f>IF(K26="","",IF(J26="未稅",ROUND(K26*1.05,0),K26))</f>
        <v/>
      </c>
      <c r="M26" t="s" s="0">
        <v>65</v>
      </c>
      <c r="N26" s="6">
        <f>IF(M26="計入",K26,0)</f>
        <v/>
      </c>
      <c r="O26" s="6">
        <f>IF(M26="計入",L26,0)</f>
        <v/>
      </c>
      <c r="P26" t="s" s="0">
        <v>57</v>
      </c>
      <c r="Q26" t="s" s="0">
        <v>230</v>
      </c>
      <c r="R26" t="s" s="0">
        <v>231</v>
      </c>
      <c r="S26" t="s" s="0">
        <v>232</v>
      </c>
      <c r="T26" t="s" s="0">
        <v>233</v>
      </c>
    </row>
    <row r="27">
      <c r="A27" t="s" s="0">
        <v>234</v>
      </c>
      <c r="B27" t="s" s="0">
        <v>212</v>
      </c>
      <c r="C27" t="s" s="0">
        <v>32</v>
      </c>
      <c r="D27" t="s" s="0">
        <v>235</v>
      </c>
      <c r="E27" t="s" s="0">
        <v>236</v>
      </c>
      <c r="F27" s="5">
        <v>692293</v>
      </c>
      <c r="H27" s="5">
        <v>692293</v>
      </c>
      <c r="I27" t="s" s="0">
        <v>94</v>
      </c>
      <c r="J27" t="s" s="0">
        <v>94</v>
      </c>
      <c r="K27" s="5">
        <v>690000</v>
      </c>
      <c r="L27" s="6">
        <f>IF(K27="","",IF(J27="未稅",ROUND(K27*1.05,0),K27))</f>
        <v/>
      </c>
      <c r="M27" t="s" s="0">
        <v>56</v>
      </c>
      <c r="N27" s="6">
        <f>IF(M27="計入",K27,0)</f>
        <v/>
      </c>
      <c r="O27" s="6">
        <f>IF(M27="計入",L27,0)</f>
        <v/>
      </c>
      <c r="P27" t="s" s="0">
        <v>57</v>
      </c>
      <c r="Q27" t="s" s="0">
        <v>230</v>
      </c>
      <c r="R27" t="s" s="0">
        <v>237</v>
      </c>
      <c r="S27" t="s" s="0">
        <v>238</v>
      </c>
      <c r="T27" t="s" s="0">
        <v>239</v>
      </c>
    </row>
    <row r="28">
      <c r="A28" t="s" s="0">
        <v>240</v>
      </c>
      <c r="B28" t="s" s="0">
        <v>241</v>
      </c>
      <c r="C28" t="s" s="0">
        <v>27</v>
      </c>
      <c r="D28" t="s" s="0">
        <v>242</v>
      </c>
      <c r="E28" t="s" s="0">
        <v>243</v>
      </c>
      <c r="F28" s="5">
        <v>197500</v>
      </c>
      <c r="G28" s="5">
        <v>9875</v>
      </c>
      <c r="H28" s="5">
        <v>207375</v>
      </c>
      <c r="I28" t="s" s="0">
        <v>55</v>
      </c>
      <c r="J28" t="s" s="0">
        <v>55</v>
      </c>
      <c r="K28" s="5">
        <v>207375</v>
      </c>
      <c r="L28" s="6">
        <f>IF(K28="","",IF(J28="未稅",ROUND(K28*1.05,0),K28))</f>
        <v/>
      </c>
      <c r="M28" t="s" s="0">
        <v>56</v>
      </c>
      <c r="N28" s="6">
        <f>IF(M28="計入",K28,0)</f>
        <v/>
      </c>
      <c r="O28" s="6">
        <f>IF(M28="計入",L28,0)</f>
        <v/>
      </c>
      <c r="P28" t="s" s="0">
        <v>57</v>
      </c>
      <c r="Q28" t="s" s="0">
        <v>244</v>
      </c>
      <c r="R28" t="s" s="0">
        <v>245</v>
      </c>
      <c r="S28" t="s" s="0">
        <v>246</v>
      </c>
      <c r="T28" t="s" s="0">
        <v>247</v>
      </c>
    </row>
    <row r="29">
      <c r="A29" t="s" s="0">
        <v>248</v>
      </c>
      <c r="B29" t="s" s="0">
        <v>143</v>
      </c>
      <c r="C29" t="s" s="0">
        <v>32</v>
      </c>
      <c r="D29" t="s" s="0">
        <v>249</v>
      </c>
      <c r="E29" t="s" s="0">
        <v>152</v>
      </c>
      <c r="F29" s="5">
        <v>281512</v>
      </c>
      <c r="G29" s="5">
        <v>14076</v>
      </c>
      <c r="H29" s="5">
        <v>295588</v>
      </c>
      <c r="I29" t="s" s="0">
        <v>55</v>
      </c>
      <c r="J29" t="s" s="0">
        <v>55</v>
      </c>
      <c r="L29" s="6">
        <f>IF(K29="","",IF(J29="未稅",ROUND(K29*1.05,0),K29))</f>
        <v/>
      </c>
      <c r="M29" t="s" s="0">
        <v>95</v>
      </c>
      <c r="N29" s="6">
        <f>IF(M29="計入",K29,0)</f>
        <v/>
      </c>
      <c r="O29" s="6">
        <f>IF(M29="計入",L29,0)</f>
        <v/>
      </c>
      <c r="P29" t="s" s="0">
        <v>57</v>
      </c>
      <c r="Q29" t="s" s="0">
        <v>146</v>
      </c>
      <c r="R29" t="s" s="0">
        <v>250</v>
      </c>
      <c r="S29" t="s" s="0">
        <v>251</v>
      </c>
      <c r="T29" t="s" s="0">
        <v>252</v>
      </c>
    </row>
    <row r="30">
      <c r="A30" t="s" s="0">
        <v>253</v>
      </c>
      <c r="B30" t="s" s="0">
        <v>143</v>
      </c>
      <c r="C30" t="s" s="0">
        <v>32</v>
      </c>
      <c r="D30" t="s" s="0">
        <v>254</v>
      </c>
      <c r="E30" t="s" s="0">
        <v>255</v>
      </c>
      <c r="F30" s="5">
        <v>23216</v>
      </c>
      <c r="G30" s="5">
        <v>1161</v>
      </c>
      <c r="H30" s="5">
        <v>24377</v>
      </c>
      <c r="I30" t="s" s="0">
        <v>55</v>
      </c>
      <c r="J30" t="s" s="0">
        <v>55</v>
      </c>
      <c r="K30" s="5">
        <v>24377</v>
      </c>
      <c r="L30" s="6">
        <f>IF(K30="","",IF(J30="未稅",ROUND(K30*1.05,0),K30))</f>
        <v/>
      </c>
      <c r="M30" t="s" s="0">
        <v>56</v>
      </c>
      <c r="N30" s="6">
        <f>IF(M30="計入",K30,0)</f>
        <v/>
      </c>
      <c r="O30" s="6">
        <f>IF(M30="計入",L30,0)</f>
        <v/>
      </c>
      <c r="P30" t="s" s="0">
        <v>57</v>
      </c>
      <c r="Q30" t="s" s="0">
        <v>256</v>
      </c>
      <c r="R30" t="s" s="0">
        <v>257</v>
      </c>
      <c r="S30" t="s" s="0">
        <v>258</v>
      </c>
      <c r="T30" t="s" s="0">
        <v>259</v>
      </c>
    </row>
    <row r="31">
      <c r="A31" t="s" s="0">
        <v>260</v>
      </c>
      <c r="B31" t="s" s="0">
        <v>143</v>
      </c>
      <c r="C31" t="s" s="0">
        <v>32</v>
      </c>
      <c r="D31" t="s" s="0">
        <v>261</v>
      </c>
      <c r="E31" t="s" s="0">
        <v>262</v>
      </c>
      <c r="F31" s="5">
        <v>1147854</v>
      </c>
      <c r="G31" s="5">
        <v>57393</v>
      </c>
      <c r="H31" s="5">
        <v>1205247</v>
      </c>
      <c r="I31" t="s" s="0">
        <v>55</v>
      </c>
      <c r="J31" t="s" s="0">
        <v>55</v>
      </c>
      <c r="K31" s="5">
        <v>1205247</v>
      </c>
      <c r="L31" s="6">
        <f>IF(K31="","",IF(J31="未稅",ROUND(K31*1.05,0),K31))</f>
        <v/>
      </c>
      <c r="M31" t="s" s="0">
        <v>56</v>
      </c>
      <c r="N31" s="6">
        <f>IF(M31="計入",K31,0)</f>
        <v/>
      </c>
      <c r="O31" s="6">
        <f>IF(M31="計入",L31,0)</f>
        <v/>
      </c>
      <c r="P31" t="s" s="0">
        <v>145</v>
      </c>
      <c r="Q31" t="s" s="0">
        <v>173</v>
      </c>
      <c r="R31" t="s" s="0">
        <v>263</v>
      </c>
      <c r="S31" t="s" s="0">
        <v>264</v>
      </c>
      <c r="T31" t="s" s="0">
        <v>265</v>
      </c>
    </row>
    <row r="32">
      <c r="A32" t="s" s="0">
        <v>266</v>
      </c>
      <c r="B32" t="s" s="0">
        <v>143</v>
      </c>
      <c r="C32" t="s" s="0">
        <v>32</v>
      </c>
      <c r="D32" t="s" s="0">
        <v>267</v>
      </c>
      <c r="E32" t="s" s="0">
        <v>268</v>
      </c>
      <c r="F32" s="5">
        <v>75238</v>
      </c>
      <c r="I32" t="s" s="0">
        <v>269</v>
      </c>
      <c r="J32" t="s" s="0">
        <v>270</v>
      </c>
      <c r="L32" s="6">
        <f>IF(K32="","",IF(J32="未稅",ROUND(K32*1.05,0),K32))</f>
        <v/>
      </c>
      <c r="M32" t="s" s="0">
        <v>95</v>
      </c>
      <c r="N32" s="6">
        <f>IF(M32="計入",K32,0)</f>
        <v/>
      </c>
      <c r="O32" s="6">
        <f>IF(M32="計入",L32,0)</f>
        <v/>
      </c>
      <c r="P32" t="s" s="0">
        <v>145</v>
      </c>
      <c r="Q32" t="s" s="0">
        <v>146</v>
      </c>
      <c r="R32" t="s" s="0">
        <v>271</v>
      </c>
      <c r="S32" t="s" s="0">
        <v>272</v>
      </c>
      <c r="T32" t="s" s="0">
        <v>273</v>
      </c>
    </row>
    <row r="33">
      <c r="A33" t="s" s="0">
        <v>274</v>
      </c>
      <c r="B33" t="s" s="0">
        <v>275</v>
      </c>
      <c r="C33" t="s" s="0">
        <v>31</v>
      </c>
      <c r="D33" t="s" s="0">
        <v>276</v>
      </c>
      <c r="E33" t="s" s="0">
        <v>277</v>
      </c>
      <c r="F33" s="5">
        <v>56731</v>
      </c>
      <c r="G33" s="5">
        <v>2837</v>
      </c>
      <c r="H33" s="5">
        <v>59568</v>
      </c>
      <c r="I33" t="s" s="0">
        <v>55</v>
      </c>
      <c r="J33" t="s" s="0">
        <v>55</v>
      </c>
      <c r="K33" s="5">
        <v>59568</v>
      </c>
      <c r="L33" s="6">
        <f>IF(K33="","",IF(J33="未稅",ROUND(K33*1.05,0),K33))</f>
        <v/>
      </c>
      <c r="M33" t="s" s="0">
        <v>56</v>
      </c>
      <c r="N33" s="6">
        <f>IF(M33="計入",K33,0)</f>
        <v/>
      </c>
      <c r="O33" s="6">
        <f>IF(M33="計入",L33,0)</f>
        <v/>
      </c>
      <c r="P33" t="s" s="0">
        <v>57</v>
      </c>
      <c r="Q33" t="s" s="0">
        <v>278</v>
      </c>
      <c r="R33" t="s" s="0">
        <v>279</v>
      </c>
      <c r="S33" t="s" s="0">
        <v>280</v>
      </c>
      <c r="T33" t="s" s="0">
        <v>281</v>
      </c>
    </row>
    <row r="34">
      <c r="A34" t="s" s="0">
        <v>282</v>
      </c>
      <c r="B34" t="s" s="0">
        <v>143</v>
      </c>
      <c r="C34" t="s" s="0">
        <v>32</v>
      </c>
      <c r="D34" t="s" s="0">
        <v>283</v>
      </c>
      <c r="E34" t="s" s="0">
        <v>284</v>
      </c>
      <c r="F34" s="5">
        <v>60918</v>
      </c>
      <c r="I34" t="s" s="0">
        <v>269</v>
      </c>
      <c r="J34" t="s" s="0">
        <v>270</v>
      </c>
      <c r="K34" s="5">
        <v>60918</v>
      </c>
      <c r="L34" s="6">
        <f>IF(K34="","",IF(J34="未稅",ROUND(K34*1.05,0),K34))</f>
        <v/>
      </c>
      <c r="M34" t="s" s="0">
        <v>56</v>
      </c>
      <c r="N34" s="6">
        <f>IF(M34="計入",K34,0)</f>
        <v/>
      </c>
      <c r="O34" s="6">
        <f>IF(M34="計入",L34,0)</f>
        <v/>
      </c>
      <c r="P34" t="s" s="0">
        <v>145</v>
      </c>
      <c r="Q34" t="s" s="0">
        <v>285</v>
      </c>
      <c r="R34" t="s" s="0">
        <v>286</v>
      </c>
      <c r="S34" t="s" s="0">
        <v>287</v>
      </c>
      <c r="T34" t="s" s="0">
        <v>288</v>
      </c>
    </row>
    <row r="35">
      <c r="A35" t="s" s="0">
        <v>289</v>
      </c>
      <c r="B35" t="s" s="0">
        <v>290</v>
      </c>
      <c r="C35" t="s" s="0">
        <v>29</v>
      </c>
      <c r="D35" t="s" s="0">
        <v>291</v>
      </c>
      <c r="E35" t="s" s="0">
        <v>284</v>
      </c>
      <c r="F35" s="5">
        <v>377065</v>
      </c>
      <c r="G35" s="5">
        <v>18855</v>
      </c>
      <c r="H35" s="5">
        <v>395920</v>
      </c>
      <c r="I35" t="s" s="0">
        <v>55</v>
      </c>
      <c r="J35" t="s" s="0">
        <v>55</v>
      </c>
      <c r="K35" s="5">
        <v>395920</v>
      </c>
      <c r="L35" s="6">
        <f>IF(K35="","",IF(J35="未稅",ROUND(K35*1.05,0),K35))</f>
        <v/>
      </c>
      <c r="M35" t="s" s="0">
        <v>56</v>
      </c>
      <c r="N35" s="6">
        <f>IF(M35="計入",K35,0)</f>
        <v/>
      </c>
      <c r="O35" s="6">
        <f>IF(M35="計入",L35,0)</f>
        <v/>
      </c>
      <c r="P35" t="s" s="0">
        <v>57</v>
      </c>
      <c r="Q35" t="s" s="0">
        <v>292</v>
      </c>
      <c r="R35" t="s" s="0">
        <v>293</v>
      </c>
      <c r="S35" t="s" s="0">
        <v>294</v>
      </c>
      <c r="T35" t="s" s="0">
        <v>295</v>
      </c>
    </row>
    <row r="36">
      <c r="A36" t="s" s="0">
        <v>296</v>
      </c>
      <c r="B36" t="s" s="0">
        <v>297</v>
      </c>
      <c r="C36" t="s" s="0">
        <v>31</v>
      </c>
      <c r="D36" t="s" s="0">
        <v>298</v>
      </c>
      <c r="E36" t="s" s="0">
        <v>299</v>
      </c>
      <c r="H36" s="5">
        <v>96800</v>
      </c>
      <c r="I36" t="s" s="0">
        <v>55</v>
      </c>
      <c r="J36" t="s" s="0">
        <v>55</v>
      </c>
      <c r="L36" s="6">
        <f>IF(K36="","",IF(J36="未稅",ROUND(K36*1.05,0),K36))</f>
        <v/>
      </c>
      <c r="M36" t="s" s="0">
        <v>65</v>
      </c>
      <c r="N36" s="6">
        <f>IF(M36="計入",K36,0)</f>
        <v/>
      </c>
      <c r="O36" s="6">
        <f>IF(M36="計入",L36,0)</f>
        <v/>
      </c>
      <c r="P36" t="s" s="0">
        <v>57</v>
      </c>
      <c r="Q36" t="s" s="0">
        <v>300</v>
      </c>
      <c r="R36" t="s" s="0">
        <v>301</v>
      </c>
      <c r="S36" t="s" s="0">
        <v>302</v>
      </c>
      <c r="T36" t="s" s="0">
        <v>303</v>
      </c>
    </row>
    <row r="37">
      <c r="A37" t="s" s="0">
        <v>304</v>
      </c>
      <c r="B37" t="s" s="0">
        <v>297</v>
      </c>
      <c r="C37" t="s" s="0">
        <v>27</v>
      </c>
      <c r="D37" t="s" s="0">
        <v>305</v>
      </c>
      <c r="E37" t="s" s="0">
        <v>306</v>
      </c>
      <c r="H37" s="5">
        <v>111650</v>
      </c>
      <c r="I37" t="s" s="0">
        <v>55</v>
      </c>
      <c r="J37" t="s" s="0">
        <v>55</v>
      </c>
      <c r="K37" s="5">
        <v>111650</v>
      </c>
      <c r="L37" s="6">
        <f>IF(K37="","",IF(J37="未稅",ROUND(K37*1.05,0),K37))</f>
        <v/>
      </c>
      <c r="M37" t="s" s="0">
        <v>56</v>
      </c>
      <c r="N37" s="6">
        <f>IF(M37="計入",K37,0)</f>
        <v/>
      </c>
      <c r="O37" s="6">
        <f>IF(M37="計入",L37,0)</f>
        <v/>
      </c>
      <c r="P37" t="s" s="0">
        <v>57</v>
      </c>
      <c r="Q37" t="s" s="0">
        <v>300</v>
      </c>
      <c r="R37" t="s" s="0">
        <v>307</v>
      </c>
      <c r="S37" t="s" s="0">
        <v>308</v>
      </c>
      <c r="T37" t="s" s="0">
        <v>309</v>
      </c>
    </row>
    <row r="38">
      <c r="A38" t="s" s="0">
        <v>310</v>
      </c>
      <c r="B38" t="s" s="0">
        <v>63</v>
      </c>
      <c r="C38" t="s" s="0">
        <v>31</v>
      </c>
      <c r="D38" t="s" s="0">
        <v>64</v>
      </c>
      <c r="E38" t="s" s="0">
        <v>311</v>
      </c>
      <c r="F38" s="5">
        <v>1952298</v>
      </c>
      <c r="G38" s="5">
        <v>97615</v>
      </c>
      <c r="H38" s="5">
        <v>2049913</v>
      </c>
      <c r="I38" t="s" s="0">
        <v>55</v>
      </c>
      <c r="J38" t="s" s="0">
        <v>55</v>
      </c>
      <c r="L38" s="6">
        <f>IF(K38="","",IF(J38="未稅",ROUND(K38*1.05,0),K38))</f>
        <v/>
      </c>
      <c r="M38" t="s" s="0">
        <v>65</v>
      </c>
      <c r="N38" s="6">
        <f>IF(M38="計入",K38,0)</f>
        <v/>
      </c>
      <c r="O38" s="6">
        <f>IF(M38="計入",L38,0)</f>
        <v/>
      </c>
      <c r="P38" t="s" s="0">
        <v>57</v>
      </c>
      <c r="Q38" t="s" s="0">
        <v>66</v>
      </c>
      <c r="R38" t="s" s="0">
        <v>67</v>
      </c>
      <c r="S38" t="s" s="0">
        <v>312</v>
      </c>
      <c r="T38" t="s" s="0">
        <v>313</v>
      </c>
    </row>
    <row r="39">
      <c r="A39" t="s" s="0">
        <v>314</v>
      </c>
      <c r="B39" t="s" s="0">
        <v>212</v>
      </c>
      <c r="C39" t="s" s="0">
        <v>27</v>
      </c>
      <c r="D39" t="s" s="0">
        <v>315</v>
      </c>
      <c r="E39" t="s" s="0">
        <v>316</v>
      </c>
      <c r="F39" s="5">
        <v>8000</v>
      </c>
      <c r="H39" s="5">
        <v>8000</v>
      </c>
      <c r="I39" t="s" s="0">
        <v>94</v>
      </c>
      <c r="J39" t="s" s="0">
        <v>94</v>
      </c>
      <c r="K39" s="5">
        <v>8000</v>
      </c>
      <c r="L39" s="6">
        <f>IF(K39="","",IF(J39="未稅",ROUND(K39*1.05,0),K39))</f>
        <v/>
      </c>
      <c r="M39" t="s" s="0">
        <v>56</v>
      </c>
      <c r="N39" s="6">
        <f>IF(M39="計入",K39,0)</f>
        <v/>
      </c>
      <c r="O39" s="6">
        <f>IF(M39="計入",L39,0)</f>
        <v/>
      </c>
      <c r="P39" t="s" s="0">
        <v>57</v>
      </c>
      <c r="Q39" t="s" s="0">
        <v>315</v>
      </c>
      <c r="R39" t="s" s="0">
        <v>317</v>
      </c>
      <c r="S39" t="s" s="0">
        <v>318</v>
      </c>
      <c r="T39" t="s" s="0">
        <v>319</v>
      </c>
    </row>
    <row r="40">
      <c r="A40" t="s" s="0">
        <v>320</v>
      </c>
      <c r="B40" t="s" s="0">
        <v>321</v>
      </c>
      <c r="C40" t="s" s="0">
        <v>29</v>
      </c>
      <c r="D40" t="s" s="0">
        <v>322</v>
      </c>
      <c r="E40" t="s" s="0">
        <v>323</v>
      </c>
      <c r="F40" s="5">
        <v>2542050</v>
      </c>
      <c r="G40" s="5">
        <v>127103</v>
      </c>
      <c r="H40" s="5">
        <v>2600000</v>
      </c>
      <c r="I40" t="s" s="0">
        <v>55</v>
      </c>
      <c r="J40" t="s" s="0">
        <v>55</v>
      </c>
      <c r="K40" s="5">
        <v>2600000</v>
      </c>
      <c r="L40" s="6">
        <f>IF(K40="","",IF(J40="未稅",ROUND(K40*1.05,0),K40))</f>
        <v/>
      </c>
      <c r="M40" t="s" s="0">
        <v>56</v>
      </c>
      <c r="N40" s="6">
        <f>IF(M40="計入",K40,0)</f>
        <v/>
      </c>
      <c r="O40" s="6">
        <f>IF(M40="計入",L40,0)</f>
        <v/>
      </c>
      <c r="P40" t="s" s="0">
        <v>57</v>
      </c>
      <c r="Q40" t="s" s="0">
        <v>322</v>
      </c>
      <c r="R40" t="s" s="0">
        <v>324</v>
      </c>
      <c r="S40" t="s" s="0">
        <v>325</v>
      </c>
      <c r="T40" t="s" s="0">
        <v>326</v>
      </c>
    </row>
    <row r="41">
      <c r="A41" t="s" s="0">
        <v>327</v>
      </c>
      <c r="B41" t="s" s="0">
        <v>328</v>
      </c>
      <c r="C41" t="s" s="0">
        <v>29</v>
      </c>
      <c r="D41" t="s" s="0">
        <v>329</v>
      </c>
      <c r="E41" t="s" s="0">
        <v>330</v>
      </c>
      <c r="F41" s="5">
        <v>7000</v>
      </c>
      <c r="G41" s="5">
        <v>350</v>
      </c>
      <c r="H41" s="5">
        <v>7350</v>
      </c>
      <c r="I41" t="s" s="0">
        <v>55</v>
      </c>
      <c r="J41" t="s" s="0">
        <v>55</v>
      </c>
      <c r="K41" s="5">
        <v>7350</v>
      </c>
      <c r="L41" s="6">
        <f>IF(K41="","",IF(J41="未稅",ROUND(K41*1.05,0),K41))</f>
        <v/>
      </c>
      <c r="M41" t="s" s="0">
        <v>56</v>
      </c>
      <c r="N41" s="6">
        <f>IF(M41="計入",K41,0)</f>
        <v/>
      </c>
      <c r="O41" s="6">
        <f>IF(M41="計入",L41,0)</f>
        <v/>
      </c>
      <c r="P41" t="s" s="0">
        <v>57</v>
      </c>
      <c r="Q41" t="s" s="0">
        <v>329</v>
      </c>
      <c r="R41" t="s" s="0">
        <v>331</v>
      </c>
      <c r="S41" t="s" s="0">
        <v>332</v>
      </c>
      <c r="T41" t="s" s="0">
        <v>333</v>
      </c>
    </row>
    <row r="42">
      <c r="A42" t="s" s="0">
        <v>334</v>
      </c>
      <c r="B42" t="s" s="0">
        <v>335</v>
      </c>
      <c r="C42" t="s" s="0">
        <v>30</v>
      </c>
      <c r="D42" t="s" s="0">
        <v>336</v>
      </c>
      <c r="E42" t="s" s="0">
        <v>337</v>
      </c>
      <c r="F42" s="5">
        <v>25000</v>
      </c>
      <c r="H42" s="5">
        <v>25000</v>
      </c>
      <c r="I42" t="s" s="0">
        <v>94</v>
      </c>
      <c r="J42" t="s" s="0">
        <v>94</v>
      </c>
      <c r="K42" s="5">
        <v>25000</v>
      </c>
      <c r="L42" s="6">
        <f>IF(K42="","",IF(J42="未稅",ROUND(K42*1.05,0),K42))</f>
        <v/>
      </c>
      <c r="M42" t="s" s="0">
        <v>56</v>
      </c>
      <c r="N42" s="6">
        <f>IF(M42="計入",K42,0)</f>
        <v/>
      </c>
      <c r="O42" s="6">
        <f>IF(M42="計入",L42,0)</f>
        <v/>
      </c>
      <c r="P42" t="s" s="0">
        <v>57</v>
      </c>
      <c r="Q42" t="s" s="0">
        <v>336</v>
      </c>
      <c r="R42" t="s" s="0">
        <v>338</v>
      </c>
      <c r="S42" t="s" s="0">
        <v>339</v>
      </c>
      <c r="T42" t="s" s="0">
        <v>340</v>
      </c>
    </row>
    <row r="43">
      <c r="A43" t="s" s="0">
        <v>341</v>
      </c>
      <c r="B43" t="s" s="0">
        <v>342</v>
      </c>
      <c r="C43" t="s" s="0">
        <v>29</v>
      </c>
      <c r="D43" t="s" s="0">
        <v>343</v>
      </c>
      <c r="E43" t="s" s="0">
        <v>344</v>
      </c>
      <c r="F43" s="5">
        <v>288604</v>
      </c>
      <c r="H43" s="5">
        <v>295000</v>
      </c>
      <c r="I43" t="s" s="0">
        <v>94</v>
      </c>
      <c r="J43" t="s" s="0">
        <v>94</v>
      </c>
      <c r="K43" s="5">
        <v>295000</v>
      </c>
      <c r="L43" s="6">
        <f>IF(K43="","",IF(J43="未稅",ROUND(K43*1.05,0),K43))</f>
        <v/>
      </c>
      <c r="M43" t="s" s="0">
        <v>56</v>
      </c>
      <c r="N43" s="6">
        <f>IF(M43="計入",K43,0)</f>
        <v/>
      </c>
      <c r="O43" s="6">
        <f>IF(M43="計入",L43,0)</f>
        <v/>
      </c>
      <c r="P43" t="s" s="0">
        <v>57</v>
      </c>
      <c r="Q43" t="s" s="0">
        <v>343</v>
      </c>
      <c r="R43" t="s" s="0">
        <v>345</v>
      </c>
      <c r="S43" t="s" s="0">
        <v>346</v>
      </c>
      <c r="T43" t="s" s="0">
        <v>347</v>
      </c>
    </row>
    <row r="44">
      <c r="A44" t="s" s="0">
        <v>348</v>
      </c>
      <c r="B44" t="s" s="0">
        <v>349</v>
      </c>
      <c r="C44" t="s" s="0">
        <v>31</v>
      </c>
      <c r="D44" t="s" s="0">
        <v>350</v>
      </c>
      <c r="E44" t="s" s="0">
        <v>351</v>
      </c>
      <c r="I44" t="s" s="0">
        <v>352</v>
      </c>
      <c r="J44" t="s" s="0">
        <v>94</v>
      </c>
      <c r="L44" s="6">
        <f>IF(K44="","",IF(J44="未稅",ROUND(K44*1.05,0),K44))</f>
        <v/>
      </c>
      <c r="M44" t="s" s="0">
        <v>207</v>
      </c>
      <c r="N44" s="6">
        <f>IF(M44="計入",K44,0)</f>
        <v/>
      </c>
      <c r="O44" s="6">
        <f>IF(M44="計入",L44,0)</f>
        <v/>
      </c>
      <c r="P44" t="s" s="0">
        <v>57</v>
      </c>
      <c r="Q44" t="s" s="0">
        <v>350</v>
      </c>
      <c r="R44" t="s" s="0">
        <v>353</v>
      </c>
      <c r="S44" t="s" s="0">
        <v>354</v>
      </c>
      <c r="T44" t="s" s="0">
        <v>355</v>
      </c>
    </row>
    <row r="45">
      <c r="A45" t="s" s="0">
        <v>356</v>
      </c>
      <c r="B45" t="s" s="0">
        <v>357</v>
      </c>
      <c r="C45" t="s" s="0">
        <v>31</v>
      </c>
      <c r="D45" t="s" s="0">
        <v>336</v>
      </c>
      <c r="E45" t="s" s="0">
        <v>358</v>
      </c>
      <c r="F45" s="5">
        <v>132000</v>
      </c>
      <c r="G45" s="5">
        <v>6600</v>
      </c>
      <c r="H45" s="5">
        <v>138600</v>
      </c>
      <c r="I45" t="s" s="0">
        <v>55</v>
      </c>
      <c r="J45" t="s" s="0">
        <v>55</v>
      </c>
      <c r="K45" s="5">
        <v>138600</v>
      </c>
      <c r="L45" s="6">
        <f>IF(K45="","",IF(J45="未稅",ROUND(K45*1.05,0),K45))</f>
        <v/>
      </c>
      <c r="M45" t="s" s="0">
        <v>56</v>
      </c>
      <c r="N45" s="6">
        <f>IF(M45="計入",K45,0)</f>
        <v/>
      </c>
      <c r="O45" s="6">
        <f>IF(M45="計入",L45,0)</f>
        <v/>
      </c>
      <c r="P45" t="s" s="0">
        <v>57</v>
      </c>
      <c r="Q45" t="s" s="0">
        <v>336</v>
      </c>
      <c r="R45" t="s" s="0">
        <v>359</v>
      </c>
      <c r="S45" t="s" s="0">
        <v>360</v>
      </c>
      <c r="T45" t="s" s="0">
        <v>361</v>
      </c>
    </row>
    <row r="46">
      <c r="A46" t="s" s="0">
        <v>362</v>
      </c>
      <c r="B46" t="s" s="0">
        <v>363</v>
      </c>
      <c r="C46" t="s" s="0">
        <v>27</v>
      </c>
      <c r="D46" t="s" s="0">
        <v>364</v>
      </c>
      <c r="E46" t="s" s="0">
        <v>365</v>
      </c>
      <c r="F46" s="5">
        <v>656775</v>
      </c>
      <c r="H46" s="5">
        <v>656775</v>
      </c>
      <c r="I46" t="s" s="0">
        <v>94</v>
      </c>
      <c r="J46" t="s" s="0">
        <v>94</v>
      </c>
      <c r="K46" s="5">
        <v>656775</v>
      </c>
      <c r="L46" s="6">
        <f>IF(K46="","",IF(J46="未稅",ROUND(K46*1.05,0),K46))</f>
        <v/>
      </c>
      <c r="M46" t="s" s="0">
        <v>56</v>
      </c>
      <c r="N46" s="6">
        <f>IF(M46="計入",K46,0)</f>
        <v/>
      </c>
      <c r="O46" s="6">
        <f>IF(M46="計入",L46,0)</f>
        <v/>
      </c>
      <c r="P46" t="s" s="0">
        <v>57</v>
      </c>
      <c r="Q46" t="s" s="0">
        <v>364</v>
      </c>
      <c r="R46" t="s" s="0">
        <v>366</v>
      </c>
      <c r="S46" t="s" s="0">
        <v>367</v>
      </c>
      <c r="T46" t="s" s="0">
        <v>368</v>
      </c>
    </row>
    <row r="47">
      <c r="A47" t="s" s="0">
        <v>369</v>
      </c>
      <c r="B47" t="s" s="0">
        <v>370</v>
      </c>
      <c r="C47" t="s" s="0">
        <v>27</v>
      </c>
      <c r="D47" t="s" s="0">
        <v>371</v>
      </c>
      <c r="E47" t="s" s="0">
        <v>372</v>
      </c>
      <c r="F47" s="5">
        <v>166116</v>
      </c>
      <c r="G47" s="5">
        <v>8306</v>
      </c>
      <c r="H47" s="5">
        <v>174421</v>
      </c>
      <c r="I47" t="s" s="0">
        <v>55</v>
      </c>
      <c r="J47" t="s" s="0">
        <v>55</v>
      </c>
      <c r="K47" s="5">
        <v>174421</v>
      </c>
      <c r="L47" s="6">
        <f>IF(K47="","",IF(J47="未稅",ROUND(K47*1.05,0),K47))</f>
        <v/>
      </c>
      <c r="M47" t="s" s="0">
        <v>56</v>
      </c>
      <c r="N47" s="6">
        <f>IF(M47="計入",K47,0)</f>
        <v/>
      </c>
      <c r="O47" s="6">
        <f>IF(M47="計入",L47,0)</f>
        <v/>
      </c>
      <c r="P47" t="s" s="0">
        <v>57</v>
      </c>
      <c r="Q47" t="s" s="0">
        <v>371</v>
      </c>
      <c r="R47" t="s" s="0">
        <v>373</v>
      </c>
      <c r="S47" t="s" s="0">
        <v>374</v>
      </c>
      <c r="T47" t="s" s="0">
        <v>375</v>
      </c>
    </row>
    <row r="48">
      <c r="A48" t="s" s="0">
        <v>376</v>
      </c>
      <c r="B48" t="s" s="0">
        <v>377</v>
      </c>
      <c r="C48" t="s" s="0">
        <v>27</v>
      </c>
      <c r="D48" t="s" s="0">
        <v>378</v>
      </c>
      <c r="E48" t="s" s="0">
        <v>379</v>
      </c>
      <c r="I48" t="s" s="0">
        <v>94</v>
      </c>
      <c r="J48" t="s" s="0">
        <v>94</v>
      </c>
      <c r="L48" s="6">
        <f>IF(K48="","",IF(J48="未稅",ROUND(K48*1.05,0),K48))</f>
        <v/>
      </c>
      <c r="M48" t="s" s="0">
        <v>207</v>
      </c>
      <c r="N48" s="6">
        <f>IF(M48="計入",K48,0)</f>
        <v/>
      </c>
      <c r="O48" s="6">
        <f>IF(M48="計入",L48,0)</f>
        <v/>
      </c>
      <c r="P48" t="s" s="0">
        <v>57</v>
      </c>
      <c r="Q48" t="s" s="0">
        <v>378</v>
      </c>
      <c r="R48" t="s" s="0">
        <v>380</v>
      </c>
      <c r="S48" t="s" s="0">
        <v>381</v>
      </c>
      <c r="T48" t="s" s="0">
        <v>382</v>
      </c>
    </row>
    <row r="49">
      <c r="A49" t="s" s="0">
        <v>383</v>
      </c>
      <c r="B49" t="s" s="0">
        <v>335</v>
      </c>
      <c r="C49" t="s" s="0">
        <v>27</v>
      </c>
      <c r="D49" t="s" s="0">
        <v>384</v>
      </c>
      <c r="E49" t="s" s="0">
        <v>385</v>
      </c>
      <c r="F49" s="5">
        <v>16800</v>
      </c>
      <c r="H49" s="5">
        <v>16000</v>
      </c>
      <c r="I49" t="s" s="0">
        <v>94</v>
      </c>
      <c r="J49" t="s" s="0">
        <v>94</v>
      </c>
      <c r="K49" s="5">
        <v>16000</v>
      </c>
      <c r="L49" s="6">
        <f>IF(K49="","",IF(J49="未稅",ROUND(K49*1.05,0),K49))</f>
        <v/>
      </c>
      <c r="M49" t="s" s="0">
        <v>56</v>
      </c>
      <c r="N49" s="6">
        <f>IF(M49="計入",K49,0)</f>
        <v/>
      </c>
      <c r="O49" s="6">
        <f>IF(M49="計入",L49,0)</f>
        <v/>
      </c>
      <c r="P49" t="s" s="0">
        <v>57</v>
      </c>
      <c r="Q49" t="s" s="0">
        <v>384</v>
      </c>
      <c r="R49" t="s" s="0">
        <v>386</v>
      </c>
      <c r="S49" t="s" s="0">
        <v>387</v>
      </c>
      <c r="T49" t="s" s="0">
        <v>388</v>
      </c>
    </row>
    <row r="50">
      <c r="A50" t="s" s="0">
        <v>389</v>
      </c>
      <c r="B50" t="s" s="0">
        <v>390</v>
      </c>
      <c r="C50" t="s" s="0">
        <v>31</v>
      </c>
      <c r="D50" t="s" s="0">
        <v>391</v>
      </c>
      <c r="E50" t="s" s="0">
        <v>372</v>
      </c>
      <c r="F50" s="5">
        <v>2000</v>
      </c>
      <c r="G50" s="5">
        <v>100</v>
      </c>
      <c r="H50" s="5">
        <v>2100</v>
      </c>
      <c r="I50" t="s" s="0">
        <v>392</v>
      </c>
      <c r="J50" t="s" s="0">
        <v>55</v>
      </c>
      <c r="L50" s="6">
        <f>IF(K50="","",IF(J50="未稅",ROUND(K50*1.05,0),K50))</f>
        <v/>
      </c>
      <c r="M50" t="s" s="0">
        <v>207</v>
      </c>
      <c r="N50" s="6">
        <f>IF(M50="計入",K50,0)</f>
        <v/>
      </c>
      <c r="O50" s="6">
        <f>IF(M50="計入",L50,0)</f>
        <v/>
      </c>
      <c r="P50" t="s" s="0">
        <v>57</v>
      </c>
      <c r="Q50" t="s" s="0">
        <v>391</v>
      </c>
      <c r="R50" t="s" s="0">
        <v>393</v>
      </c>
      <c r="S50" t="s" s="0">
        <v>394</v>
      </c>
      <c r="T50" t="s" s="0">
        <v>395</v>
      </c>
    </row>
    <row r="51">
      <c r="A51" t="s" s="0">
        <v>396</v>
      </c>
      <c r="B51" t="s" s="0">
        <v>397</v>
      </c>
      <c r="C51" t="s" s="0">
        <v>30</v>
      </c>
      <c r="D51" t="s" s="0">
        <v>398</v>
      </c>
      <c r="E51" t="s" s="0">
        <v>399</v>
      </c>
      <c r="F51" s="5">
        <v>214140</v>
      </c>
      <c r="G51" s="5">
        <v>10707</v>
      </c>
      <c r="H51" s="5">
        <v>224847</v>
      </c>
      <c r="I51" t="s" s="0">
        <v>55</v>
      </c>
      <c r="J51" t="s" s="0">
        <v>55</v>
      </c>
      <c r="K51" s="5">
        <v>224847</v>
      </c>
      <c r="L51" s="6">
        <f>IF(K51="","",IF(J51="未稅",ROUND(K51*1.05,0),K51))</f>
        <v/>
      </c>
      <c r="M51" t="s" s="0">
        <v>56</v>
      </c>
      <c r="N51" s="6">
        <f>IF(M51="計入",K51,0)</f>
        <v/>
      </c>
      <c r="O51" s="6">
        <f>IF(M51="計入",L51,0)</f>
        <v/>
      </c>
      <c r="P51" t="s" s="0">
        <v>57</v>
      </c>
      <c r="Q51" t="s" s="0">
        <v>398</v>
      </c>
      <c r="R51" t="s" s="0">
        <v>400</v>
      </c>
      <c r="S51" t="s" s="0">
        <v>401</v>
      </c>
      <c r="T51" t="s" s="0">
        <v>402</v>
      </c>
    </row>
    <row r="52">
      <c r="A52" t="s" s="0">
        <v>403</v>
      </c>
      <c r="B52" t="s" s="0">
        <v>404</v>
      </c>
      <c r="C52" t="s" s="0">
        <v>28</v>
      </c>
      <c r="D52" t="s" s="0">
        <v>336</v>
      </c>
      <c r="E52" t="s" s="0">
        <v>405</v>
      </c>
      <c r="F52" s="5">
        <v>11700</v>
      </c>
      <c r="G52" s="5">
        <v>585</v>
      </c>
      <c r="H52" s="5">
        <v>12285</v>
      </c>
      <c r="I52" t="s" s="0">
        <v>55</v>
      </c>
      <c r="J52" t="s" s="0">
        <v>55</v>
      </c>
      <c r="K52" s="5">
        <v>12285</v>
      </c>
      <c r="L52" s="6">
        <f>IF(K52="","",IF(J52="未稅",ROUND(K52*1.05,0),K52))</f>
        <v/>
      </c>
      <c r="M52" t="s" s="0">
        <v>56</v>
      </c>
      <c r="N52" s="6">
        <f>IF(M52="計入",K52,0)</f>
        <v/>
      </c>
      <c r="O52" s="6">
        <f>IF(M52="計入",L52,0)</f>
        <v/>
      </c>
      <c r="P52" t="s" s="0">
        <v>57</v>
      </c>
      <c r="Q52" t="s" s="0">
        <v>336</v>
      </c>
      <c r="R52" t="s" s="0">
        <v>406</v>
      </c>
      <c r="S52" t="s" s="0">
        <v>407</v>
      </c>
      <c r="T52" t="s" s="0">
        <v>408</v>
      </c>
    </row>
    <row r="53">
      <c r="A53" t="s" s="0">
        <v>409</v>
      </c>
      <c r="B53" t="s" s="0">
        <v>184</v>
      </c>
      <c r="C53" t="s" s="0">
        <v>28</v>
      </c>
      <c r="D53" t="s" s="0">
        <v>384</v>
      </c>
      <c r="E53" t="s" s="0">
        <v>410</v>
      </c>
      <c r="F53" s="5">
        <v>35550</v>
      </c>
      <c r="G53" s="5">
        <v>1778</v>
      </c>
      <c r="H53" s="5">
        <v>35000</v>
      </c>
      <c r="I53" t="s" s="0">
        <v>55</v>
      </c>
      <c r="J53" t="s" s="0">
        <v>55</v>
      </c>
      <c r="K53" s="5">
        <v>35000</v>
      </c>
      <c r="L53" s="6">
        <f>IF(K53="","",IF(J53="未稅",ROUND(K53*1.05,0),K53))</f>
        <v/>
      </c>
      <c r="M53" t="s" s="0">
        <v>56</v>
      </c>
      <c r="N53" s="6">
        <f>IF(M53="計入",K53,0)</f>
        <v/>
      </c>
      <c r="O53" s="6">
        <f>IF(M53="計入",L53,0)</f>
        <v/>
      </c>
      <c r="P53" t="s" s="0">
        <v>57</v>
      </c>
      <c r="Q53" t="s" s="0">
        <v>384</v>
      </c>
      <c r="R53" t="s" s="0">
        <v>411</v>
      </c>
      <c r="S53" t="s" s="0">
        <v>412</v>
      </c>
      <c r="T53" t="s" s="0">
        <v>413</v>
      </c>
    </row>
    <row r="54">
      <c r="A54" t="s" s="0">
        <v>414</v>
      </c>
      <c r="B54" t="s" s="0">
        <v>415</v>
      </c>
      <c r="C54" t="s" s="0">
        <v>32</v>
      </c>
      <c r="D54" t="s" s="0">
        <v>416</v>
      </c>
      <c r="E54" t="s" s="0">
        <v>410</v>
      </c>
      <c r="F54" s="5">
        <v>92000</v>
      </c>
      <c r="G54" s="5">
        <v>4524</v>
      </c>
      <c r="H54" s="5">
        <v>95000</v>
      </c>
      <c r="I54" t="s" s="0">
        <v>55</v>
      </c>
      <c r="J54" t="s" s="0">
        <v>55</v>
      </c>
      <c r="L54" s="6">
        <f>IF(K54="","",IF(J54="未稅",ROUND(K54*1.05,0),K54))</f>
        <v/>
      </c>
      <c r="M54" t="s" s="0">
        <v>65</v>
      </c>
      <c r="N54" s="6">
        <f>IF(M54="計入",K54,0)</f>
        <v/>
      </c>
      <c r="O54" s="6">
        <f>IF(M54="計入",L54,0)</f>
        <v/>
      </c>
      <c r="P54" t="s" s="0">
        <v>57</v>
      </c>
      <c r="Q54" t="s" s="0">
        <v>416</v>
      </c>
      <c r="R54" t="s" s="0">
        <v>417</v>
      </c>
      <c r="S54" t="s" s="0">
        <v>418</v>
      </c>
      <c r="T54" t="s" s="0">
        <v>419</v>
      </c>
    </row>
    <row r="55">
      <c r="A55" t="s" s="0">
        <v>420</v>
      </c>
      <c r="B55" t="s" s="0">
        <v>421</v>
      </c>
      <c r="C55" t="s" s="0">
        <v>30</v>
      </c>
      <c r="D55" t="s" s="0">
        <v>422</v>
      </c>
      <c r="E55" t="s" s="0">
        <v>423</v>
      </c>
      <c r="I55" t="s" s="0">
        <v>352</v>
      </c>
      <c r="J55" t="s" s="0">
        <v>94</v>
      </c>
      <c r="L55" s="6">
        <f>IF(K55="","",IF(J55="未稅",ROUND(K55*1.05,0),K55))</f>
        <v/>
      </c>
      <c r="M55" t="s" s="0">
        <v>207</v>
      </c>
      <c r="N55" s="6">
        <f>IF(M55="計入",K55,0)</f>
        <v/>
      </c>
      <c r="O55" s="6">
        <f>IF(M55="計入",L55,0)</f>
        <v/>
      </c>
      <c r="P55" t="s" s="0">
        <v>145</v>
      </c>
      <c r="Q55" t="s" s="0">
        <v>422</v>
      </c>
      <c r="R55" t="s" s="0">
        <v>424</v>
      </c>
      <c r="S55" t="s" s="0">
        <v>425</v>
      </c>
      <c r="T55" t="s" s="0">
        <v>426</v>
      </c>
    </row>
    <row r="56">
      <c r="A56" t="s" s="0">
        <v>427</v>
      </c>
      <c r="B56" t="s" s="0">
        <v>63</v>
      </c>
      <c r="C56" t="s" s="0">
        <v>31</v>
      </c>
      <c r="D56" t="s" s="0">
        <v>428</v>
      </c>
      <c r="F56" s="5">
        <v>1961998</v>
      </c>
      <c r="G56" s="5">
        <v>98100</v>
      </c>
      <c r="H56" s="5">
        <v>2060098</v>
      </c>
      <c r="I56" t="s" s="0">
        <v>55</v>
      </c>
      <c r="J56" t="s" s="0">
        <v>55</v>
      </c>
      <c r="L56" s="6">
        <f>IF(K56="","",IF(J56="未稅",ROUND(K56*1.05,0),K56))</f>
        <v/>
      </c>
      <c r="M56" t="s" s="0">
        <v>65</v>
      </c>
      <c r="N56" s="6">
        <f>IF(M56="計入",K56,0)</f>
        <v/>
      </c>
      <c r="O56" s="6">
        <f>IF(M56="計入",L56,0)</f>
        <v/>
      </c>
      <c r="P56" t="s" s="0">
        <v>57</v>
      </c>
      <c r="Q56" t="s" s="0">
        <v>428</v>
      </c>
      <c r="R56" t="s" s="0">
        <v>429</v>
      </c>
      <c r="S56" t="s" s="0">
        <v>430</v>
      </c>
      <c r="T56" t="s" s="0">
        <v>431</v>
      </c>
    </row>
    <row r="57">
      <c r="A57" t="s" s="0">
        <v>432</v>
      </c>
      <c r="B57" t="s" s="0">
        <v>241</v>
      </c>
      <c r="C57" t="s" s="0">
        <v>27</v>
      </c>
      <c r="D57" t="s" s="0">
        <v>336</v>
      </c>
      <c r="E57" t="s" s="0">
        <v>433</v>
      </c>
      <c r="F57" s="5">
        <v>10000</v>
      </c>
      <c r="G57" s="5">
        <v>500</v>
      </c>
      <c r="H57" s="5">
        <v>10500</v>
      </c>
      <c r="I57" t="s" s="0">
        <v>55</v>
      </c>
      <c r="J57" t="s" s="0">
        <v>55</v>
      </c>
      <c r="K57" s="5">
        <v>10500</v>
      </c>
      <c r="L57" s="6">
        <f>IF(K57="","",IF(J57="未稅",ROUND(K57*1.05,0),K57))</f>
        <v/>
      </c>
      <c r="M57" t="s" s="0">
        <v>56</v>
      </c>
      <c r="N57" s="6">
        <f>IF(M57="計入",K57,0)</f>
        <v/>
      </c>
      <c r="O57" s="6">
        <f>IF(M57="計入",L57,0)</f>
        <v/>
      </c>
      <c r="P57" t="s" s="0">
        <v>57</v>
      </c>
      <c r="Q57" t="s" s="0">
        <v>336</v>
      </c>
      <c r="R57" t="s" s="0">
        <v>434</v>
      </c>
      <c r="S57" t="s" s="0">
        <v>435</v>
      </c>
      <c r="T57" t="s" s="0">
        <v>436</v>
      </c>
    </row>
    <row r="58">
      <c r="A58" t="s" s="0">
        <v>437</v>
      </c>
      <c r="B58" t="s" s="0">
        <v>415</v>
      </c>
      <c r="C58" t="s" s="0">
        <v>32</v>
      </c>
      <c r="D58" t="s" s="0">
        <v>438</v>
      </c>
      <c r="E58" t="s" s="0">
        <v>410</v>
      </c>
      <c r="F58" s="5">
        <v>92000</v>
      </c>
      <c r="G58" s="5">
        <v>4524</v>
      </c>
      <c r="H58" s="5">
        <v>95000</v>
      </c>
      <c r="I58" t="s" s="0">
        <v>55</v>
      </c>
      <c r="J58" t="s" s="0">
        <v>55</v>
      </c>
      <c r="L58" s="6">
        <f>IF(K58="","",IF(J58="未稅",ROUND(K58*1.05,0),K58))</f>
        <v/>
      </c>
      <c r="M58" t="s" s="0">
        <v>65</v>
      </c>
      <c r="N58" s="6">
        <f>IF(M58="計入",K58,0)</f>
        <v/>
      </c>
      <c r="O58" s="6">
        <f>IF(M58="計入",L58,0)</f>
        <v/>
      </c>
      <c r="P58" t="s" s="0">
        <v>57</v>
      </c>
      <c r="Q58" t="s" s="0">
        <v>438</v>
      </c>
      <c r="R58" t="s" s="0">
        <v>417</v>
      </c>
      <c r="S58" t="s" s="0">
        <v>439</v>
      </c>
      <c r="T58" t="s" s="0">
        <v>440</v>
      </c>
    </row>
    <row r="59">
      <c r="A59" t="s" s="0">
        <v>441</v>
      </c>
      <c r="B59" t="s" s="0">
        <v>415</v>
      </c>
      <c r="C59" t="s" s="0">
        <v>32</v>
      </c>
      <c r="D59" t="s" s="0">
        <v>364</v>
      </c>
      <c r="E59" t="s" s="0">
        <v>410</v>
      </c>
      <c r="F59" s="5">
        <v>92000</v>
      </c>
      <c r="G59" s="5">
        <v>4524</v>
      </c>
      <c r="H59" s="5">
        <v>95000</v>
      </c>
      <c r="I59" t="s" s="0">
        <v>55</v>
      </c>
      <c r="J59" t="s" s="0">
        <v>55</v>
      </c>
      <c r="K59" s="5">
        <v>95000</v>
      </c>
      <c r="L59" s="6">
        <f>IF(K59="","",IF(J59="未稅",ROUND(K59*1.05,0),K59))</f>
        <v/>
      </c>
      <c r="M59" t="s" s="0">
        <v>56</v>
      </c>
      <c r="N59" s="6">
        <f>IF(M59="計入",K59,0)</f>
        <v/>
      </c>
      <c r="O59" s="6">
        <f>IF(M59="計入",L59,0)</f>
        <v/>
      </c>
      <c r="P59" t="s" s="0">
        <v>57</v>
      </c>
      <c r="Q59" t="s" s="0">
        <v>364</v>
      </c>
      <c r="R59" t="s" s="0">
        <v>417</v>
      </c>
      <c r="S59" t="s" s="0">
        <v>442</v>
      </c>
      <c r="T59" t="s" s="0">
        <v>443</v>
      </c>
    </row>
    <row r="60">
      <c r="A60" t="s" s="0">
        <v>444</v>
      </c>
      <c r="B60" t="s" s="0">
        <v>445</v>
      </c>
      <c r="C60" t="s" s="0">
        <v>28</v>
      </c>
      <c r="D60" t="s" s="0">
        <v>378</v>
      </c>
      <c r="E60" t="s" s="0">
        <v>446</v>
      </c>
      <c r="I60" t="s" s="0">
        <v>352</v>
      </c>
      <c r="J60" t="s" s="0">
        <v>94</v>
      </c>
      <c r="L60" s="6">
        <f>IF(K60="","",IF(J60="未稅",ROUND(K60*1.05,0),K60))</f>
        <v/>
      </c>
      <c r="M60" t="s" s="0">
        <v>207</v>
      </c>
      <c r="N60" s="6">
        <f>IF(M60="計入",K60,0)</f>
        <v/>
      </c>
      <c r="O60" s="6">
        <f>IF(M60="計入",L60,0)</f>
        <v/>
      </c>
      <c r="P60" t="s" s="0">
        <v>57</v>
      </c>
      <c r="Q60" t="s" s="0">
        <v>378</v>
      </c>
      <c r="R60" t="s" s="0">
        <v>447</v>
      </c>
      <c r="S60" t="s" s="0">
        <v>448</v>
      </c>
      <c r="T60" t="s" s="0">
        <v>449</v>
      </c>
    </row>
    <row r="61">
      <c r="A61" t="s" s="0">
        <v>450</v>
      </c>
      <c r="B61" t="s" s="0">
        <v>451</v>
      </c>
      <c r="C61" t="s" s="0">
        <v>28</v>
      </c>
      <c r="D61" t="s" s="0">
        <v>336</v>
      </c>
      <c r="E61" t="s" s="0">
        <v>452</v>
      </c>
      <c r="H61" s="5">
        <v>72000</v>
      </c>
      <c r="I61" t="s" s="0">
        <v>55</v>
      </c>
      <c r="J61" t="s" s="0">
        <v>55</v>
      </c>
      <c r="K61" s="5">
        <v>72000</v>
      </c>
      <c r="L61" s="6">
        <f>IF(K61="","",IF(J61="未稅",ROUND(K61*1.05,0),K61))</f>
        <v/>
      </c>
      <c r="M61" t="s" s="0">
        <v>56</v>
      </c>
      <c r="N61" s="6">
        <f>IF(M61="計入",K61,0)</f>
        <v/>
      </c>
      <c r="O61" s="6">
        <f>IF(M61="計入",L61,0)</f>
        <v/>
      </c>
      <c r="P61" t="s" s="0">
        <v>57</v>
      </c>
      <c r="Q61" t="s" s="0">
        <v>336</v>
      </c>
      <c r="R61" t="s" s="0">
        <v>453</v>
      </c>
      <c r="S61" t="s" s="0">
        <v>454</v>
      </c>
      <c r="T61" t="s" s="0">
        <v>455</v>
      </c>
    </row>
    <row r="62">
      <c r="A62" t="s" s="0">
        <v>456</v>
      </c>
      <c r="B62" t="s" s="0">
        <v>63</v>
      </c>
      <c r="C62" t="s" s="0">
        <v>31</v>
      </c>
      <c r="D62" t="s" s="0">
        <v>457</v>
      </c>
      <c r="F62" s="5">
        <v>1980018</v>
      </c>
      <c r="G62" s="5">
        <v>99001</v>
      </c>
      <c r="H62" s="5">
        <v>2079019</v>
      </c>
      <c r="I62" t="s" s="0">
        <v>55</v>
      </c>
      <c r="J62" t="s" s="0">
        <v>55</v>
      </c>
      <c r="K62" s="5">
        <v>2079019</v>
      </c>
      <c r="L62" s="6">
        <f>IF(K62="","",IF(J62="未稅",ROUND(K62*1.05,0),K62))</f>
        <v/>
      </c>
      <c r="M62" t="s" s="0">
        <v>56</v>
      </c>
      <c r="N62" s="6">
        <f>IF(M62="計入",K62,0)</f>
        <v/>
      </c>
      <c r="O62" s="6">
        <f>IF(M62="計入",L62,0)</f>
        <v/>
      </c>
      <c r="P62" t="s" s="0">
        <v>57</v>
      </c>
      <c r="Q62" t="s" s="0">
        <v>457</v>
      </c>
      <c r="R62" t="s" s="0">
        <v>458</v>
      </c>
      <c r="S62" t="s" s="0">
        <v>459</v>
      </c>
      <c r="T62" t="s" s="0">
        <v>460</v>
      </c>
    </row>
    <row r="63">
      <c r="A63" t="s" s="0">
        <v>461</v>
      </c>
      <c r="B63" t="s" s="0">
        <v>143</v>
      </c>
      <c r="C63" t="s" s="0">
        <v>27</v>
      </c>
      <c r="D63" t="s" s="0">
        <v>462</v>
      </c>
      <c r="E63" t="s" s="0">
        <v>463</v>
      </c>
      <c r="H63" s="5">
        <v>267570</v>
      </c>
      <c r="I63" t="s" s="0">
        <v>464</v>
      </c>
      <c r="J63" t="s" s="0">
        <v>55</v>
      </c>
      <c r="K63" s="5">
        <v>267570</v>
      </c>
      <c r="L63" s="6">
        <f>IF(K63="","",IF(J63="未稅",ROUND(K63*1.05,0),K63))</f>
        <v/>
      </c>
      <c r="M63" t="s" s="0">
        <v>56</v>
      </c>
      <c r="N63" s="6">
        <f>IF(M63="計入",K63,0)</f>
        <v/>
      </c>
      <c r="O63" s="6">
        <f>IF(M63="計入",L63,0)</f>
        <v/>
      </c>
      <c r="P63" t="s" s="0">
        <v>57</v>
      </c>
      <c r="Q63" t="s" s="0">
        <v>462</v>
      </c>
      <c r="R63" t="s" s="0">
        <v>462</v>
      </c>
      <c r="S63" t="s" s="0">
        <v>465</v>
      </c>
      <c r="T63" t="s" s="0">
        <v>466</v>
      </c>
    </row>
    <row r="64">
      <c r="A64" t="s" s="0">
        <v>467</v>
      </c>
      <c r="B64" t="s" s="0">
        <v>468</v>
      </c>
      <c r="C64" t="s" s="0">
        <v>27</v>
      </c>
      <c r="D64" t="s" s="0">
        <v>469</v>
      </c>
      <c r="E64" t="s" s="0">
        <v>470</v>
      </c>
      <c r="H64" s="5">
        <v>620000</v>
      </c>
      <c r="I64" t="s" s="0">
        <v>471</v>
      </c>
      <c r="J64" t="s" s="0">
        <v>94</v>
      </c>
      <c r="K64" s="5">
        <v>620000</v>
      </c>
      <c r="L64" s="6">
        <f>IF(K64="","",IF(J64="未稅",ROUND(K64*1.05,0),K64))</f>
        <v/>
      </c>
      <c r="M64" t="s" s="0">
        <v>56</v>
      </c>
      <c r="N64" s="6">
        <f>IF(M64="計入",K64,0)</f>
        <v/>
      </c>
      <c r="O64" s="6">
        <f>IF(M64="計入",L64,0)</f>
        <v/>
      </c>
      <c r="P64" t="s" s="0">
        <v>57</v>
      </c>
      <c r="Q64" t="s" s="0">
        <v>469</v>
      </c>
      <c r="R64" t="s" s="0">
        <v>469</v>
      </c>
      <c r="S64" t="s" s="0">
        <v>472</v>
      </c>
      <c r="T64" t="s" s="0">
        <v>473</v>
      </c>
    </row>
    <row r="65">
      <c r="A65" t="s" s="0">
        <v>474</v>
      </c>
      <c r="B65" t="s" s="0">
        <v>143</v>
      </c>
      <c r="C65" t="s" s="0">
        <v>32</v>
      </c>
      <c r="D65" t="s" s="0">
        <v>475</v>
      </c>
      <c r="H65" s="5">
        <v>105525</v>
      </c>
      <c r="I65" t="s" s="0">
        <v>476</v>
      </c>
      <c r="J65" t="s" s="0">
        <v>55</v>
      </c>
      <c r="K65" s="5">
        <v>105525</v>
      </c>
      <c r="L65" s="6">
        <f>IF(K65="","",IF(J65="未稅",ROUND(K65*1.05,0),K65))</f>
        <v/>
      </c>
      <c r="M65" t="s" s="0">
        <v>56</v>
      </c>
      <c r="N65" s="6">
        <f>IF(M65="計入",K65,0)</f>
        <v/>
      </c>
      <c r="O65" s="6">
        <f>IF(M65="計入",L65,0)</f>
        <v/>
      </c>
      <c r="P65" t="s" s="0">
        <v>57</v>
      </c>
      <c r="Q65" t="s" s="0">
        <v>475</v>
      </c>
      <c r="R65" t="s" s="0">
        <v>475</v>
      </c>
      <c r="S65" t="s" s="0">
        <v>477</v>
      </c>
      <c r="T65" t="s" s="0">
        <v>478</v>
      </c>
    </row>
    <row r="66">
      <c r="A66" t="s" s="0">
        <v>479</v>
      </c>
      <c r="B66" t="s" s="0">
        <v>480</v>
      </c>
      <c r="C66" t="s" s="0">
        <v>28</v>
      </c>
      <c r="D66" t="s" s="0">
        <v>481</v>
      </c>
      <c r="E66" t="s" s="0">
        <v>482</v>
      </c>
      <c r="H66" s="5">
        <v>83423</v>
      </c>
      <c r="I66" t="s" s="0">
        <v>483</v>
      </c>
      <c r="J66" t="s" s="0">
        <v>55</v>
      </c>
      <c r="K66" s="5">
        <v>83423</v>
      </c>
      <c r="L66" s="6">
        <f>IF(K66="","",IF(J66="未稅",ROUND(K66*1.05,0),K66))</f>
        <v/>
      </c>
      <c r="M66" t="s" s="0">
        <v>56</v>
      </c>
      <c r="N66" s="6">
        <f>IF(M66="計入",K66,0)</f>
        <v/>
      </c>
      <c r="O66" s="6">
        <f>IF(M66="計入",L66,0)</f>
        <v/>
      </c>
      <c r="P66" t="s" s="0">
        <v>57</v>
      </c>
      <c r="Q66" t="s" s="0">
        <v>481</v>
      </c>
      <c r="R66" t="s" s="0">
        <v>481</v>
      </c>
      <c r="S66" t="s" s="0">
        <v>484</v>
      </c>
      <c r="T66" t="s" s="0">
        <v>485</v>
      </c>
    </row>
    <row r="67">
      <c r="A67" t="s" s="0">
        <v>486</v>
      </c>
      <c r="B67" t="s" s="0">
        <v>487</v>
      </c>
      <c r="C67" t="s" s="0">
        <v>29</v>
      </c>
      <c r="D67" t="s" s="0">
        <v>488</v>
      </c>
      <c r="E67" t="s" s="0">
        <v>489</v>
      </c>
      <c r="H67" s="5">
        <v>48773</v>
      </c>
      <c r="I67" t="s" s="0">
        <v>490</v>
      </c>
      <c r="J67" t="s" s="0">
        <v>55</v>
      </c>
      <c r="K67" s="5">
        <v>48773</v>
      </c>
      <c r="L67" s="6">
        <f>IF(K67="","",IF(J67="未稅",ROUND(K67*1.05,0),K67))</f>
        <v/>
      </c>
      <c r="M67" t="s" s="0">
        <v>56</v>
      </c>
      <c r="N67" s="6">
        <f>IF(M67="計入",K67,0)</f>
        <v/>
      </c>
      <c r="O67" s="6">
        <f>IF(M67="計入",L67,0)</f>
        <v/>
      </c>
      <c r="P67" t="s" s="0">
        <v>57</v>
      </c>
      <c r="Q67" t="s" s="0">
        <v>488</v>
      </c>
      <c r="R67" t="s" s="0">
        <v>488</v>
      </c>
      <c r="S67" t="s" s="0">
        <v>491</v>
      </c>
      <c r="T67" t="s" s="0">
        <v>492</v>
      </c>
    </row>
    <row r="68">
      <c r="A68" t="s" s="0">
        <v>493</v>
      </c>
      <c r="B68" t="s" s="0">
        <v>468</v>
      </c>
      <c r="C68" t="s" s="0">
        <v>27</v>
      </c>
      <c r="D68" t="s" s="0">
        <v>469</v>
      </c>
      <c r="E68" t="s" s="0">
        <v>494</v>
      </c>
      <c r="H68" s="5">
        <v>118000</v>
      </c>
      <c r="I68" t="s" s="0">
        <v>94</v>
      </c>
      <c r="J68" t="s" s="0">
        <v>94</v>
      </c>
      <c r="K68" s="5">
        <v>118000</v>
      </c>
      <c r="L68" s="6">
        <f>IF(K68="","",IF(J68="未稅",ROUND(K68*1.05,0),K68))</f>
        <v/>
      </c>
      <c r="M68" t="s" s="0">
        <v>56</v>
      </c>
      <c r="N68" s="6">
        <f>IF(M68="計入",K68,0)</f>
        <v/>
      </c>
      <c r="O68" s="6">
        <f>IF(M68="計入",L68,0)</f>
        <v/>
      </c>
      <c r="P68" t="s" s="0">
        <v>57</v>
      </c>
      <c r="Q68" t="s" s="0">
        <v>469</v>
      </c>
      <c r="R68" t="s" s="0">
        <v>469</v>
      </c>
      <c r="S68" t="s" s="0">
        <v>495</v>
      </c>
      <c r="T68" t="s" s="0">
        <v>496</v>
      </c>
    </row>
    <row r="69">
      <c r="A69" t="s" s="0">
        <v>497</v>
      </c>
      <c r="B69" t="s" s="0">
        <v>468</v>
      </c>
      <c r="C69" t="s" s="0">
        <v>27</v>
      </c>
      <c r="D69" t="s" s="0">
        <v>469</v>
      </c>
      <c r="E69" t="s" s="0">
        <v>494</v>
      </c>
      <c r="H69" s="5">
        <v>35000</v>
      </c>
      <c r="I69" t="s" s="0">
        <v>94</v>
      </c>
      <c r="J69" t="s" s="0">
        <v>94</v>
      </c>
      <c r="K69" s="5">
        <v>35000</v>
      </c>
      <c r="L69" s="6">
        <f>IF(K69="","",IF(J69="未稅",ROUND(K69*1.05,0),K69))</f>
        <v/>
      </c>
      <c r="M69" t="s" s="0">
        <v>56</v>
      </c>
      <c r="N69" s="6">
        <f>IF(M69="計入",K69,0)</f>
        <v/>
      </c>
      <c r="O69" s="6">
        <f>IF(M69="計入",L69,0)</f>
        <v/>
      </c>
      <c r="P69" t="s" s="0">
        <v>57</v>
      </c>
      <c r="Q69" t="s" s="0">
        <v>469</v>
      </c>
      <c r="R69" t="s" s="0">
        <v>469</v>
      </c>
      <c r="S69" t="s" s="0">
        <v>498</v>
      </c>
      <c r="T69" t="s" s="0">
        <v>496</v>
      </c>
    </row>
    <row r="70">
      <c r="A70" t="s" s="0">
        <v>499</v>
      </c>
      <c r="B70" t="s" s="0">
        <v>143</v>
      </c>
      <c r="C70" t="s" s="0">
        <v>32</v>
      </c>
      <c r="D70" t="s" s="0">
        <v>500</v>
      </c>
      <c r="H70" s="5">
        <v>63180</v>
      </c>
      <c r="I70" t="s" s="0">
        <v>501</v>
      </c>
      <c r="J70" t="s" s="0">
        <v>270</v>
      </c>
      <c r="K70" s="5">
        <v>63180</v>
      </c>
      <c r="L70" s="6">
        <f>IF(K70="","",IF(J70="未稅",ROUND(K70*1.05,0),K70))</f>
        <v/>
      </c>
      <c r="M70" t="s" s="0">
        <v>56</v>
      </c>
      <c r="N70" s="6">
        <f>IF(M70="計入",K70,0)</f>
        <v/>
      </c>
      <c r="O70" s="6">
        <f>IF(M70="計入",L70,0)</f>
        <v/>
      </c>
      <c r="P70" t="s" s="0">
        <v>145</v>
      </c>
      <c r="Q70" t="s" s="0">
        <v>500</v>
      </c>
      <c r="R70" t="s" s="0">
        <v>500</v>
      </c>
      <c r="S70" t="s" s="0">
        <v>502</v>
      </c>
      <c r="T70" t="s" s="0">
        <v>503</v>
      </c>
    </row>
    <row r="71">
      <c r="A71" t="s" s="0">
        <v>504</v>
      </c>
      <c r="B71" t="s" s="0">
        <v>505</v>
      </c>
      <c r="C71" t="s" s="0">
        <v>28</v>
      </c>
      <c r="D71" t="s" s="0">
        <v>506</v>
      </c>
      <c r="E71" t="s" s="0">
        <v>507</v>
      </c>
      <c r="H71" s="5">
        <v>32550</v>
      </c>
      <c r="I71" t="s" s="0">
        <v>508</v>
      </c>
      <c r="J71" t="s" s="0">
        <v>55</v>
      </c>
      <c r="K71" s="5">
        <v>32550</v>
      </c>
      <c r="L71" s="6">
        <f>IF(K71="","",IF(J71="未稅",ROUND(K71*1.05,0),K71))</f>
        <v/>
      </c>
      <c r="M71" t="s" s="0">
        <v>56</v>
      </c>
      <c r="N71" s="6">
        <f>IF(M71="計入",K71,0)</f>
        <v/>
      </c>
      <c r="O71" s="6">
        <f>IF(M71="計入",L71,0)</f>
        <v/>
      </c>
      <c r="P71" t="s" s="0">
        <v>57</v>
      </c>
      <c r="Q71" t="s" s="0">
        <v>506</v>
      </c>
      <c r="R71" t="s" s="0">
        <v>506</v>
      </c>
      <c r="S71" t="s" s="0">
        <v>509</v>
      </c>
    </row>
    <row r="72">
      <c r="A72" t="s" s="0">
        <v>510</v>
      </c>
      <c r="B72" t="s" s="0">
        <v>468</v>
      </c>
      <c r="C72" t="s" s="0">
        <v>30</v>
      </c>
      <c r="D72" t="s" s="0">
        <v>511</v>
      </c>
      <c r="E72" t="s" s="0">
        <v>512</v>
      </c>
      <c r="H72" s="5">
        <v>18000</v>
      </c>
      <c r="I72" t="s" s="0">
        <v>94</v>
      </c>
      <c r="J72" t="s" s="0">
        <v>94</v>
      </c>
      <c r="K72" s="5">
        <v>18000</v>
      </c>
      <c r="L72" s="6">
        <f>IF(K72="","",IF(J72="未稅",ROUND(K72*1.05,0),K72))</f>
        <v/>
      </c>
      <c r="M72" t="s" s="0">
        <v>56</v>
      </c>
      <c r="N72" s="6">
        <f>IF(M72="計入",K72,0)</f>
        <v/>
      </c>
      <c r="O72" s="6">
        <f>IF(M72="計入",L72,0)</f>
        <v/>
      </c>
      <c r="P72" t="s" s="0">
        <v>57</v>
      </c>
      <c r="Q72" t="s" s="0">
        <v>511</v>
      </c>
      <c r="R72" t="s" s="0">
        <v>513</v>
      </c>
      <c r="S72" t="s" s="0">
        <v>514</v>
      </c>
      <c r="T72" t="s" s="0">
        <v>515</v>
      </c>
    </row>
    <row r="73">
      <c r="A73" t="s" s="0">
        <v>516</v>
      </c>
      <c r="B73" t="s" s="0">
        <v>275</v>
      </c>
      <c r="C73" t="s" s="0">
        <v>31</v>
      </c>
      <c r="D73" t="s" s="0">
        <v>517</v>
      </c>
      <c r="E73" t="s" s="0">
        <v>512</v>
      </c>
      <c r="I73" t="s" s="0">
        <v>94</v>
      </c>
      <c r="J73" t="s" s="0">
        <v>94</v>
      </c>
      <c r="L73" s="6">
        <f>IF(K73="","",IF(J73="未稅",ROUND(K73*1.05,0),K73))</f>
        <v/>
      </c>
      <c r="M73" t="s" s="0">
        <v>207</v>
      </c>
      <c r="N73" s="6">
        <f>IF(M73="計入",K73,0)</f>
        <v/>
      </c>
      <c r="O73" s="6">
        <f>IF(M73="計入",L73,0)</f>
        <v/>
      </c>
      <c r="P73" t="s" s="0">
        <v>145</v>
      </c>
      <c r="Q73" t="s" s="0">
        <v>517</v>
      </c>
      <c r="R73" t="s" s="0">
        <v>517</v>
      </c>
      <c r="S73" t="s" s="0">
        <v>518</v>
      </c>
      <c r="T73" t="s" s="0">
        <v>519</v>
      </c>
    </row>
    <row r="74">
      <c r="A74" t="s" s="0">
        <v>520</v>
      </c>
      <c r="B74" t="s" s="0">
        <v>275</v>
      </c>
      <c r="C74" t="s" s="0">
        <v>31</v>
      </c>
      <c r="D74" t="s" s="0">
        <v>521</v>
      </c>
      <c r="I74" t="s" s="0">
        <v>94</v>
      </c>
      <c r="J74" t="s" s="0">
        <v>94</v>
      </c>
      <c r="L74" s="6">
        <f>IF(K74="","",IF(J74="未稅",ROUND(K74*1.05,0),K74))</f>
        <v/>
      </c>
      <c r="M74" t="s" s="0">
        <v>207</v>
      </c>
      <c r="N74" s="6">
        <f>IF(M74="計入",K74,0)</f>
        <v/>
      </c>
      <c r="O74" s="6">
        <f>IF(M74="計入",L74,0)</f>
        <v/>
      </c>
      <c r="P74" t="s" s="0">
        <v>145</v>
      </c>
      <c r="Q74" t="s" s="0">
        <v>521</v>
      </c>
      <c r="R74" t="s" s="0">
        <v>521</v>
      </c>
      <c r="S74" t="s" s="0">
        <v>522</v>
      </c>
      <c r="T74" t="s" s="0">
        <v>523</v>
      </c>
    </row>
    <row r="75">
      <c r="A75" t="s" s="0">
        <v>524</v>
      </c>
      <c r="B75" t="s" s="0">
        <v>525</v>
      </c>
      <c r="C75" t="s" s="0">
        <v>28</v>
      </c>
      <c r="D75" t="s" s="0">
        <v>526</v>
      </c>
      <c r="E75" t="s" s="0">
        <v>527</v>
      </c>
      <c r="H75" s="5">
        <v>691373</v>
      </c>
      <c r="I75" t="s" s="0">
        <v>55</v>
      </c>
      <c r="J75" t="s" s="0">
        <v>55</v>
      </c>
      <c r="K75" s="5">
        <v>690000</v>
      </c>
      <c r="L75" s="6">
        <f>IF(K75="","",IF(J75="未稅",ROUND(K75*1.05,0),K75))</f>
        <v/>
      </c>
      <c r="M75" t="s" s="0">
        <v>56</v>
      </c>
      <c r="N75" s="6">
        <f>IF(M75="計入",K75,0)</f>
        <v/>
      </c>
      <c r="O75" s="6">
        <f>IF(M75="計入",L75,0)</f>
        <v/>
      </c>
      <c r="P75" t="s" s="0">
        <v>57</v>
      </c>
      <c r="Q75" t="s" s="0">
        <v>526</v>
      </c>
      <c r="R75" t="s" s="0">
        <v>528</v>
      </c>
      <c r="S75" t="s" s="0">
        <v>529</v>
      </c>
      <c r="T75" t="s" s="0">
        <v>530</v>
      </c>
    </row>
    <row r="76">
      <c r="A76" t="s" s="0">
        <v>531</v>
      </c>
      <c r="B76" t="s" s="0">
        <v>468</v>
      </c>
      <c r="C76" t="s" s="0">
        <v>27</v>
      </c>
      <c r="D76" t="s" s="0">
        <v>532</v>
      </c>
      <c r="E76" t="s" s="0">
        <v>533</v>
      </c>
      <c r="H76" s="5">
        <v>14500</v>
      </c>
      <c r="I76" t="s" s="0">
        <v>94</v>
      </c>
      <c r="J76" t="s" s="0">
        <v>94</v>
      </c>
      <c r="K76" s="5">
        <v>14500</v>
      </c>
      <c r="L76" s="6">
        <f>IF(K76="","",IF(J76="未稅",ROUND(K76*1.05,0),K76))</f>
        <v/>
      </c>
      <c r="M76" t="s" s="0">
        <v>56</v>
      </c>
      <c r="N76" s="6">
        <f>IF(M76="計入",K76,0)</f>
        <v/>
      </c>
      <c r="O76" s="6">
        <f>IF(M76="計入",L76,0)</f>
        <v/>
      </c>
      <c r="P76" t="s" s="0">
        <v>57</v>
      </c>
      <c r="Q76" t="s" s="0">
        <v>532</v>
      </c>
      <c r="R76" t="s" s="0">
        <v>532</v>
      </c>
      <c r="S76" t="s" s="0">
        <v>534</v>
      </c>
      <c r="T76" t="s" s="0">
        <v>535</v>
      </c>
    </row>
    <row r="77">
      <c r="A77" t="s" s="0">
        <v>536</v>
      </c>
      <c r="B77" t="s" s="0">
        <v>143</v>
      </c>
      <c r="C77" t="s" s="0">
        <v>32</v>
      </c>
      <c r="D77" t="s" s="0">
        <v>537</v>
      </c>
      <c r="E77" t="s" s="0">
        <v>538</v>
      </c>
      <c r="H77" s="5">
        <v>6000</v>
      </c>
      <c r="I77" t="s" s="0">
        <v>539</v>
      </c>
      <c r="J77" t="s" s="0">
        <v>55</v>
      </c>
      <c r="K77" s="5">
        <v>6000</v>
      </c>
      <c r="L77" s="6">
        <f>IF(K77="","",IF(J77="未稅",ROUND(K77*1.05,0),K77))</f>
        <v/>
      </c>
      <c r="M77" t="s" s="0">
        <v>56</v>
      </c>
      <c r="N77" s="6">
        <f>IF(M77="計入",K77,0)</f>
        <v/>
      </c>
      <c r="O77" s="6">
        <f>IF(M77="計入",L77,0)</f>
        <v/>
      </c>
      <c r="P77" t="s" s="0">
        <v>145</v>
      </c>
      <c r="Q77" t="s" s="0">
        <v>537</v>
      </c>
      <c r="R77" t="s" s="0">
        <v>537</v>
      </c>
      <c r="S77" t="s" s="0">
        <v>540</v>
      </c>
      <c r="T77" t="s" s="0">
        <v>541</v>
      </c>
    </row>
    <row r="78">
      <c r="A78" t="s" s="0">
        <v>542</v>
      </c>
      <c r="B78" t="s" s="0">
        <v>543</v>
      </c>
      <c r="C78" t="s" s="0">
        <v>30</v>
      </c>
      <c r="D78" t="s" s="0">
        <v>544</v>
      </c>
      <c r="E78" t="s" s="0">
        <v>545</v>
      </c>
      <c r="H78" s="5">
        <v>40058</v>
      </c>
      <c r="I78" t="s" s="0">
        <v>546</v>
      </c>
      <c r="J78" t="s" s="0">
        <v>55</v>
      </c>
      <c r="L78" s="6">
        <f>IF(K78="","",IF(J78="未稅",ROUND(K78*1.05,0),K78))</f>
        <v/>
      </c>
      <c r="M78" t="s" s="0">
        <v>65</v>
      </c>
      <c r="N78" s="6">
        <f>IF(M78="計入",K78,0)</f>
        <v/>
      </c>
      <c r="O78" s="6">
        <f>IF(M78="計入",L78,0)</f>
        <v/>
      </c>
      <c r="P78" t="s" s="0">
        <v>57</v>
      </c>
      <c r="Q78" t="s" s="0">
        <v>544</v>
      </c>
      <c r="R78" t="s" s="0">
        <v>544</v>
      </c>
      <c r="S78" t="s" s="0">
        <v>547</v>
      </c>
      <c r="T78" t="s" s="0">
        <v>548</v>
      </c>
    </row>
    <row r="79">
      <c r="A79" t="s" s="0">
        <v>549</v>
      </c>
      <c r="B79" t="s" s="0">
        <v>550</v>
      </c>
      <c r="C79" t="s" s="0">
        <v>28</v>
      </c>
      <c r="D79" t="s" s="0">
        <v>551</v>
      </c>
      <c r="H79" s="5">
        <v>159000</v>
      </c>
      <c r="I79" t="s" s="0">
        <v>552</v>
      </c>
      <c r="J79" t="s" s="0">
        <v>55</v>
      </c>
      <c r="K79" s="5">
        <v>159000</v>
      </c>
      <c r="L79" s="6">
        <f>IF(K79="","",IF(J79="未稅",ROUND(K79*1.05,0),K79))</f>
        <v/>
      </c>
      <c r="M79" t="s" s="0">
        <v>56</v>
      </c>
      <c r="N79" s="6">
        <f>IF(M79="計入",K79,0)</f>
        <v/>
      </c>
      <c r="O79" s="6">
        <f>IF(M79="計入",L79,0)</f>
        <v/>
      </c>
      <c r="P79" t="s" s="0">
        <v>57</v>
      </c>
      <c r="Q79" t="s" s="0">
        <v>551</v>
      </c>
      <c r="R79" t="s" s="0">
        <v>551</v>
      </c>
      <c r="S79" t="s" s="0">
        <v>553</v>
      </c>
      <c r="T79" t="s" s="0">
        <v>554</v>
      </c>
    </row>
    <row r="80">
      <c r="A80" t="s" s="0">
        <v>555</v>
      </c>
      <c r="B80" t="s" s="0">
        <v>543</v>
      </c>
      <c r="C80" t="s" s="0">
        <v>30</v>
      </c>
      <c r="D80" t="s" s="0">
        <v>556</v>
      </c>
      <c r="E80" t="s" s="0">
        <v>557</v>
      </c>
      <c r="H80" s="5">
        <v>44783</v>
      </c>
      <c r="I80" t="s" s="0">
        <v>558</v>
      </c>
      <c r="J80" t="s" s="0">
        <v>55</v>
      </c>
      <c r="K80" s="5">
        <v>44783</v>
      </c>
      <c r="L80" s="6">
        <f>IF(K80="","",IF(J80="未稅",ROUND(K80*1.05,0),K80))</f>
        <v/>
      </c>
      <c r="M80" t="s" s="0">
        <v>56</v>
      </c>
      <c r="N80" s="6">
        <f>IF(M80="計入",K80,0)</f>
        <v/>
      </c>
      <c r="O80" s="6">
        <f>IF(M80="計入",L80,0)</f>
        <v/>
      </c>
      <c r="P80" t="s" s="0">
        <v>57</v>
      </c>
      <c r="Q80" t="s" s="0">
        <v>556</v>
      </c>
      <c r="R80" t="s" s="0">
        <v>556</v>
      </c>
      <c r="S80" t="s" s="0">
        <v>559</v>
      </c>
      <c r="T80" t="s" s="0">
        <v>560</v>
      </c>
    </row>
    <row r="81">
      <c r="A81" t="s" s="0">
        <v>561</v>
      </c>
      <c r="B81" t="s" s="0">
        <v>562</v>
      </c>
      <c r="C81" t="s" s="0">
        <v>29</v>
      </c>
      <c r="D81" t="s" s="0">
        <v>563</v>
      </c>
      <c r="H81" s="5">
        <v>10500000</v>
      </c>
      <c r="I81" t="s" s="0">
        <v>564</v>
      </c>
      <c r="J81" t="s" s="0">
        <v>55</v>
      </c>
      <c r="K81" s="5">
        <v>10500000</v>
      </c>
      <c r="L81" s="6">
        <f>IF(K81="","",IF(J81="未稅",ROUND(K81*1.05,0),K81))</f>
        <v/>
      </c>
      <c r="M81" t="s" s="0">
        <v>56</v>
      </c>
      <c r="N81" s="6">
        <f>IF(M81="計入",K81,0)</f>
        <v/>
      </c>
      <c r="O81" s="6">
        <f>IF(M81="計入",L81,0)</f>
        <v/>
      </c>
      <c r="P81" t="s" s="0">
        <v>57</v>
      </c>
      <c r="Q81" t="s" s="0">
        <v>563</v>
      </c>
      <c r="R81" t="s" s="0">
        <v>563</v>
      </c>
      <c r="S81" t="s" s="0">
        <v>565</v>
      </c>
      <c r="T81" t="s" s="0">
        <v>566</v>
      </c>
    </row>
    <row r="82">
      <c r="A82" t="s" s="0">
        <v>567</v>
      </c>
      <c r="B82" t="s" s="0">
        <v>568</v>
      </c>
      <c r="C82" t="s" s="0">
        <v>27</v>
      </c>
      <c r="D82" t="s" s="0">
        <v>569</v>
      </c>
      <c r="E82" t="s" s="0">
        <v>570</v>
      </c>
      <c r="H82" s="5">
        <v>616950</v>
      </c>
      <c r="I82" t="s" s="0">
        <v>571</v>
      </c>
      <c r="J82" t="s" s="0">
        <v>94</v>
      </c>
      <c r="L82" s="6">
        <f>IF(K82="","",IF(J82="未稅",ROUND(K82*1.05,0),K82))</f>
        <v/>
      </c>
      <c r="M82" t="s" s="0">
        <v>65</v>
      </c>
      <c r="N82" s="6">
        <f>IF(M82="計入",K82,0)</f>
        <v/>
      </c>
      <c r="O82" s="6">
        <f>IF(M82="計入",L82,0)</f>
        <v/>
      </c>
      <c r="P82" t="s" s="0">
        <v>57</v>
      </c>
      <c r="Q82" t="s" s="0">
        <v>569</v>
      </c>
      <c r="R82" t="s" s="0">
        <v>569</v>
      </c>
      <c r="S82" t="s" s="0">
        <v>572</v>
      </c>
      <c r="T82" t="s" s="0">
        <v>573</v>
      </c>
    </row>
    <row r="83">
      <c r="A83" t="s" s="0">
        <v>574</v>
      </c>
      <c r="B83" t="s" s="0">
        <v>575</v>
      </c>
      <c r="C83" t="s" s="0">
        <v>27</v>
      </c>
      <c r="D83" t="s" s="0">
        <v>576</v>
      </c>
      <c r="E83" t="s" s="0">
        <v>577</v>
      </c>
      <c r="H83" s="5">
        <v>1134000</v>
      </c>
      <c r="I83" t="s" s="0">
        <v>55</v>
      </c>
      <c r="J83" t="s" s="0">
        <v>55</v>
      </c>
      <c r="K83" s="5">
        <v>1134000</v>
      </c>
      <c r="L83" s="6">
        <f>IF(K83="","",IF(J83="未稅",ROUND(K83*1.05,0),K83))</f>
        <v/>
      </c>
      <c r="M83" t="s" s="0">
        <v>56</v>
      </c>
      <c r="N83" s="6">
        <f>IF(M83="計入",K83,0)</f>
        <v/>
      </c>
      <c r="O83" s="6">
        <f>IF(M83="計入",L83,0)</f>
        <v/>
      </c>
      <c r="P83" t="s" s="0">
        <v>57</v>
      </c>
      <c r="Q83" t="s" s="0">
        <v>576</v>
      </c>
      <c r="R83" t="s" s="0">
        <v>578</v>
      </c>
      <c r="S83" t="s" s="0">
        <v>579</v>
      </c>
      <c r="T83" t="s" s="0">
        <v>580</v>
      </c>
    </row>
    <row r="84">
      <c r="A84" t="s" s="0">
        <v>581</v>
      </c>
      <c r="B84" t="s" s="0">
        <v>575</v>
      </c>
      <c r="C84" t="s" s="0">
        <v>27</v>
      </c>
      <c r="D84" t="s" s="0">
        <v>582</v>
      </c>
      <c r="E84" t="s" s="0">
        <v>577</v>
      </c>
      <c r="H84" s="5">
        <v>638400</v>
      </c>
      <c r="I84" t="s" s="0">
        <v>55</v>
      </c>
      <c r="J84" t="s" s="0">
        <v>55</v>
      </c>
      <c r="K84" s="5">
        <v>638400</v>
      </c>
      <c r="L84" s="6">
        <f>IF(K84="","",IF(J84="未稅",ROUND(K84*1.05,0),K84))</f>
        <v/>
      </c>
      <c r="M84" t="s" s="0">
        <v>56</v>
      </c>
      <c r="N84" s="6">
        <f>IF(M84="計入",K84,0)</f>
        <v/>
      </c>
      <c r="O84" s="6">
        <f>IF(M84="計入",L84,0)</f>
        <v/>
      </c>
      <c r="P84" t="s" s="0">
        <v>57</v>
      </c>
      <c r="Q84" t="s" s="0">
        <v>582</v>
      </c>
      <c r="R84" t="s" s="0">
        <v>583</v>
      </c>
      <c r="S84" t="s" s="0">
        <v>584</v>
      </c>
      <c r="T84" t="s" s="0">
        <v>585</v>
      </c>
    </row>
    <row r="85">
      <c r="A85" t="s" s="0">
        <v>586</v>
      </c>
      <c r="B85" t="s" s="0">
        <v>575</v>
      </c>
      <c r="C85" t="s" s="0">
        <v>27</v>
      </c>
      <c r="D85" t="s" s="0">
        <v>587</v>
      </c>
      <c r="E85" t="s" s="0">
        <v>577</v>
      </c>
      <c r="H85" s="5">
        <v>172200</v>
      </c>
      <c r="I85" t="s" s="0">
        <v>55</v>
      </c>
      <c r="J85" t="s" s="0">
        <v>55</v>
      </c>
      <c r="K85" s="5">
        <v>12600</v>
      </c>
      <c r="L85" s="6">
        <f>IF(K85="","",IF(J85="未稅",ROUND(K85*1.05,0),K85))</f>
        <v/>
      </c>
      <c r="M85" t="s" s="0">
        <v>56</v>
      </c>
      <c r="N85" s="6">
        <f>IF(M85="計入",K85,0)</f>
        <v/>
      </c>
      <c r="O85" s="6">
        <f>IF(M85="計入",L85,0)</f>
        <v/>
      </c>
      <c r="P85" t="s" s="0">
        <v>57</v>
      </c>
      <c r="Q85" t="s" s="0">
        <v>587</v>
      </c>
      <c r="R85" t="s" s="0">
        <v>588</v>
      </c>
      <c r="S85" t="s" s="0">
        <v>589</v>
      </c>
      <c r="T85" t="s" s="0">
        <v>590</v>
      </c>
    </row>
    <row r="86">
      <c r="A86" t="s" s="0">
        <v>591</v>
      </c>
      <c r="B86" t="s" s="0">
        <v>592</v>
      </c>
      <c r="C86" t="s" s="0">
        <v>30</v>
      </c>
      <c r="D86" t="s" s="0">
        <v>593</v>
      </c>
      <c r="E86" t="s" s="0">
        <v>594</v>
      </c>
      <c r="I86" t="s" s="0">
        <v>595</v>
      </c>
      <c r="J86" t="s" s="0">
        <v>55</v>
      </c>
      <c r="L86" s="6">
        <f>IF(K86="","",IF(J86="未稅",ROUND(K86*1.05,0),K86))</f>
        <v/>
      </c>
      <c r="M86" t="s" s="0">
        <v>207</v>
      </c>
      <c r="N86" s="6">
        <f>IF(M86="計入",K86,0)</f>
        <v/>
      </c>
      <c r="O86" s="6">
        <f>IF(M86="計入",L86,0)</f>
        <v/>
      </c>
      <c r="P86" t="s" s="0">
        <v>145</v>
      </c>
      <c r="Q86" t="s" s="0">
        <v>593</v>
      </c>
      <c r="R86" t="s" s="0">
        <v>593</v>
      </c>
      <c r="S86" t="s" s="0">
        <v>596</v>
      </c>
      <c r="T86" t="s" s="0">
        <v>597</v>
      </c>
    </row>
    <row r="87">
      <c r="A87" t="s" s="0">
        <v>598</v>
      </c>
      <c r="B87" t="s" s="0">
        <v>599</v>
      </c>
      <c r="C87" t="s" s="0">
        <v>29</v>
      </c>
      <c r="D87" t="s" s="0">
        <v>600</v>
      </c>
      <c r="H87" s="5">
        <v>381000</v>
      </c>
      <c r="I87" t="s" s="0">
        <v>601</v>
      </c>
      <c r="J87" t="s" s="0">
        <v>55</v>
      </c>
      <c r="K87" s="5">
        <v>381000</v>
      </c>
      <c r="L87" s="6">
        <f>IF(K87="","",IF(J87="未稅",ROUND(K87*1.05,0),K87))</f>
        <v/>
      </c>
      <c r="M87" t="s" s="0">
        <v>56</v>
      </c>
      <c r="N87" s="6">
        <f>IF(M87="計入",K87,0)</f>
        <v/>
      </c>
      <c r="O87" s="6">
        <f>IF(M87="計入",L87,0)</f>
        <v/>
      </c>
      <c r="P87" t="s" s="0">
        <v>57</v>
      </c>
      <c r="Q87" t="s" s="0">
        <v>600</v>
      </c>
      <c r="R87" t="s" s="0">
        <v>600</v>
      </c>
      <c r="S87" t="s" s="0">
        <v>602</v>
      </c>
      <c r="T87" t="s" s="0">
        <v>603</v>
      </c>
    </row>
    <row r="88">
      <c r="A88" t="s" s="0">
        <v>604</v>
      </c>
      <c r="B88" t="s" s="0">
        <v>599</v>
      </c>
      <c r="C88" t="s" s="0">
        <v>29</v>
      </c>
      <c r="D88" t="s" s="0">
        <v>605</v>
      </c>
      <c r="H88" s="5">
        <v>889000</v>
      </c>
      <c r="I88" t="s" s="0">
        <v>601</v>
      </c>
      <c r="J88" t="s" s="0">
        <v>55</v>
      </c>
      <c r="K88" s="5">
        <v>889000</v>
      </c>
      <c r="L88" s="6">
        <f>IF(K88="","",IF(J88="未稅",ROUND(K88*1.05,0),K88))</f>
        <v/>
      </c>
      <c r="M88" t="s" s="0">
        <v>56</v>
      </c>
      <c r="N88" s="6">
        <f>IF(M88="計入",K88,0)</f>
        <v/>
      </c>
      <c r="O88" s="6">
        <f>IF(M88="計入",L88,0)</f>
        <v/>
      </c>
      <c r="P88" t="s" s="0">
        <v>57</v>
      </c>
      <c r="Q88" t="s" s="0">
        <v>605</v>
      </c>
      <c r="R88" t="s" s="0">
        <v>605</v>
      </c>
      <c r="S88" t="s" s="0">
        <v>606</v>
      </c>
      <c r="T88" t="s" s="0">
        <v>607</v>
      </c>
    </row>
    <row r="89">
      <c r="A89" t="s" s="0">
        <v>608</v>
      </c>
      <c r="B89" t="s" s="0">
        <v>609</v>
      </c>
      <c r="C89" t="s" s="0">
        <v>27</v>
      </c>
      <c r="D89" t="s" s="0">
        <v>610</v>
      </c>
      <c r="E89" t="s" s="0">
        <v>611</v>
      </c>
      <c r="I89" t="s" s="0">
        <v>612</v>
      </c>
      <c r="J89" t="s" s="0">
        <v>270</v>
      </c>
      <c r="L89" s="6">
        <f>IF(K89="","",IF(J89="未稅",ROUND(K89*1.05,0),K89))</f>
        <v/>
      </c>
      <c r="M89" t="s" s="0">
        <v>65</v>
      </c>
      <c r="N89" s="6">
        <f>IF(M89="計入",K89,0)</f>
        <v/>
      </c>
      <c r="O89" s="6">
        <f>IF(M89="計入",L89,0)</f>
        <v/>
      </c>
      <c r="P89" t="s" s="0">
        <v>57</v>
      </c>
      <c r="Q89" t="s" s="0">
        <v>610</v>
      </c>
      <c r="R89" t="s" s="0">
        <v>610</v>
      </c>
      <c r="S89" t="s" s="0">
        <v>613</v>
      </c>
      <c r="T89" t="s" s="0">
        <v>614</v>
      </c>
    </row>
    <row r="90">
      <c r="A90" t="s" s="0">
        <v>615</v>
      </c>
      <c r="C90" t="s" s="0">
        <v>29</v>
      </c>
      <c r="D90" t="s" s="0">
        <v>616</v>
      </c>
      <c r="I90" t="s" s="0">
        <v>617</v>
      </c>
      <c r="J90" t="s" s="0">
        <v>270</v>
      </c>
      <c r="L90" s="6">
        <f>IF(K90="","",IF(J90="未稅",ROUND(K90*1.05,0),K90))</f>
        <v/>
      </c>
      <c r="M90" t="s" s="0">
        <v>95</v>
      </c>
      <c r="N90" s="6">
        <f>IF(M90="計入",K90,0)</f>
        <v/>
      </c>
      <c r="O90" s="6">
        <f>IF(M90="計入",L90,0)</f>
        <v/>
      </c>
      <c r="P90" t="s" s="0">
        <v>57</v>
      </c>
      <c r="Q90" t="s" s="0">
        <v>616</v>
      </c>
      <c r="R90" t="s" s="0">
        <v>616</v>
      </c>
      <c r="S90" t="s" s="0">
        <v>618</v>
      </c>
      <c r="T90" t="s" s="0">
        <v>619</v>
      </c>
    </row>
    <row r="91">
      <c r="A91" t="s" s="0">
        <v>620</v>
      </c>
      <c r="B91" t="s" s="0">
        <v>609</v>
      </c>
      <c r="C91" t="s" s="0">
        <v>30</v>
      </c>
      <c r="D91" t="s" s="0">
        <v>621</v>
      </c>
      <c r="E91" t="s" s="0">
        <v>622</v>
      </c>
      <c r="H91" s="5">
        <v>24150000</v>
      </c>
      <c r="I91" t="s" s="0">
        <v>55</v>
      </c>
      <c r="J91" t="s" s="0">
        <v>55</v>
      </c>
      <c r="K91" s="5">
        <v>24150000</v>
      </c>
      <c r="L91" s="6">
        <f>IF(K91="","",IF(J91="未稅",ROUND(K91*1.05,0),K91))</f>
        <v/>
      </c>
      <c r="M91" t="s" s="0">
        <v>56</v>
      </c>
      <c r="N91" s="6">
        <f>IF(M91="計入",K91,0)</f>
        <v/>
      </c>
      <c r="O91" s="6">
        <f>IF(M91="計入",L91,0)</f>
        <v/>
      </c>
      <c r="P91" t="s" s="0">
        <v>57</v>
      </c>
      <c r="Q91" t="s" s="0">
        <v>621</v>
      </c>
      <c r="R91" t="s" s="0">
        <v>621</v>
      </c>
      <c r="S91" t="s" s="0">
        <v>623</v>
      </c>
      <c r="T91" t="s" s="0">
        <v>624</v>
      </c>
    </row>
    <row r="92">
      <c r="A92" t="s" s="0">
        <v>625</v>
      </c>
      <c r="C92" t="s" s="0">
        <v>31</v>
      </c>
      <c r="D92" t="s" s="0">
        <v>626</v>
      </c>
      <c r="H92" s="5">
        <v>1036530</v>
      </c>
      <c r="I92" t="s" s="0">
        <v>501</v>
      </c>
      <c r="J92" t="s" s="0">
        <v>270</v>
      </c>
      <c r="L92" s="6">
        <f>IF(K92="","",IF(J92="未稅",ROUND(K92*1.05,0),K92))</f>
        <v/>
      </c>
      <c r="M92" t="s" s="0">
        <v>95</v>
      </c>
      <c r="N92" s="6">
        <f>IF(M92="計入",K92,0)</f>
        <v/>
      </c>
      <c r="O92" s="6">
        <f>IF(M92="計入",L92,0)</f>
        <v/>
      </c>
      <c r="P92" t="s" s="0">
        <v>57</v>
      </c>
      <c r="Q92" t="s" s="0">
        <v>626</v>
      </c>
      <c r="R92" t="s" s="0">
        <v>626</v>
      </c>
      <c r="S92" t="s" s="0">
        <v>627</v>
      </c>
      <c r="T92" t="s" s="0">
        <v>628</v>
      </c>
    </row>
    <row r="93">
      <c r="A93" t="s" s="0">
        <v>629</v>
      </c>
      <c r="B93" t="s" s="0">
        <v>630</v>
      </c>
      <c r="C93" t="s" s="0">
        <v>30</v>
      </c>
      <c r="D93" t="s" s="0">
        <v>631</v>
      </c>
      <c r="E93" t="s" s="0">
        <v>632</v>
      </c>
      <c r="H93" s="5">
        <v>419997</v>
      </c>
      <c r="I93" t="s" s="0">
        <v>633</v>
      </c>
      <c r="J93" t="s" s="0">
        <v>55</v>
      </c>
      <c r="K93" s="5">
        <v>419997</v>
      </c>
      <c r="L93" s="6">
        <f>IF(K93="","",IF(J93="未稅",ROUND(K93*1.05,0),K93))</f>
        <v/>
      </c>
      <c r="M93" t="s" s="0">
        <v>56</v>
      </c>
      <c r="N93" s="6">
        <f>IF(M93="計入",K93,0)</f>
        <v/>
      </c>
      <c r="O93" s="6">
        <f>IF(M93="計入",L93,0)</f>
        <v/>
      </c>
      <c r="P93" t="s" s="0">
        <v>57</v>
      </c>
      <c r="Q93" t="s" s="0">
        <v>631</v>
      </c>
      <c r="R93" t="s" s="0">
        <v>631</v>
      </c>
      <c r="S93" t="s" s="0">
        <v>634</v>
      </c>
      <c r="T93" t="s" s="0">
        <v>635</v>
      </c>
    </row>
    <row r="94">
      <c r="A94" t="s" s="0">
        <v>636</v>
      </c>
      <c r="B94" t="s" s="0">
        <v>637</v>
      </c>
      <c r="C94" t="s" s="0">
        <v>29</v>
      </c>
      <c r="D94" t="s" s="0">
        <v>638</v>
      </c>
      <c r="E94" t="s" s="0">
        <v>639</v>
      </c>
      <c r="I94" t="s" s="0">
        <v>617</v>
      </c>
      <c r="J94" t="s" s="0">
        <v>270</v>
      </c>
      <c r="L94" s="6">
        <f>IF(K94="","",IF(J94="未稅",ROUND(K94*1.05,0),K94))</f>
        <v/>
      </c>
      <c r="M94" t="s" s="0">
        <v>65</v>
      </c>
      <c r="N94" s="6">
        <f>IF(M94="計入",K94,0)</f>
        <v/>
      </c>
      <c r="O94" s="6">
        <f>IF(M94="計入",L94,0)</f>
        <v/>
      </c>
      <c r="P94" t="s" s="0">
        <v>57</v>
      </c>
      <c r="Q94" t="s" s="0">
        <v>638</v>
      </c>
      <c r="R94" t="s" s="0">
        <v>638</v>
      </c>
      <c r="S94" t="s" s="0">
        <v>640</v>
      </c>
      <c r="T94" t="s" s="0">
        <v>641</v>
      </c>
    </row>
  </sheetData>
  <autoFilter ref="A1:T94"/>
  <pageMargins left="0.3" right="0.3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40" customWidth="1"/>
    <col min="2" max="2" width="24" customWidth="1"/>
    <col min="3" max="3" width="18" customWidth="1"/>
    <col min="4" max="4" width="14" customWidth="1"/>
    <col min="5" max="5" width="12" customWidth="1"/>
    <col min="6" max="6" width="14" customWidth="1"/>
    <col min="7" max="7" width="22" customWidth="1"/>
    <col min="8" max="8" width="48" customWidth="1"/>
    <col min="9" max="9" width="60" customWidth="1"/>
  </cols>
  <sheetData>
    <row r="1">
      <c r="A1" t="s" s="4">
        <v>33</v>
      </c>
      <c r="B1" t="s" s="4">
        <v>34</v>
      </c>
      <c r="C1" t="s" s="4">
        <v>24</v>
      </c>
      <c r="D1" t="s" s="4">
        <v>42</v>
      </c>
      <c r="E1" t="s" s="4">
        <v>642</v>
      </c>
      <c r="F1" t="s" s="4">
        <v>15</v>
      </c>
      <c r="G1" t="s" s="4">
        <v>43</v>
      </c>
      <c r="H1" t="s" s="4">
        <v>643</v>
      </c>
      <c r="I1" t="s" s="4">
        <v>49</v>
      </c>
    </row>
    <row r="2">
      <c r="A2" t="s" s="0">
        <v>51</v>
      </c>
      <c r="B2" t="s" s="0">
        <v>52</v>
      </c>
      <c r="C2" t="s" s="0">
        <v>29</v>
      </c>
      <c r="D2" s="5">
        <v>1470000</v>
      </c>
      <c r="E2" t="s" s="0">
        <v>55</v>
      </c>
      <c r="F2" s="6">
        <f>IF(D2="","",IF(E2="未稅",ROUND(D2*1.05,0),D2))</f>
        <v/>
      </c>
      <c r="G2" t="s" s="0">
        <v>56</v>
      </c>
      <c r="H2" t="s" s="0">
        <v>59</v>
      </c>
      <c r="I2" t="s" s="0">
        <v>60</v>
      </c>
    </row>
    <row r="3">
      <c r="A3" t="s" s="0">
        <v>70</v>
      </c>
      <c r="B3" t="s" s="0">
        <v>71</v>
      </c>
      <c r="C3" t="s" s="0">
        <v>30</v>
      </c>
      <c r="D3" s="5">
        <v>36750</v>
      </c>
      <c r="E3" t="s" s="0">
        <v>55</v>
      </c>
      <c r="F3" s="6">
        <f>IF(D3="","",IF(E3="未稅",ROUND(D3*1.05,0),D3))</f>
        <v/>
      </c>
      <c r="G3" t="s" s="0">
        <v>56</v>
      </c>
      <c r="H3" t="s" s="0">
        <v>75</v>
      </c>
      <c r="I3" t="s" s="0">
        <v>76</v>
      </c>
    </row>
    <row r="4">
      <c r="A4" t="s" s="0">
        <v>78</v>
      </c>
      <c r="B4" t="s" s="0">
        <v>79</v>
      </c>
      <c r="C4" t="s" s="0">
        <v>32</v>
      </c>
      <c r="D4" s="5">
        <v>2497720</v>
      </c>
      <c r="E4" t="s" s="0">
        <v>55</v>
      </c>
      <c r="F4" s="6">
        <f>IF(D4="","",IF(E4="未稅",ROUND(D4*1.05,0),D4))</f>
        <v/>
      </c>
      <c r="G4" t="s" s="0">
        <v>56</v>
      </c>
      <c r="H4" t="s" s="0">
        <v>83</v>
      </c>
      <c r="I4" t="s" s="0">
        <v>84</v>
      </c>
    </row>
    <row r="5">
      <c r="A5" t="s" s="0">
        <v>100</v>
      </c>
      <c r="B5" t="s" s="0">
        <v>101</v>
      </c>
      <c r="C5" t="s" s="0">
        <v>27</v>
      </c>
      <c r="D5" s="5">
        <v>10620</v>
      </c>
      <c r="E5" t="s" s="0">
        <v>94</v>
      </c>
      <c r="F5" s="6">
        <f>IF(D5="","",IF(E5="未稅",ROUND(D5*1.05,0),D5))</f>
        <v/>
      </c>
      <c r="G5" t="s" s="0">
        <v>56</v>
      </c>
      <c r="H5" t="s" s="0">
        <v>105</v>
      </c>
      <c r="I5" t="s" s="0">
        <v>106</v>
      </c>
    </row>
    <row r="6">
      <c r="A6" t="s" s="0">
        <v>115</v>
      </c>
      <c r="B6" t="s" s="0">
        <v>116</v>
      </c>
      <c r="C6" t="s" s="0">
        <v>27</v>
      </c>
      <c r="D6" s="5">
        <v>112140</v>
      </c>
      <c r="E6" t="s" s="0">
        <v>94</v>
      </c>
      <c r="F6" s="6">
        <f>IF(D6="","",IF(E6="未稅",ROUND(D6*1.05,0),D6))</f>
        <v/>
      </c>
      <c r="G6" t="s" s="0">
        <v>56</v>
      </c>
      <c r="H6" t="s" s="0">
        <v>119</v>
      </c>
      <c r="I6" t="s" s="0">
        <v>120</v>
      </c>
    </row>
    <row r="7">
      <c r="A7" t="s" s="0">
        <v>129</v>
      </c>
      <c r="B7" t="s" s="0">
        <v>123</v>
      </c>
      <c r="C7" t="s" s="0">
        <v>32</v>
      </c>
      <c r="D7" s="5">
        <v>264600</v>
      </c>
      <c r="E7" t="s" s="0">
        <v>55</v>
      </c>
      <c r="F7" s="6">
        <f>IF(D7="","",IF(E7="未稅",ROUND(D7*1.05,0),D7))</f>
        <v/>
      </c>
      <c r="G7" t="s" s="0">
        <v>56</v>
      </c>
      <c r="H7" t="s" s="0">
        <v>131</v>
      </c>
      <c r="I7" t="s" s="0">
        <v>132</v>
      </c>
    </row>
    <row r="8">
      <c r="A8" t="s" s="0">
        <v>150</v>
      </c>
      <c r="B8" t="s" s="0">
        <v>143</v>
      </c>
      <c r="C8" t="s" s="0">
        <v>32</v>
      </c>
      <c r="D8" s="5">
        <v>1845588</v>
      </c>
      <c r="E8" t="s" s="0">
        <v>55</v>
      </c>
      <c r="F8" s="6">
        <f>IF(D8="","",IF(E8="未稅",ROUND(D8*1.05,0),D8))</f>
        <v/>
      </c>
      <c r="G8" t="s" s="0">
        <v>56</v>
      </c>
      <c r="H8" t="s" s="0">
        <v>153</v>
      </c>
      <c r="I8" t="s" s="0">
        <v>154</v>
      </c>
    </row>
    <row r="9">
      <c r="A9" t="s" s="0">
        <v>156</v>
      </c>
      <c r="B9" t="s" s="0">
        <v>157</v>
      </c>
      <c r="C9" t="s" s="0">
        <v>28</v>
      </c>
      <c r="D9" s="5">
        <v>139272</v>
      </c>
      <c r="E9" t="s" s="0">
        <v>55</v>
      </c>
      <c r="F9" s="6">
        <f>IF(D9="","",IF(E9="未稅",ROUND(D9*1.05,0),D9))</f>
        <v/>
      </c>
      <c r="G9" t="s" s="0">
        <v>56</v>
      </c>
      <c r="H9" t="s" s="0">
        <v>161</v>
      </c>
      <c r="I9" t="s" s="0">
        <v>162</v>
      </c>
    </row>
    <row r="10">
      <c r="A10" t="s" s="0">
        <v>183</v>
      </c>
      <c r="B10" t="s" s="0">
        <v>184</v>
      </c>
      <c r="C10" t="s" s="0">
        <v>28</v>
      </c>
      <c r="D10" s="5">
        <v>121170</v>
      </c>
      <c r="E10" t="s" s="0">
        <v>55</v>
      </c>
      <c r="F10" s="6">
        <f>IF(D10="","",IF(E10="未稅",ROUND(D10*1.05,0),D10))</f>
        <v/>
      </c>
      <c r="G10" t="s" s="0">
        <v>56</v>
      </c>
      <c r="H10" t="s" s="0">
        <v>187</v>
      </c>
      <c r="I10" t="s" s="0">
        <v>188</v>
      </c>
    </row>
    <row r="11">
      <c r="A11" t="s" s="0">
        <v>190</v>
      </c>
      <c r="B11" t="s" s="0">
        <v>191</v>
      </c>
      <c r="C11" t="s" s="0">
        <v>29</v>
      </c>
      <c r="D11" s="5">
        <v>320000</v>
      </c>
      <c r="E11" t="s" s="0">
        <v>55</v>
      </c>
      <c r="F11" s="6">
        <f>IF(D11="","",IF(E11="未稅",ROUND(D11*1.05,0),D11))</f>
        <v/>
      </c>
      <c r="G11" t="s" s="0">
        <v>56</v>
      </c>
      <c r="H11" t="s" s="0">
        <v>195</v>
      </c>
      <c r="I11" t="s" s="0">
        <v>196</v>
      </c>
    </row>
    <row r="12">
      <c r="A12" t="s" s="0">
        <v>211</v>
      </c>
      <c r="B12" t="s" s="0">
        <v>212</v>
      </c>
      <c r="C12" t="s" s="0">
        <v>27</v>
      </c>
      <c r="D12" s="5">
        <v>198500</v>
      </c>
      <c r="E12" t="s" s="0">
        <v>94</v>
      </c>
      <c r="F12" s="6">
        <f>IF(D12="","",IF(E12="未稅",ROUND(D12*1.05,0),D12))</f>
        <v/>
      </c>
      <c r="G12" t="s" s="0">
        <v>56</v>
      </c>
      <c r="H12" t="s" s="0">
        <v>216</v>
      </c>
      <c r="I12" t="s" s="0">
        <v>217</v>
      </c>
    </row>
    <row r="13">
      <c r="A13" t="s" s="0">
        <v>219</v>
      </c>
      <c r="B13" t="s" s="0">
        <v>220</v>
      </c>
      <c r="C13" t="s" s="0">
        <v>28</v>
      </c>
      <c r="D13" s="5">
        <v>854192</v>
      </c>
      <c r="E13" t="s" s="0">
        <v>94</v>
      </c>
      <c r="F13" s="6">
        <f>IF(D13="","",IF(E13="未稅",ROUND(D13*1.05,0),D13))</f>
        <v/>
      </c>
      <c r="G13" t="s" s="0">
        <v>56</v>
      </c>
      <c r="H13" t="s" s="0">
        <v>224</v>
      </c>
      <c r="I13" t="s" s="0">
        <v>225</v>
      </c>
    </row>
    <row r="14">
      <c r="A14" t="s" s="0">
        <v>234</v>
      </c>
      <c r="B14" t="s" s="0">
        <v>212</v>
      </c>
      <c r="C14" t="s" s="0">
        <v>32</v>
      </c>
      <c r="D14" s="5">
        <v>690000</v>
      </c>
      <c r="E14" t="s" s="0">
        <v>94</v>
      </c>
      <c r="F14" s="6">
        <f>IF(D14="","",IF(E14="未稅",ROUND(D14*1.05,0),D14))</f>
        <v/>
      </c>
      <c r="G14" t="s" s="0">
        <v>56</v>
      </c>
      <c r="H14" t="s" s="0">
        <v>237</v>
      </c>
      <c r="I14" t="s" s="0">
        <v>238</v>
      </c>
    </row>
    <row r="15">
      <c r="A15" t="s" s="0">
        <v>240</v>
      </c>
      <c r="B15" t="s" s="0">
        <v>241</v>
      </c>
      <c r="C15" t="s" s="0">
        <v>27</v>
      </c>
      <c r="D15" s="5">
        <v>207375</v>
      </c>
      <c r="E15" t="s" s="0">
        <v>55</v>
      </c>
      <c r="F15" s="6">
        <f>IF(D15="","",IF(E15="未稅",ROUND(D15*1.05,0),D15))</f>
        <v/>
      </c>
      <c r="G15" t="s" s="0">
        <v>56</v>
      </c>
      <c r="H15" t="s" s="0">
        <v>245</v>
      </c>
      <c r="I15" t="s" s="0">
        <v>246</v>
      </c>
    </row>
    <row r="16">
      <c r="A16" t="s" s="0">
        <v>253</v>
      </c>
      <c r="B16" t="s" s="0">
        <v>143</v>
      </c>
      <c r="C16" t="s" s="0">
        <v>32</v>
      </c>
      <c r="D16" s="5">
        <v>24377</v>
      </c>
      <c r="E16" t="s" s="0">
        <v>55</v>
      </c>
      <c r="F16" s="6">
        <f>IF(D16="","",IF(E16="未稅",ROUND(D16*1.05,0),D16))</f>
        <v/>
      </c>
      <c r="G16" t="s" s="0">
        <v>56</v>
      </c>
      <c r="H16" t="s" s="0">
        <v>257</v>
      </c>
      <c r="I16" t="s" s="0">
        <v>258</v>
      </c>
    </row>
    <row r="17">
      <c r="A17" t="s" s="0">
        <v>260</v>
      </c>
      <c r="B17" t="s" s="0">
        <v>143</v>
      </c>
      <c r="C17" t="s" s="0">
        <v>32</v>
      </c>
      <c r="D17" s="5">
        <v>1205247</v>
      </c>
      <c r="E17" t="s" s="0">
        <v>55</v>
      </c>
      <c r="F17" s="6">
        <f>IF(D17="","",IF(E17="未稅",ROUND(D17*1.05,0),D17))</f>
        <v/>
      </c>
      <c r="G17" t="s" s="0">
        <v>56</v>
      </c>
      <c r="H17" t="s" s="0">
        <v>263</v>
      </c>
      <c r="I17" t="s" s="0">
        <v>264</v>
      </c>
    </row>
    <row r="18">
      <c r="A18" t="s" s="0">
        <v>274</v>
      </c>
      <c r="B18" t="s" s="0">
        <v>275</v>
      </c>
      <c r="C18" t="s" s="0">
        <v>31</v>
      </c>
      <c r="D18" s="5">
        <v>59568</v>
      </c>
      <c r="E18" t="s" s="0">
        <v>55</v>
      </c>
      <c r="F18" s="6">
        <f>IF(D18="","",IF(E18="未稅",ROUND(D18*1.05,0),D18))</f>
        <v/>
      </c>
      <c r="G18" t="s" s="0">
        <v>56</v>
      </c>
      <c r="H18" t="s" s="0">
        <v>279</v>
      </c>
      <c r="I18" t="s" s="0">
        <v>280</v>
      </c>
    </row>
    <row r="19">
      <c r="A19" t="s" s="0">
        <v>282</v>
      </c>
      <c r="B19" t="s" s="0">
        <v>143</v>
      </c>
      <c r="C19" t="s" s="0">
        <v>32</v>
      </c>
      <c r="D19" s="5">
        <v>60918</v>
      </c>
      <c r="E19" t="s" s="0">
        <v>270</v>
      </c>
      <c r="F19" s="6">
        <f>IF(D19="","",IF(E19="未稅",ROUND(D19*1.05,0),D19))</f>
        <v/>
      </c>
      <c r="G19" t="s" s="0">
        <v>56</v>
      </c>
      <c r="H19" t="s" s="0">
        <v>286</v>
      </c>
      <c r="I19" t="s" s="0">
        <v>287</v>
      </c>
    </row>
    <row r="20">
      <c r="A20" t="s" s="0">
        <v>289</v>
      </c>
      <c r="B20" t="s" s="0">
        <v>290</v>
      </c>
      <c r="C20" t="s" s="0">
        <v>29</v>
      </c>
      <c r="D20" s="5">
        <v>395920</v>
      </c>
      <c r="E20" t="s" s="0">
        <v>55</v>
      </c>
      <c r="F20" s="6">
        <f>IF(D20="","",IF(E20="未稅",ROUND(D20*1.05,0),D20))</f>
        <v/>
      </c>
      <c r="G20" t="s" s="0">
        <v>56</v>
      </c>
      <c r="H20" t="s" s="0">
        <v>293</v>
      </c>
      <c r="I20" t="s" s="0">
        <v>294</v>
      </c>
    </row>
    <row r="21">
      <c r="A21" t="s" s="0">
        <v>304</v>
      </c>
      <c r="B21" t="s" s="0">
        <v>297</v>
      </c>
      <c r="C21" t="s" s="0">
        <v>27</v>
      </c>
      <c r="D21" s="5">
        <v>111650</v>
      </c>
      <c r="E21" t="s" s="0">
        <v>55</v>
      </c>
      <c r="F21" s="6">
        <f>IF(D21="","",IF(E21="未稅",ROUND(D21*1.05,0),D21))</f>
        <v/>
      </c>
      <c r="G21" t="s" s="0">
        <v>56</v>
      </c>
      <c r="H21" t="s" s="0">
        <v>307</v>
      </c>
      <c r="I21" t="s" s="0">
        <v>308</v>
      </c>
    </row>
    <row r="22">
      <c r="A22" t="s" s="0">
        <v>314</v>
      </c>
      <c r="B22" t="s" s="0">
        <v>212</v>
      </c>
      <c r="C22" t="s" s="0">
        <v>27</v>
      </c>
      <c r="D22" s="5">
        <v>8000</v>
      </c>
      <c r="E22" t="s" s="0">
        <v>94</v>
      </c>
      <c r="F22" s="6">
        <f>IF(D22="","",IF(E22="未稅",ROUND(D22*1.05,0),D22))</f>
        <v/>
      </c>
      <c r="G22" t="s" s="0">
        <v>56</v>
      </c>
      <c r="H22" t="s" s="0">
        <v>317</v>
      </c>
      <c r="I22" t="s" s="0">
        <v>318</v>
      </c>
    </row>
    <row r="23">
      <c r="A23" t="s" s="0">
        <v>320</v>
      </c>
      <c r="B23" t="s" s="0">
        <v>321</v>
      </c>
      <c r="C23" t="s" s="0">
        <v>29</v>
      </c>
      <c r="D23" s="5">
        <v>2600000</v>
      </c>
      <c r="E23" t="s" s="0">
        <v>55</v>
      </c>
      <c r="F23" s="6">
        <f>IF(D23="","",IF(E23="未稅",ROUND(D23*1.05,0),D23))</f>
        <v/>
      </c>
      <c r="G23" t="s" s="0">
        <v>56</v>
      </c>
      <c r="H23" t="s" s="0">
        <v>324</v>
      </c>
      <c r="I23" t="s" s="0">
        <v>325</v>
      </c>
    </row>
    <row r="24">
      <c r="A24" t="s" s="0">
        <v>327</v>
      </c>
      <c r="B24" t="s" s="0">
        <v>328</v>
      </c>
      <c r="C24" t="s" s="0">
        <v>29</v>
      </c>
      <c r="D24" s="5">
        <v>7350</v>
      </c>
      <c r="E24" t="s" s="0">
        <v>55</v>
      </c>
      <c r="F24" s="6">
        <f>IF(D24="","",IF(E24="未稅",ROUND(D24*1.05,0),D24))</f>
        <v/>
      </c>
      <c r="G24" t="s" s="0">
        <v>56</v>
      </c>
      <c r="H24" t="s" s="0">
        <v>331</v>
      </c>
      <c r="I24" t="s" s="0">
        <v>332</v>
      </c>
    </row>
    <row r="25">
      <c r="A25" t="s" s="0">
        <v>334</v>
      </c>
      <c r="B25" t="s" s="0">
        <v>335</v>
      </c>
      <c r="C25" t="s" s="0">
        <v>30</v>
      </c>
      <c r="D25" s="5">
        <v>25000</v>
      </c>
      <c r="E25" t="s" s="0">
        <v>94</v>
      </c>
      <c r="F25" s="6">
        <f>IF(D25="","",IF(E25="未稅",ROUND(D25*1.05,0),D25))</f>
        <v/>
      </c>
      <c r="G25" t="s" s="0">
        <v>56</v>
      </c>
      <c r="H25" t="s" s="0">
        <v>338</v>
      </c>
      <c r="I25" t="s" s="0">
        <v>339</v>
      </c>
    </row>
    <row r="26">
      <c r="A26" t="s" s="0">
        <v>341</v>
      </c>
      <c r="B26" t="s" s="0">
        <v>342</v>
      </c>
      <c r="C26" t="s" s="0">
        <v>29</v>
      </c>
      <c r="D26" s="5">
        <v>295000</v>
      </c>
      <c r="E26" t="s" s="0">
        <v>94</v>
      </c>
      <c r="F26" s="6">
        <f>IF(D26="","",IF(E26="未稅",ROUND(D26*1.05,0),D26))</f>
        <v/>
      </c>
      <c r="G26" t="s" s="0">
        <v>56</v>
      </c>
      <c r="H26" t="s" s="0">
        <v>345</v>
      </c>
      <c r="I26" t="s" s="0">
        <v>346</v>
      </c>
    </row>
    <row r="27">
      <c r="A27" t="s" s="0">
        <v>356</v>
      </c>
      <c r="B27" t="s" s="0">
        <v>357</v>
      </c>
      <c r="C27" t="s" s="0">
        <v>31</v>
      </c>
      <c r="D27" s="5">
        <v>138600</v>
      </c>
      <c r="E27" t="s" s="0">
        <v>55</v>
      </c>
      <c r="F27" s="6">
        <f>IF(D27="","",IF(E27="未稅",ROUND(D27*1.05,0),D27))</f>
        <v/>
      </c>
      <c r="G27" t="s" s="0">
        <v>56</v>
      </c>
      <c r="H27" t="s" s="0">
        <v>359</v>
      </c>
      <c r="I27" t="s" s="0">
        <v>360</v>
      </c>
    </row>
    <row r="28">
      <c r="A28" t="s" s="0">
        <v>362</v>
      </c>
      <c r="B28" t="s" s="0">
        <v>363</v>
      </c>
      <c r="C28" t="s" s="0">
        <v>27</v>
      </c>
      <c r="D28" s="5">
        <v>656775</v>
      </c>
      <c r="E28" t="s" s="0">
        <v>94</v>
      </c>
      <c r="F28" s="6">
        <f>IF(D28="","",IF(E28="未稅",ROUND(D28*1.05,0),D28))</f>
        <v/>
      </c>
      <c r="G28" t="s" s="0">
        <v>56</v>
      </c>
      <c r="H28" t="s" s="0">
        <v>366</v>
      </c>
      <c r="I28" t="s" s="0">
        <v>367</v>
      </c>
    </row>
    <row r="29">
      <c r="A29" t="s" s="0">
        <v>369</v>
      </c>
      <c r="B29" t="s" s="0">
        <v>370</v>
      </c>
      <c r="C29" t="s" s="0">
        <v>27</v>
      </c>
      <c r="D29" s="5">
        <v>174421</v>
      </c>
      <c r="E29" t="s" s="0">
        <v>55</v>
      </c>
      <c r="F29" s="6">
        <f>IF(D29="","",IF(E29="未稅",ROUND(D29*1.05,0),D29))</f>
        <v/>
      </c>
      <c r="G29" t="s" s="0">
        <v>56</v>
      </c>
      <c r="H29" t="s" s="0">
        <v>373</v>
      </c>
      <c r="I29" t="s" s="0">
        <v>374</v>
      </c>
    </row>
    <row r="30">
      <c r="A30" t="s" s="0">
        <v>383</v>
      </c>
      <c r="B30" t="s" s="0">
        <v>335</v>
      </c>
      <c r="C30" t="s" s="0">
        <v>27</v>
      </c>
      <c r="D30" s="5">
        <v>16000</v>
      </c>
      <c r="E30" t="s" s="0">
        <v>94</v>
      </c>
      <c r="F30" s="6">
        <f>IF(D30="","",IF(E30="未稅",ROUND(D30*1.05,0),D30))</f>
        <v/>
      </c>
      <c r="G30" t="s" s="0">
        <v>56</v>
      </c>
      <c r="H30" t="s" s="0">
        <v>386</v>
      </c>
      <c r="I30" t="s" s="0">
        <v>387</v>
      </c>
    </row>
    <row r="31">
      <c r="A31" t="s" s="0">
        <v>396</v>
      </c>
      <c r="B31" t="s" s="0">
        <v>397</v>
      </c>
      <c r="C31" t="s" s="0">
        <v>30</v>
      </c>
      <c r="D31" s="5">
        <v>224847</v>
      </c>
      <c r="E31" t="s" s="0">
        <v>55</v>
      </c>
      <c r="F31" s="6">
        <f>IF(D31="","",IF(E31="未稅",ROUND(D31*1.05,0),D31))</f>
        <v/>
      </c>
      <c r="G31" t="s" s="0">
        <v>56</v>
      </c>
      <c r="H31" t="s" s="0">
        <v>400</v>
      </c>
      <c r="I31" t="s" s="0">
        <v>401</v>
      </c>
    </row>
    <row r="32">
      <c r="A32" t="s" s="0">
        <v>403</v>
      </c>
      <c r="B32" t="s" s="0">
        <v>404</v>
      </c>
      <c r="C32" t="s" s="0">
        <v>28</v>
      </c>
      <c r="D32" s="5">
        <v>12285</v>
      </c>
      <c r="E32" t="s" s="0">
        <v>55</v>
      </c>
      <c r="F32" s="6">
        <f>IF(D32="","",IF(E32="未稅",ROUND(D32*1.05,0),D32))</f>
        <v/>
      </c>
      <c r="G32" t="s" s="0">
        <v>56</v>
      </c>
      <c r="H32" t="s" s="0">
        <v>406</v>
      </c>
      <c r="I32" t="s" s="0">
        <v>407</v>
      </c>
    </row>
    <row r="33">
      <c r="A33" t="s" s="0">
        <v>409</v>
      </c>
      <c r="B33" t="s" s="0">
        <v>184</v>
      </c>
      <c r="C33" t="s" s="0">
        <v>28</v>
      </c>
      <c r="D33" s="5">
        <v>35000</v>
      </c>
      <c r="E33" t="s" s="0">
        <v>55</v>
      </c>
      <c r="F33" s="6">
        <f>IF(D33="","",IF(E33="未稅",ROUND(D33*1.05,0),D33))</f>
        <v/>
      </c>
      <c r="G33" t="s" s="0">
        <v>56</v>
      </c>
      <c r="H33" t="s" s="0">
        <v>411</v>
      </c>
      <c r="I33" t="s" s="0">
        <v>412</v>
      </c>
    </row>
    <row r="34">
      <c r="A34" t="s" s="0">
        <v>432</v>
      </c>
      <c r="B34" t="s" s="0">
        <v>241</v>
      </c>
      <c r="C34" t="s" s="0">
        <v>27</v>
      </c>
      <c r="D34" s="5">
        <v>10500</v>
      </c>
      <c r="E34" t="s" s="0">
        <v>55</v>
      </c>
      <c r="F34" s="6">
        <f>IF(D34="","",IF(E34="未稅",ROUND(D34*1.05,0),D34))</f>
        <v/>
      </c>
      <c r="G34" t="s" s="0">
        <v>56</v>
      </c>
      <c r="H34" t="s" s="0">
        <v>434</v>
      </c>
      <c r="I34" t="s" s="0">
        <v>435</v>
      </c>
    </row>
    <row r="35">
      <c r="A35" t="s" s="0">
        <v>441</v>
      </c>
      <c r="B35" t="s" s="0">
        <v>415</v>
      </c>
      <c r="C35" t="s" s="0">
        <v>32</v>
      </c>
      <c r="D35" s="5">
        <v>95000</v>
      </c>
      <c r="E35" t="s" s="0">
        <v>55</v>
      </c>
      <c r="F35" s="6">
        <f>IF(D35="","",IF(E35="未稅",ROUND(D35*1.05,0),D35))</f>
        <v/>
      </c>
      <c r="G35" t="s" s="0">
        <v>56</v>
      </c>
      <c r="H35" t="s" s="0">
        <v>417</v>
      </c>
      <c r="I35" t="s" s="0">
        <v>442</v>
      </c>
    </row>
    <row r="36">
      <c r="A36" t="s" s="0">
        <v>450</v>
      </c>
      <c r="B36" t="s" s="0">
        <v>451</v>
      </c>
      <c r="C36" t="s" s="0">
        <v>28</v>
      </c>
      <c r="D36" s="5">
        <v>72000</v>
      </c>
      <c r="E36" t="s" s="0">
        <v>55</v>
      </c>
      <c r="F36" s="6">
        <f>IF(D36="","",IF(E36="未稅",ROUND(D36*1.05,0),D36))</f>
        <v/>
      </c>
      <c r="G36" t="s" s="0">
        <v>56</v>
      </c>
      <c r="H36" t="s" s="0">
        <v>453</v>
      </c>
      <c r="I36" t="s" s="0">
        <v>454</v>
      </c>
    </row>
    <row r="37">
      <c r="A37" t="s" s="0">
        <v>456</v>
      </c>
      <c r="B37" t="s" s="0">
        <v>63</v>
      </c>
      <c r="C37" t="s" s="0">
        <v>31</v>
      </c>
      <c r="D37" s="5">
        <v>2079019</v>
      </c>
      <c r="E37" t="s" s="0">
        <v>55</v>
      </c>
      <c r="F37" s="6">
        <f>IF(D37="","",IF(E37="未稅",ROUND(D37*1.05,0),D37))</f>
        <v/>
      </c>
      <c r="G37" t="s" s="0">
        <v>56</v>
      </c>
      <c r="H37" t="s" s="0">
        <v>458</v>
      </c>
      <c r="I37" t="s" s="0">
        <v>459</v>
      </c>
    </row>
    <row r="38">
      <c r="A38" t="s" s="0">
        <v>461</v>
      </c>
      <c r="B38" t="s" s="0">
        <v>143</v>
      </c>
      <c r="C38" t="s" s="0">
        <v>27</v>
      </c>
      <c r="D38" s="5">
        <v>267570</v>
      </c>
      <c r="E38" t="s" s="0">
        <v>55</v>
      </c>
      <c r="F38" s="6">
        <f>IF(D38="","",IF(E38="未稅",ROUND(D38*1.05,0),D38))</f>
        <v/>
      </c>
      <c r="G38" t="s" s="0">
        <v>56</v>
      </c>
      <c r="H38" t="s" s="0">
        <v>462</v>
      </c>
      <c r="I38" t="s" s="0">
        <v>465</v>
      </c>
    </row>
    <row r="39">
      <c r="A39" t="s" s="0">
        <v>467</v>
      </c>
      <c r="B39" t="s" s="0">
        <v>468</v>
      </c>
      <c r="C39" t="s" s="0">
        <v>27</v>
      </c>
      <c r="D39" s="5">
        <v>620000</v>
      </c>
      <c r="E39" t="s" s="0">
        <v>94</v>
      </c>
      <c r="F39" s="6">
        <f>IF(D39="","",IF(E39="未稅",ROUND(D39*1.05,0),D39))</f>
        <v/>
      </c>
      <c r="G39" t="s" s="0">
        <v>56</v>
      </c>
      <c r="H39" t="s" s="0">
        <v>469</v>
      </c>
      <c r="I39" t="s" s="0">
        <v>472</v>
      </c>
    </row>
    <row r="40">
      <c r="A40" t="s" s="0">
        <v>474</v>
      </c>
      <c r="B40" t="s" s="0">
        <v>143</v>
      </c>
      <c r="C40" t="s" s="0">
        <v>32</v>
      </c>
      <c r="D40" s="5">
        <v>105525</v>
      </c>
      <c r="E40" t="s" s="0">
        <v>55</v>
      </c>
      <c r="F40" s="6">
        <f>IF(D40="","",IF(E40="未稅",ROUND(D40*1.05,0),D40))</f>
        <v/>
      </c>
      <c r="G40" t="s" s="0">
        <v>56</v>
      </c>
      <c r="H40" t="s" s="0">
        <v>475</v>
      </c>
      <c r="I40" t="s" s="0">
        <v>477</v>
      </c>
    </row>
    <row r="41">
      <c r="A41" t="s" s="0">
        <v>479</v>
      </c>
      <c r="B41" t="s" s="0">
        <v>480</v>
      </c>
      <c r="C41" t="s" s="0">
        <v>28</v>
      </c>
      <c r="D41" s="5">
        <v>83423</v>
      </c>
      <c r="E41" t="s" s="0">
        <v>55</v>
      </c>
      <c r="F41" s="6">
        <f>IF(D41="","",IF(E41="未稅",ROUND(D41*1.05,0),D41))</f>
        <v/>
      </c>
      <c r="G41" t="s" s="0">
        <v>56</v>
      </c>
      <c r="H41" t="s" s="0">
        <v>481</v>
      </c>
      <c r="I41" t="s" s="0">
        <v>484</v>
      </c>
    </row>
    <row r="42">
      <c r="A42" t="s" s="0">
        <v>486</v>
      </c>
      <c r="B42" t="s" s="0">
        <v>487</v>
      </c>
      <c r="C42" t="s" s="0">
        <v>29</v>
      </c>
      <c r="D42" s="5">
        <v>48773</v>
      </c>
      <c r="E42" t="s" s="0">
        <v>55</v>
      </c>
      <c r="F42" s="6">
        <f>IF(D42="","",IF(E42="未稅",ROUND(D42*1.05,0),D42))</f>
        <v/>
      </c>
      <c r="G42" t="s" s="0">
        <v>56</v>
      </c>
      <c r="H42" t="s" s="0">
        <v>488</v>
      </c>
      <c r="I42" t="s" s="0">
        <v>491</v>
      </c>
    </row>
    <row r="43">
      <c r="A43" t="s" s="0">
        <v>493</v>
      </c>
      <c r="B43" t="s" s="0">
        <v>468</v>
      </c>
      <c r="C43" t="s" s="0">
        <v>27</v>
      </c>
      <c r="D43" s="5">
        <v>118000</v>
      </c>
      <c r="E43" t="s" s="0">
        <v>94</v>
      </c>
      <c r="F43" s="6">
        <f>IF(D43="","",IF(E43="未稅",ROUND(D43*1.05,0),D43))</f>
        <v/>
      </c>
      <c r="G43" t="s" s="0">
        <v>56</v>
      </c>
      <c r="H43" t="s" s="0">
        <v>469</v>
      </c>
      <c r="I43" t="s" s="0">
        <v>495</v>
      </c>
    </row>
    <row r="44">
      <c r="A44" t="s" s="0">
        <v>497</v>
      </c>
      <c r="B44" t="s" s="0">
        <v>468</v>
      </c>
      <c r="C44" t="s" s="0">
        <v>27</v>
      </c>
      <c r="D44" s="5">
        <v>35000</v>
      </c>
      <c r="E44" t="s" s="0">
        <v>94</v>
      </c>
      <c r="F44" s="6">
        <f>IF(D44="","",IF(E44="未稅",ROUND(D44*1.05,0),D44))</f>
        <v/>
      </c>
      <c r="G44" t="s" s="0">
        <v>56</v>
      </c>
      <c r="H44" t="s" s="0">
        <v>469</v>
      </c>
      <c r="I44" t="s" s="0">
        <v>498</v>
      </c>
    </row>
    <row r="45">
      <c r="A45" t="s" s="0">
        <v>499</v>
      </c>
      <c r="B45" t="s" s="0">
        <v>143</v>
      </c>
      <c r="C45" t="s" s="0">
        <v>32</v>
      </c>
      <c r="D45" s="5">
        <v>63180</v>
      </c>
      <c r="E45" t="s" s="0">
        <v>270</v>
      </c>
      <c r="F45" s="6">
        <f>IF(D45="","",IF(E45="未稅",ROUND(D45*1.05,0),D45))</f>
        <v/>
      </c>
      <c r="G45" t="s" s="0">
        <v>56</v>
      </c>
      <c r="H45" t="s" s="0">
        <v>500</v>
      </c>
      <c r="I45" t="s" s="0">
        <v>502</v>
      </c>
    </row>
    <row r="46">
      <c r="A46" t="s" s="0">
        <v>504</v>
      </c>
      <c r="B46" t="s" s="0">
        <v>505</v>
      </c>
      <c r="C46" t="s" s="0">
        <v>28</v>
      </c>
      <c r="D46" s="5">
        <v>32550</v>
      </c>
      <c r="E46" t="s" s="0">
        <v>55</v>
      </c>
      <c r="F46" s="6">
        <f>IF(D46="","",IF(E46="未稅",ROUND(D46*1.05,0),D46))</f>
        <v/>
      </c>
      <c r="G46" t="s" s="0">
        <v>56</v>
      </c>
      <c r="H46" t="s" s="0">
        <v>506</v>
      </c>
      <c r="I46" t="s" s="0">
        <v>509</v>
      </c>
    </row>
    <row r="47">
      <c r="A47" t="s" s="0">
        <v>510</v>
      </c>
      <c r="B47" t="s" s="0">
        <v>468</v>
      </c>
      <c r="C47" t="s" s="0">
        <v>30</v>
      </c>
      <c r="D47" s="5">
        <v>18000</v>
      </c>
      <c r="E47" t="s" s="0">
        <v>94</v>
      </c>
      <c r="F47" s="6">
        <f>IF(D47="","",IF(E47="未稅",ROUND(D47*1.05,0),D47))</f>
        <v/>
      </c>
      <c r="G47" t="s" s="0">
        <v>56</v>
      </c>
      <c r="H47" t="s" s="0">
        <v>513</v>
      </c>
      <c r="I47" t="s" s="0">
        <v>514</v>
      </c>
    </row>
    <row r="48">
      <c r="A48" t="s" s="0">
        <v>524</v>
      </c>
      <c r="B48" t="s" s="0">
        <v>525</v>
      </c>
      <c r="C48" t="s" s="0">
        <v>28</v>
      </c>
      <c r="D48" s="5">
        <v>690000</v>
      </c>
      <c r="E48" t="s" s="0">
        <v>55</v>
      </c>
      <c r="F48" s="6">
        <f>IF(D48="","",IF(E48="未稅",ROUND(D48*1.05,0),D48))</f>
        <v/>
      </c>
      <c r="G48" t="s" s="0">
        <v>56</v>
      </c>
      <c r="H48" t="s" s="0">
        <v>528</v>
      </c>
      <c r="I48" t="s" s="0">
        <v>529</v>
      </c>
    </row>
    <row r="49">
      <c r="A49" t="s" s="0">
        <v>531</v>
      </c>
      <c r="B49" t="s" s="0">
        <v>468</v>
      </c>
      <c r="C49" t="s" s="0">
        <v>27</v>
      </c>
      <c r="D49" s="5">
        <v>14500</v>
      </c>
      <c r="E49" t="s" s="0">
        <v>94</v>
      </c>
      <c r="F49" s="6">
        <f>IF(D49="","",IF(E49="未稅",ROUND(D49*1.05,0),D49))</f>
        <v/>
      </c>
      <c r="G49" t="s" s="0">
        <v>56</v>
      </c>
      <c r="H49" t="s" s="0">
        <v>532</v>
      </c>
      <c r="I49" t="s" s="0">
        <v>534</v>
      </c>
    </row>
    <row r="50">
      <c r="A50" t="s" s="0">
        <v>536</v>
      </c>
      <c r="B50" t="s" s="0">
        <v>143</v>
      </c>
      <c r="C50" t="s" s="0">
        <v>32</v>
      </c>
      <c r="D50" s="5">
        <v>6000</v>
      </c>
      <c r="E50" t="s" s="0">
        <v>55</v>
      </c>
      <c r="F50" s="6">
        <f>IF(D50="","",IF(E50="未稅",ROUND(D50*1.05,0),D50))</f>
        <v/>
      </c>
      <c r="G50" t="s" s="0">
        <v>56</v>
      </c>
      <c r="H50" t="s" s="0">
        <v>537</v>
      </c>
      <c r="I50" t="s" s="0">
        <v>540</v>
      </c>
    </row>
    <row r="51">
      <c r="A51" t="s" s="0">
        <v>549</v>
      </c>
      <c r="B51" t="s" s="0">
        <v>550</v>
      </c>
      <c r="C51" t="s" s="0">
        <v>28</v>
      </c>
      <c r="D51" s="5">
        <v>159000</v>
      </c>
      <c r="E51" t="s" s="0">
        <v>55</v>
      </c>
      <c r="F51" s="6">
        <f>IF(D51="","",IF(E51="未稅",ROUND(D51*1.05,0),D51))</f>
        <v/>
      </c>
      <c r="G51" t="s" s="0">
        <v>56</v>
      </c>
      <c r="H51" t="s" s="0">
        <v>551</v>
      </c>
      <c r="I51" t="s" s="0">
        <v>553</v>
      </c>
    </row>
    <row r="52">
      <c r="A52" t="s" s="0">
        <v>555</v>
      </c>
      <c r="B52" t="s" s="0">
        <v>543</v>
      </c>
      <c r="C52" t="s" s="0">
        <v>30</v>
      </c>
      <c r="D52" s="5">
        <v>44783</v>
      </c>
      <c r="E52" t="s" s="0">
        <v>55</v>
      </c>
      <c r="F52" s="6">
        <f>IF(D52="","",IF(E52="未稅",ROUND(D52*1.05,0),D52))</f>
        <v/>
      </c>
      <c r="G52" t="s" s="0">
        <v>56</v>
      </c>
      <c r="H52" t="s" s="0">
        <v>556</v>
      </c>
      <c r="I52" t="s" s="0">
        <v>559</v>
      </c>
    </row>
    <row r="53">
      <c r="A53" t="s" s="0">
        <v>561</v>
      </c>
      <c r="B53" t="s" s="0">
        <v>562</v>
      </c>
      <c r="C53" t="s" s="0">
        <v>29</v>
      </c>
      <c r="D53" s="5">
        <v>10500000</v>
      </c>
      <c r="E53" t="s" s="0">
        <v>55</v>
      </c>
      <c r="F53" s="6">
        <f>IF(D53="","",IF(E53="未稅",ROUND(D53*1.05,0),D53))</f>
        <v/>
      </c>
      <c r="G53" t="s" s="0">
        <v>56</v>
      </c>
      <c r="H53" t="s" s="0">
        <v>563</v>
      </c>
      <c r="I53" t="s" s="0">
        <v>565</v>
      </c>
    </row>
    <row r="54">
      <c r="A54" t="s" s="0">
        <v>574</v>
      </c>
      <c r="B54" t="s" s="0">
        <v>575</v>
      </c>
      <c r="C54" t="s" s="0">
        <v>27</v>
      </c>
      <c r="D54" s="5">
        <v>1134000</v>
      </c>
      <c r="E54" t="s" s="0">
        <v>55</v>
      </c>
      <c r="F54" s="6">
        <f>IF(D54="","",IF(E54="未稅",ROUND(D54*1.05,0),D54))</f>
        <v/>
      </c>
      <c r="G54" t="s" s="0">
        <v>56</v>
      </c>
      <c r="H54" t="s" s="0">
        <v>578</v>
      </c>
      <c r="I54" t="s" s="0">
        <v>579</v>
      </c>
    </row>
    <row r="55">
      <c r="A55" t="s" s="0">
        <v>581</v>
      </c>
      <c r="B55" t="s" s="0">
        <v>575</v>
      </c>
      <c r="C55" t="s" s="0">
        <v>27</v>
      </c>
      <c r="D55" s="5">
        <v>638400</v>
      </c>
      <c r="E55" t="s" s="0">
        <v>55</v>
      </c>
      <c r="F55" s="6">
        <f>IF(D55="","",IF(E55="未稅",ROUND(D55*1.05,0),D55))</f>
        <v/>
      </c>
      <c r="G55" t="s" s="0">
        <v>56</v>
      </c>
      <c r="H55" t="s" s="0">
        <v>583</v>
      </c>
      <c r="I55" t="s" s="0">
        <v>584</v>
      </c>
    </row>
    <row r="56">
      <c r="A56" t="s" s="0">
        <v>586</v>
      </c>
      <c r="B56" t="s" s="0">
        <v>575</v>
      </c>
      <c r="C56" t="s" s="0">
        <v>27</v>
      </c>
      <c r="D56" s="5">
        <v>12600</v>
      </c>
      <c r="E56" t="s" s="0">
        <v>55</v>
      </c>
      <c r="F56" s="6">
        <f>IF(D56="","",IF(E56="未稅",ROUND(D56*1.05,0),D56))</f>
        <v/>
      </c>
      <c r="G56" t="s" s="0">
        <v>56</v>
      </c>
      <c r="H56" t="s" s="0">
        <v>588</v>
      </c>
      <c r="I56" t="s" s="0">
        <v>589</v>
      </c>
    </row>
    <row r="57">
      <c r="A57" t="s" s="0">
        <v>598</v>
      </c>
      <c r="B57" t="s" s="0">
        <v>599</v>
      </c>
      <c r="C57" t="s" s="0">
        <v>29</v>
      </c>
      <c r="D57" s="5">
        <v>381000</v>
      </c>
      <c r="E57" t="s" s="0">
        <v>55</v>
      </c>
      <c r="F57" s="6">
        <f>IF(D57="","",IF(E57="未稅",ROUND(D57*1.05,0),D57))</f>
        <v/>
      </c>
      <c r="G57" t="s" s="0">
        <v>56</v>
      </c>
      <c r="H57" t="s" s="0">
        <v>600</v>
      </c>
      <c r="I57" t="s" s="0">
        <v>602</v>
      </c>
    </row>
    <row r="58">
      <c r="A58" t="s" s="0">
        <v>604</v>
      </c>
      <c r="B58" t="s" s="0">
        <v>599</v>
      </c>
      <c r="C58" t="s" s="0">
        <v>29</v>
      </c>
      <c r="D58" s="5">
        <v>889000</v>
      </c>
      <c r="E58" t="s" s="0">
        <v>55</v>
      </c>
      <c r="F58" s="6">
        <f>IF(D58="","",IF(E58="未稅",ROUND(D58*1.05,0),D58))</f>
        <v/>
      </c>
      <c r="G58" t="s" s="0">
        <v>56</v>
      </c>
      <c r="H58" t="s" s="0">
        <v>605</v>
      </c>
      <c r="I58" t="s" s="0">
        <v>606</v>
      </c>
    </row>
    <row r="59">
      <c r="A59" t="s" s="0">
        <v>620</v>
      </c>
      <c r="B59" t="s" s="0">
        <v>609</v>
      </c>
      <c r="C59" t="s" s="0">
        <v>30</v>
      </c>
      <c r="D59" s="5">
        <v>24150000</v>
      </c>
      <c r="E59" t="s" s="0">
        <v>55</v>
      </c>
      <c r="F59" s="6">
        <f>IF(D59="","",IF(E59="未稅",ROUND(D59*1.05,0),D59))</f>
        <v/>
      </c>
      <c r="G59" t="s" s="0">
        <v>56</v>
      </c>
      <c r="H59" t="s" s="0">
        <v>621</v>
      </c>
      <c r="I59" t="s" s="0">
        <v>623</v>
      </c>
    </row>
    <row r="60">
      <c r="A60" t="s" s="0">
        <v>629</v>
      </c>
      <c r="B60" t="s" s="0">
        <v>630</v>
      </c>
      <c r="C60" t="s" s="0">
        <v>30</v>
      </c>
      <c r="D60" s="5">
        <v>419997</v>
      </c>
      <c r="E60" t="s" s="0">
        <v>55</v>
      </c>
      <c r="F60" s="6">
        <f>IF(D60="","",IF(E60="未稅",ROUND(D60*1.05,0),D60))</f>
        <v/>
      </c>
      <c r="G60" t="s" s="0">
        <v>56</v>
      </c>
      <c r="H60" t="s" s="0">
        <v>631</v>
      </c>
      <c r="I60" t="s" s="0">
        <v>634</v>
      </c>
    </row>
    <row r="61">
      <c r="A61" t="s" s="0">
        <v>644</v>
      </c>
      <c r="D61" s="6">
        <f>SUM(D2:D60)</f>
        <v/>
      </c>
      <c r="F61" s="6">
        <f>SUM(F2:F60)</f>
        <v/>
      </c>
    </row>
  </sheetData>
  <autoFilter ref="A1:I61"/>
  <pageMargins left="0.3" right="0.3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40" customWidth="1"/>
    <col min="2" max="2" width="24" customWidth="1"/>
    <col min="3" max="3" width="18" customWidth="1"/>
    <col min="4" max="4" width="14" customWidth="1"/>
    <col min="5" max="5" width="12" customWidth="1"/>
    <col min="6" max="6" width="14" customWidth="1"/>
    <col min="7" max="7" width="24" customWidth="1"/>
    <col min="8" max="8" width="48" customWidth="1"/>
    <col min="9" max="9" width="60" customWidth="1"/>
  </cols>
  <sheetData>
    <row r="1">
      <c r="A1" t="s" s="4">
        <v>33</v>
      </c>
      <c r="B1" t="s" s="4">
        <v>34</v>
      </c>
      <c r="C1" t="s" s="4">
        <v>24</v>
      </c>
      <c r="D1" t="s" s="4">
        <v>42</v>
      </c>
      <c r="E1" t="s" s="4">
        <v>642</v>
      </c>
      <c r="F1" t="s" s="4">
        <v>15</v>
      </c>
      <c r="G1" t="s" s="4">
        <v>43</v>
      </c>
      <c r="H1" t="s" s="4">
        <v>643</v>
      </c>
      <c r="I1" t="s" s="4">
        <v>49</v>
      </c>
    </row>
    <row r="2">
      <c r="A2" t="s" s="0">
        <v>62</v>
      </c>
      <c r="B2" t="s" s="0">
        <v>63</v>
      </c>
      <c r="C2" t="s" s="0">
        <v>31</v>
      </c>
      <c r="E2" t="s" s="0">
        <v>55</v>
      </c>
      <c r="F2" s="6">
        <f>IF(D2="","",IF(E2="未稅",ROUND(D2*1.05,0),D2))</f>
        <v/>
      </c>
      <c r="G2" t="s" s="0">
        <v>65</v>
      </c>
      <c r="H2" t="s" s="0">
        <v>67</v>
      </c>
      <c r="I2" t="s" s="0">
        <v>68</v>
      </c>
    </row>
    <row r="3">
      <c r="A3" t="s" s="0">
        <v>86</v>
      </c>
      <c r="B3" t="s" s="0">
        <v>63</v>
      </c>
      <c r="C3" t="s" s="0">
        <v>31</v>
      </c>
      <c r="E3" t="s" s="0">
        <v>55</v>
      </c>
      <c r="F3" s="6">
        <f>IF(D3="","",IF(E3="未稅",ROUND(D3*1.05,0),D3))</f>
        <v/>
      </c>
      <c r="G3" t="s" s="0">
        <v>65</v>
      </c>
      <c r="H3" t="s" s="0">
        <v>67</v>
      </c>
      <c r="I3" t="s" s="0">
        <v>88</v>
      </c>
    </row>
    <row r="4">
      <c r="A4" t="s" s="0">
        <v>90</v>
      </c>
      <c r="B4" t="s" s="0">
        <v>91</v>
      </c>
      <c r="C4" t="s" s="0">
        <v>31</v>
      </c>
      <c r="E4" t="s" s="0">
        <v>94</v>
      </c>
      <c r="F4" s="6">
        <f>IF(D4="","",IF(E4="未稅",ROUND(D4*1.05,0),D4))</f>
        <v/>
      </c>
      <c r="G4" t="s" s="0">
        <v>95</v>
      </c>
      <c r="H4" t="s" s="0">
        <v>97</v>
      </c>
      <c r="I4" t="s" s="0">
        <v>98</v>
      </c>
    </row>
    <row r="5">
      <c r="A5" t="s" s="0">
        <v>108</v>
      </c>
      <c r="B5" t="s" s="0">
        <v>101</v>
      </c>
      <c r="C5" t="s" s="0">
        <v>32</v>
      </c>
      <c r="E5" t="s" s="0">
        <v>94</v>
      </c>
      <c r="F5" s="6">
        <f>IF(D5="","",IF(E5="未稅",ROUND(D5*1.05,0),D5))</f>
        <v/>
      </c>
      <c r="G5" t="s" s="0">
        <v>95</v>
      </c>
      <c r="H5" t="s" s="0">
        <v>112</v>
      </c>
      <c r="I5" t="s" s="0">
        <v>113</v>
      </c>
    </row>
    <row r="6">
      <c r="A6" t="s" s="0">
        <v>122</v>
      </c>
      <c r="B6" t="s" s="0">
        <v>123</v>
      </c>
      <c r="C6" t="s" s="0">
        <v>32</v>
      </c>
      <c r="E6" t="s" s="0">
        <v>55</v>
      </c>
      <c r="F6" s="6">
        <f>IF(D6="","",IF(E6="未稅",ROUND(D6*1.05,0),D6))</f>
        <v/>
      </c>
      <c r="G6" t="s" s="0">
        <v>65</v>
      </c>
      <c r="H6" t="s" s="0">
        <v>126</v>
      </c>
      <c r="I6" t="s" s="0">
        <v>127</v>
      </c>
    </row>
    <row r="7">
      <c r="A7" t="s" s="0">
        <v>134</v>
      </c>
      <c r="B7" t="s" s="0">
        <v>135</v>
      </c>
      <c r="C7" t="s" s="0">
        <v>31</v>
      </c>
      <c r="E7" t="s" s="0">
        <v>94</v>
      </c>
      <c r="F7" s="6">
        <f>IF(D7="","",IF(E7="未稅",ROUND(D7*1.05,0),D7))</f>
        <v/>
      </c>
      <c r="G7" t="s" s="0">
        <v>95</v>
      </c>
      <c r="H7" t="s" s="0">
        <v>139</v>
      </c>
      <c r="I7" t="s" s="0">
        <v>140</v>
      </c>
    </row>
    <row r="8">
      <c r="A8" t="s" s="0">
        <v>142</v>
      </c>
      <c r="B8" t="s" s="0">
        <v>143</v>
      </c>
      <c r="C8" t="s" s="0">
        <v>32</v>
      </c>
      <c r="E8" t="s" s="0">
        <v>55</v>
      </c>
      <c r="F8" s="6">
        <f>IF(D8="","",IF(E8="未稅",ROUND(D8*1.05,0),D8))</f>
        <v/>
      </c>
      <c r="G8" t="s" s="0">
        <v>95</v>
      </c>
      <c r="H8" t="s" s="0">
        <v>147</v>
      </c>
      <c r="I8" t="s" s="0">
        <v>148</v>
      </c>
    </row>
    <row r="9">
      <c r="A9" t="s" s="0">
        <v>164</v>
      </c>
      <c r="B9" t="s" s="0">
        <v>165</v>
      </c>
      <c r="C9" t="s" s="0">
        <v>32</v>
      </c>
      <c r="E9" t="s" s="0">
        <v>55</v>
      </c>
      <c r="F9" s="6">
        <f>IF(D9="","",IF(E9="未稅",ROUND(D9*1.05,0),D9))</f>
        <v/>
      </c>
      <c r="G9" t="s" s="0">
        <v>95</v>
      </c>
      <c r="H9" t="s" s="0">
        <v>167</v>
      </c>
      <c r="I9" t="s" s="0">
        <v>168</v>
      </c>
    </row>
    <row r="10">
      <c r="A10" t="s" s="0">
        <v>170</v>
      </c>
      <c r="B10" t="s" s="0">
        <v>143</v>
      </c>
      <c r="C10" t="s" s="0">
        <v>32</v>
      </c>
      <c r="E10" t="s" s="0">
        <v>55</v>
      </c>
      <c r="F10" s="6">
        <f>IF(D10="","",IF(E10="未稅",ROUND(D10*1.05,0),D10))</f>
        <v/>
      </c>
      <c r="G10" t="s" s="0">
        <v>65</v>
      </c>
      <c r="H10" t="s" s="0">
        <v>174</v>
      </c>
      <c r="I10" t="s" s="0">
        <v>175</v>
      </c>
    </row>
    <row r="11">
      <c r="A11" t="s" s="0">
        <v>177</v>
      </c>
      <c r="B11" t="s" s="0">
        <v>91</v>
      </c>
      <c r="C11" t="s" s="0">
        <v>27</v>
      </c>
      <c r="E11" t="s" s="0">
        <v>94</v>
      </c>
      <c r="F11" s="6">
        <f>IF(D11="","",IF(E11="未稅",ROUND(D11*1.05,0),D11))</f>
        <v/>
      </c>
      <c r="G11" t="s" s="0">
        <v>95</v>
      </c>
      <c r="H11" t="s" s="0">
        <v>97</v>
      </c>
      <c r="I11" t="s" s="0">
        <v>181</v>
      </c>
    </row>
    <row r="12">
      <c r="A12" t="s" s="0">
        <v>198</v>
      </c>
      <c r="B12" t="s" s="0">
        <v>143</v>
      </c>
      <c r="C12" t="s" s="0">
        <v>27</v>
      </c>
      <c r="E12" t="s" s="0">
        <v>55</v>
      </c>
      <c r="F12" s="6">
        <f>IF(D12="","",IF(E12="未稅",ROUND(D12*1.05,0),D12))</f>
        <v/>
      </c>
      <c r="G12" t="s" s="0">
        <v>95</v>
      </c>
      <c r="H12" t="s" s="0">
        <v>202</v>
      </c>
      <c r="I12" t="s" s="0">
        <v>203</v>
      </c>
    </row>
    <row r="13">
      <c r="A13" t="s" s="0">
        <v>205</v>
      </c>
      <c r="B13" t="s" s="0">
        <v>135</v>
      </c>
      <c r="C13" t="s" s="0">
        <v>31</v>
      </c>
      <c r="E13" t="s" s="0">
        <v>94</v>
      </c>
      <c r="F13" s="6">
        <f>IF(D13="","",IF(E13="未稅",ROUND(D13*1.05,0),D13))</f>
        <v/>
      </c>
      <c r="G13" t="s" s="0">
        <v>207</v>
      </c>
      <c r="H13" t="s" s="0">
        <v>208</v>
      </c>
      <c r="I13" t="s" s="0">
        <v>209</v>
      </c>
    </row>
    <row r="14">
      <c r="A14" t="s" s="0">
        <v>227</v>
      </c>
      <c r="B14" t="s" s="0">
        <v>212</v>
      </c>
      <c r="C14" t="s" s="0">
        <v>32</v>
      </c>
      <c r="E14" t="s" s="0">
        <v>94</v>
      </c>
      <c r="F14" s="6">
        <f>IF(D14="","",IF(E14="未稅",ROUND(D14*1.05,0),D14))</f>
        <v/>
      </c>
      <c r="G14" t="s" s="0">
        <v>65</v>
      </c>
      <c r="H14" t="s" s="0">
        <v>231</v>
      </c>
      <c r="I14" t="s" s="0">
        <v>232</v>
      </c>
    </row>
    <row r="15">
      <c r="A15" t="s" s="0">
        <v>248</v>
      </c>
      <c r="B15" t="s" s="0">
        <v>143</v>
      </c>
      <c r="C15" t="s" s="0">
        <v>32</v>
      </c>
      <c r="E15" t="s" s="0">
        <v>55</v>
      </c>
      <c r="F15" s="6">
        <f>IF(D15="","",IF(E15="未稅",ROUND(D15*1.05,0),D15))</f>
        <v/>
      </c>
      <c r="G15" t="s" s="0">
        <v>95</v>
      </c>
      <c r="H15" t="s" s="0">
        <v>250</v>
      </c>
      <c r="I15" t="s" s="0">
        <v>251</v>
      </c>
    </row>
    <row r="16">
      <c r="A16" t="s" s="0">
        <v>266</v>
      </c>
      <c r="B16" t="s" s="0">
        <v>143</v>
      </c>
      <c r="C16" t="s" s="0">
        <v>32</v>
      </c>
      <c r="E16" t="s" s="0">
        <v>270</v>
      </c>
      <c r="F16" s="6">
        <f>IF(D16="","",IF(E16="未稅",ROUND(D16*1.05,0),D16))</f>
        <v/>
      </c>
      <c r="G16" t="s" s="0">
        <v>95</v>
      </c>
      <c r="H16" t="s" s="0">
        <v>271</v>
      </c>
      <c r="I16" t="s" s="0">
        <v>272</v>
      </c>
    </row>
    <row r="17">
      <c r="A17" t="s" s="0">
        <v>296</v>
      </c>
      <c r="B17" t="s" s="0">
        <v>297</v>
      </c>
      <c r="C17" t="s" s="0">
        <v>31</v>
      </c>
      <c r="E17" t="s" s="0">
        <v>55</v>
      </c>
      <c r="F17" s="6">
        <f>IF(D17="","",IF(E17="未稅",ROUND(D17*1.05,0),D17))</f>
        <v/>
      </c>
      <c r="G17" t="s" s="0">
        <v>65</v>
      </c>
      <c r="H17" t="s" s="0">
        <v>301</v>
      </c>
      <c r="I17" t="s" s="0">
        <v>302</v>
      </c>
    </row>
    <row r="18">
      <c r="A18" t="s" s="0">
        <v>310</v>
      </c>
      <c r="B18" t="s" s="0">
        <v>63</v>
      </c>
      <c r="C18" t="s" s="0">
        <v>31</v>
      </c>
      <c r="E18" t="s" s="0">
        <v>55</v>
      </c>
      <c r="F18" s="6">
        <f>IF(D18="","",IF(E18="未稅",ROUND(D18*1.05,0),D18))</f>
        <v/>
      </c>
      <c r="G18" t="s" s="0">
        <v>65</v>
      </c>
      <c r="H18" t="s" s="0">
        <v>67</v>
      </c>
      <c r="I18" t="s" s="0">
        <v>312</v>
      </c>
    </row>
    <row r="19">
      <c r="A19" t="s" s="0">
        <v>348</v>
      </c>
      <c r="B19" t="s" s="0">
        <v>349</v>
      </c>
      <c r="C19" t="s" s="0">
        <v>31</v>
      </c>
      <c r="E19" t="s" s="0">
        <v>94</v>
      </c>
      <c r="F19" s="6">
        <f>IF(D19="","",IF(E19="未稅",ROUND(D19*1.05,0),D19))</f>
        <v/>
      </c>
      <c r="G19" t="s" s="0">
        <v>207</v>
      </c>
      <c r="H19" t="s" s="0">
        <v>353</v>
      </c>
      <c r="I19" t="s" s="0">
        <v>354</v>
      </c>
    </row>
    <row r="20">
      <c r="A20" t="s" s="0">
        <v>376</v>
      </c>
      <c r="B20" t="s" s="0">
        <v>377</v>
      </c>
      <c r="C20" t="s" s="0">
        <v>27</v>
      </c>
      <c r="E20" t="s" s="0">
        <v>94</v>
      </c>
      <c r="F20" s="6">
        <f>IF(D20="","",IF(E20="未稅",ROUND(D20*1.05,0),D20))</f>
        <v/>
      </c>
      <c r="G20" t="s" s="0">
        <v>207</v>
      </c>
      <c r="H20" t="s" s="0">
        <v>380</v>
      </c>
      <c r="I20" t="s" s="0">
        <v>381</v>
      </c>
    </row>
    <row r="21">
      <c r="A21" t="s" s="0">
        <v>389</v>
      </c>
      <c r="B21" t="s" s="0">
        <v>390</v>
      </c>
      <c r="C21" t="s" s="0">
        <v>31</v>
      </c>
      <c r="E21" t="s" s="0">
        <v>55</v>
      </c>
      <c r="F21" s="6">
        <f>IF(D21="","",IF(E21="未稅",ROUND(D21*1.05,0),D21))</f>
        <v/>
      </c>
      <c r="G21" t="s" s="0">
        <v>207</v>
      </c>
      <c r="H21" t="s" s="0">
        <v>393</v>
      </c>
      <c r="I21" t="s" s="0">
        <v>394</v>
      </c>
    </row>
    <row r="22">
      <c r="A22" t="s" s="0">
        <v>414</v>
      </c>
      <c r="B22" t="s" s="0">
        <v>415</v>
      </c>
      <c r="C22" t="s" s="0">
        <v>32</v>
      </c>
      <c r="E22" t="s" s="0">
        <v>55</v>
      </c>
      <c r="F22" s="6">
        <f>IF(D22="","",IF(E22="未稅",ROUND(D22*1.05,0),D22))</f>
        <v/>
      </c>
      <c r="G22" t="s" s="0">
        <v>65</v>
      </c>
      <c r="H22" t="s" s="0">
        <v>417</v>
      </c>
      <c r="I22" t="s" s="0">
        <v>418</v>
      </c>
    </row>
    <row r="23">
      <c r="A23" t="s" s="0">
        <v>420</v>
      </c>
      <c r="B23" t="s" s="0">
        <v>421</v>
      </c>
      <c r="C23" t="s" s="0">
        <v>30</v>
      </c>
      <c r="E23" t="s" s="0">
        <v>94</v>
      </c>
      <c r="F23" s="6">
        <f>IF(D23="","",IF(E23="未稅",ROUND(D23*1.05,0),D23))</f>
        <v/>
      </c>
      <c r="G23" t="s" s="0">
        <v>207</v>
      </c>
      <c r="H23" t="s" s="0">
        <v>424</v>
      </c>
      <c r="I23" t="s" s="0">
        <v>425</v>
      </c>
    </row>
    <row r="24">
      <c r="A24" t="s" s="0">
        <v>427</v>
      </c>
      <c r="B24" t="s" s="0">
        <v>63</v>
      </c>
      <c r="C24" t="s" s="0">
        <v>31</v>
      </c>
      <c r="E24" t="s" s="0">
        <v>55</v>
      </c>
      <c r="F24" s="6">
        <f>IF(D24="","",IF(E24="未稅",ROUND(D24*1.05,0),D24))</f>
        <v/>
      </c>
      <c r="G24" t="s" s="0">
        <v>65</v>
      </c>
      <c r="H24" t="s" s="0">
        <v>429</v>
      </c>
      <c r="I24" t="s" s="0">
        <v>430</v>
      </c>
    </row>
    <row r="25">
      <c r="A25" t="s" s="0">
        <v>437</v>
      </c>
      <c r="B25" t="s" s="0">
        <v>415</v>
      </c>
      <c r="C25" t="s" s="0">
        <v>32</v>
      </c>
      <c r="E25" t="s" s="0">
        <v>55</v>
      </c>
      <c r="F25" s="6">
        <f>IF(D25="","",IF(E25="未稅",ROUND(D25*1.05,0),D25))</f>
        <v/>
      </c>
      <c r="G25" t="s" s="0">
        <v>65</v>
      </c>
      <c r="H25" t="s" s="0">
        <v>417</v>
      </c>
      <c r="I25" t="s" s="0">
        <v>439</v>
      </c>
    </row>
    <row r="26">
      <c r="A26" t="s" s="0">
        <v>444</v>
      </c>
      <c r="B26" t="s" s="0">
        <v>445</v>
      </c>
      <c r="C26" t="s" s="0">
        <v>28</v>
      </c>
      <c r="E26" t="s" s="0">
        <v>94</v>
      </c>
      <c r="F26" s="6">
        <f>IF(D26="","",IF(E26="未稅",ROUND(D26*1.05,0),D26))</f>
        <v/>
      </c>
      <c r="G26" t="s" s="0">
        <v>207</v>
      </c>
      <c r="H26" t="s" s="0">
        <v>447</v>
      </c>
      <c r="I26" t="s" s="0">
        <v>448</v>
      </c>
    </row>
    <row r="27">
      <c r="A27" t="s" s="0">
        <v>516</v>
      </c>
      <c r="B27" t="s" s="0">
        <v>275</v>
      </c>
      <c r="C27" t="s" s="0">
        <v>31</v>
      </c>
      <c r="E27" t="s" s="0">
        <v>94</v>
      </c>
      <c r="F27" s="6">
        <f>IF(D27="","",IF(E27="未稅",ROUND(D27*1.05,0),D27))</f>
        <v/>
      </c>
      <c r="G27" t="s" s="0">
        <v>207</v>
      </c>
      <c r="H27" t="s" s="0">
        <v>517</v>
      </c>
      <c r="I27" t="s" s="0">
        <v>518</v>
      </c>
    </row>
    <row r="28">
      <c r="A28" t="s" s="0">
        <v>520</v>
      </c>
      <c r="B28" t="s" s="0">
        <v>275</v>
      </c>
      <c r="C28" t="s" s="0">
        <v>31</v>
      </c>
      <c r="E28" t="s" s="0">
        <v>94</v>
      </c>
      <c r="F28" s="6">
        <f>IF(D28="","",IF(E28="未稅",ROUND(D28*1.05,0),D28))</f>
        <v/>
      </c>
      <c r="G28" t="s" s="0">
        <v>207</v>
      </c>
      <c r="H28" t="s" s="0">
        <v>521</v>
      </c>
      <c r="I28" t="s" s="0">
        <v>522</v>
      </c>
    </row>
    <row r="29">
      <c r="A29" t="s" s="0">
        <v>542</v>
      </c>
      <c r="B29" t="s" s="0">
        <v>543</v>
      </c>
      <c r="C29" t="s" s="0">
        <v>30</v>
      </c>
      <c r="E29" t="s" s="0">
        <v>55</v>
      </c>
      <c r="F29" s="6">
        <f>IF(D29="","",IF(E29="未稅",ROUND(D29*1.05,0),D29))</f>
        <v/>
      </c>
      <c r="G29" t="s" s="0">
        <v>65</v>
      </c>
      <c r="H29" t="s" s="0">
        <v>544</v>
      </c>
      <c r="I29" t="s" s="0">
        <v>547</v>
      </c>
    </row>
    <row r="30">
      <c r="A30" t="s" s="0">
        <v>567</v>
      </c>
      <c r="B30" t="s" s="0">
        <v>568</v>
      </c>
      <c r="C30" t="s" s="0">
        <v>27</v>
      </c>
      <c r="E30" t="s" s="0">
        <v>94</v>
      </c>
      <c r="F30" s="6">
        <f>IF(D30="","",IF(E30="未稅",ROUND(D30*1.05,0),D30))</f>
        <v/>
      </c>
      <c r="G30" t="s" s="0">
        <v>65</v>
      </c>
      <c r="H30" t="s" s="0">
        <v>569</v>
      </c>
      <c r="I30" t="s" s="0">
        <v>572</v>
      </c>
    </row>
    <row r="31">
      <c r="A31" t="s" s="0">
        <v>591</v>
      </c>
      <c r="B31" t="s" s="0">
        <v>592</v>
      </c>
      <c r="C31" t="s" s="0">
        <v>30</v>
      </c>
      <c r="E31" t="s" s="0">
        <v>55</v>
      </c>
      <c r="F31" s="6">
        <f>IF(D31="","",IF(E31="未稅",ROUND(D31*1.05,0),D31))</f>
        <v/>
      </c>
      <c r="G31" t="s" s="0">
        <v>207</v>
      </c>
      <c r="H31" t="s" s="0">
        <v>593</v>
      </c>
      <c r="I31" t="s" s="0">
        <v>596</v>
      </c>
    </row>
    <row r="32">
      <c r="A32" t="s" s="0">
        <v>608</v>
      </c>
      <c r="B32" t="s" s="0">
        <v>609</v>
      </c>
      <c r="C32" t="s" s="0">
        <v>27</v>
      </c>
      <c r="E32" t="s" s="0">
        <v>270</v>
      </c>
      <c r="F32" s="6">
        <f>IF(D32="","",IF(E32="未稅",ROUND(D32*1.05,0),D32))</f>
        <v/>
      </c>
      <c r="G32" t="s" s="0">
        <v>65</v>
      </c>
      <c r="H32" t="s" s="0">
        <v>610</v>
      </c>
      <c r="I32" t="s" s="0">
        <v>613</v>
      </c>
    </row>
    <row r="33">
      <c r="A33" t="s" s="0">
        <v>615</v>
      </c>
      <c r="C33" t="s" s="0">
        <v>29</v>
      </c>
      <c r="E33" t="s" s="0">
        <v>270</v>
      </c>
      <c r="F33" s="6">
        <f>IF(D33="","",IF(E33="未稅",ROUND(D33*1.05,0),D33))</f>
        <v/>
      </c>
      <c r="G33" t="s" s="0">
        <v>95</v>
      </c>
      <c r="H33" t="s" s="0">
        <v>616</v>
      </c>
      <c r="I33" t="s" s="0">
        <v>618</v>
      </c>
    </row>
    <row r="34">
      <c r="A34" t="s" s="0">
        <v>625</v>
      </c>
      <c r="C34" t="s" s="0">
        <v>31</v>
      </c>
      <c r="E34" t="s" s="0">
        <v>270</v>
      </c>
      <c r="F34" s="6">
        <f>IF(D34="","",IF(E34="未稅",ROUND(D34*1.05,0),D34))</f>
        <v/>
      </c>
      <c r="G34" t="s" s="0">
        <v>95</v>
      </c>
      <c r="H34" t="s" s="0">
        <v>626</v>
      </c>
      <c r="I34" t="s" s="0">
        <v>627</v>
      </c>
    </row>
    <row r="35">
      <c r="A35" t="s" s="0">
        <v>636</v>
      </c>
      <c r="B35" t="s" s="0">
        <v>637</v>
      </c>
      <c r="C35" t="s" s="0">
        <v>29</v>
      </c>
      <c r="E35" t="s" s="0">
        <v>270</v>
      </c>
      <c r="F35" s="6">
        <f>IF(D35="","",IF(E35="未稅",ROUND(D35*1.05,0),D35))</f>
        <v/>
      </c>
      <c r="G35" t="s" s="0">
        <v>65</v>
      </c>
      <c r="H35" t="s" s="0">
        <v>638</v>
      </c>
      <c r="I35" t="s" s="0">
        <v>640</v>
      </c>
    </row>
    <row r="36">
      <c r="A36" t="s" s="0">
        <v>644</v>
      </c>
      <c r="D36" s="6">
        <f>SUM(D2:D35)</f>
        <v/>
      </c>
      <c r="F36" s="6">
        <f>SUM(F2:F35)</f>
        <v/>
      </c>
    </row>
  </sheetData>
  <autoFilter ref="A1:I36"/>
  <pageMargins left="0.3" right="0.3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48" customWidth="1"/>
    <col min="3" max="3" width="32" customWidth="1"/>
    <col min="4" max="4" width="58" customWidth="1"/>
  </cols>
  <sheetData>
    <row r="1">
      <c r="A1" t="s" s="4">
        <v>47</v>
      </c>
      <c r="B1" t="s" s="4">
        <v>645</v>
      </c>
      <c r="C1" t="s" s="4">
        <v>646</v>
      </c>
      <c r="D1" t="s" s="4">
        <v>647</v>
      </c>
    </row>
    <row r="2">
      <c r="A2" t="s" s="0">
        <v>648</v>
      </c>
      <c r="B2" t="s" s="0">
        <v>456</v>
      </c>
      <c r="C2" t="s" s="0">
        <v>649</v>
      </c>
      <c r="D2" t="s" s="0">
        <v>650</v>
      </c>
    </row>
    <row r="3">
      <c r="A3" t="s" s="0">
        <v>651</v>
      </c>
      <c r="B3" t="s" s="0">
        <v>362</v>
      </c>
      <c r="C3" t="s" s="0">
        <v>652</v>
      </c>
      <c r="D3" t="s" s="0">
        <v>653</v>
      </c>
    </row>
    <row r="4">
      <c r="A4" t="s" s="0">
        <v>654</v>
      </c>
      <c r="B4" t="s" s="0">
        <v>655</v>
      </c>
      <c r="C4" t="s" s="0">
        <v>656</v>
      </c>
      <c r="D4" t="s" s="0">
        <v>657</v>
      </c>
    </row>
    <row r="5">
      <c r="A5" t="s" s="0">
        <v>658</v>
      </c>
      <c r="B5" t="s" s="0">
        <v>129</v>
      </c>
      <c r="C5" t="s" s="0">
        <v>659</v>
      </c>
      <c r="D5" t="s" s="0">
        <v>660</v>
      </c>
    </row>
    <row r="6">
      <c r="A6" t="s" s="0">
        <v>199</v>
      </c>
      <c r="B6" t="s" s="0">
        <v>661</v>
      </c>
      <c r="C6" t="s" s="0">
        <v>662</v>
      </c>
      <c r="D6" t="s" s="0">
        <v>663</v>
      </c>
    </row>
    <row r="7">
      <c r="A7" t="s" s="0">
        <v>664</v>
      </c>
      <c r="B7" t="s" s="0">
        <v>665</v>
      </c>
      <c r="C7" t="s" s="0">
        <v>666</v>
      </c>
      <c r="D7" t="s" s="0">
        <v>667</v>
      </c>
    </row>
    <row r="8">
      <c r="A8" t="s" s="0">
        <v>668</v>
      </c>
      <c r="B8" t="s" s="0">
        <v>304</v>
      </c>
      <c r="C8" t="s" s="0">
        <v>669</v>
      </c>
      <c r="D8" t="s" s="0">
        <v>670</v>
      </c>
    </row>
    <row r="9">
      <c r="A9" t="s" s="0">
        <v>671</v>
      </c>
      <c r="B9" t="s" s="0">
        <v>672</v>
      </c>
      <c r="C9" t="s" s="0">
        <v>673</v>
      </c>
      <c r="D9" t="s" s="0">
        <v>674</v>
      </c>
    </row>
    <row r="10">
      <c r="A10" t="s" s="0">
        <v>675</v>
      </c>
      <c r="B10" t="s" s="0">
        <v>676</v>
      </c>
      <c r="C10" t="s" s="0">
        <v>677</v>
      </c>
      <c r="D10" t="s" s="0">
        <v>678</v>
      </c>
    </row>
    <row r="11">
      <c r="A11" t="s" s="0">
        <v>679</v>
      </c>
      <c r="B11" t="s" s="0">
        <v>680</v>
      </c>
      <c r="C11" t="s" s="0">
        <v>681</v>
      </c>
      <c r="D11" t="s" s="0">
        <v>682</v>
      </c>
    </row>
    <row r="12">
      <c r="A12" t="s" s="0">
        <v>683</v>
      </c>
      <c r="B12" t="s" s="0">
        <v>684</v>
      </c>
      <c r="C12" t="s" s="0">
        <v>685</v>
      </c>
      <c r="D12" t="s" s="0">
        <v>686</v>
      </c>
    </row>
    <row r="13">
      <c r="A13" t="s" s="0">
        <v>687</v>
      </c>
      <c r="B13" t="s" s="0">
        <v>688</v>
      </c>
      <c r="C13" t="s" s="0">
        <v>689</v>
      </c>
      <c r="D13" t="s" s="0">
        <v>690</v>
      </c>
    </row>
    <row r="14">
      <c r="A14" t="s" s="0">
        <v>691</v>
      </c>
      <c r="B14" t="s" s="0">
        <v>692</v>
      </c>
      <c r="C14" t="s" s="0">
        <v>693</v>
      </c>
      <c r="D14" t="s" s="0">
        <v>694</v>
      </c>
    </row>
    <row r="15">
      <c r="A15" t="s" s="0">
        <v>695</v>
      </c>
      <c r="B15" t="s" s="0">
        <v>696</v>
      </c>
      <c r="C15" t="s" s="0">
        <v>697</v>
      </c>
      <c r="D15" t="s" s="0">
        <v>698</v>
      </c>
    </row>
  </sheetData>
  <autoFilter ref="A1:D15"/>
  <pageMargins left="0.3" right="0.3" top="0.5" bottom="0.5" header="0.2" footer="0.2"/>
</worksheet>
</file>